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Editor\VS CODE\Morning Meeting Application\QA\"/>
    </mc:Choice>
  </mc:AlternateContent>
  <xr:revisionPtr revIDLastSave="0" documentId="13_ncr:1_{69930F42-786D-4FE8-ABB7-F5118BF32DD9}" xr6:coauthVersionLast="47" xr6:coauthVersionMax="47" xr10:uidLastSave="{00000000-0000-0000-0000-000000000000}"/>
  <bookViews>
    <workbookView xWindow="-108" yWindow="-108" windowWidth="23256" windowHeight="12456" tabRatio="847" xr2:uid="{00000000-000D-0000-FFFF-FFFF00000000}"/>
  </bookViews>
  <sheets>
    <sheet name="Unit 3 (Roller)" sheetId="55" r:id="rId1"/>
    <sheet name="WC-01" sheetId="58" r:id="rId2"/>
    <sheet name="WC-02" sheetId="59" r:id="rId3"/>
    <sheet name="WC-03" sheetId="60" r:id="rId4"/>
    <sheet name="FG-05" sheetId="61" r:id="rId5"/>
    <sheet name="CG-05" sheetId="62" r:id="rId6"/>
    <sheet name="CG-06" sheetId="63" r:id="rId7"/>
    <sheet name="CG-07" sheetId="64" r:id="rId8"/>
    <sheet name="CG-08" sheetId="65" r:id="rId9"/>
    <sheet name="QE-132" sheetId="66" r:id="rId10"/>
    <sheet name="QE-133" sheetId="67" r:id="rId11"/>
    <sheet name="Drop down sheet" sheetId="40" state="hidden" r:id="rId12"/>
  </sheets>
  <externalReferences>
    <externalReference r:id="rId13"/>
    <externalReference r:id="rId14"/>
    <externalReference r:id="rId15"/>
  </externalReferences>
  <definedNames>
    <definedName name="_3299.00" localSheetId="7">#REF!</definedName>
    <definedName name="_xlnm._FilterDatabase" localSheetId="0" hidden="1">'Unit 3 (Roller)'!$A$2:$AP$143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" i="55" l="1"/>
  <c r="K21" i="40"/>
  <c r="S10" i="64"/>
  <c r="R10" i="64"/>
  <c r="Q10" i="64"/>
  <c r="P10" i="64"/>
  <c r="N10" i="64"/>
  <c r="M10" i="64"/>
  <c r="L10" i="64"/>
  <c r="J10" i="64"/>
  <c r="I10" i="64"/>
  <c r="H10" i="64"/>
  <c r="G10" i="64"/>
  <c r="C10" i="64"/>
  <c r="S9" i="64"/>
  <c r="R9" i="64"/>
  <c r="Q9" i="64"/>
  <c r="P9" i="64"/>
  <c r="N9" i="64"/>
  <c r="M9" i="64"/>
  <c r="L9" i="64"/>
  <c r="J9" i="64"/>
  <c r="I9" i="64"/>
  <c r="H9" i="64"/>
  <c r="G9" i="64"/>
  <c r="C9" i="64"/>
  <c r="S8" i="64"/>
  <c r="R8" i="64"/>
  <c r="Q8" i="64"/>
  <c r="P8" i="64"/>
  <c r="N8" i="64"/>
  <c r="M8" i="64"/>
  <c r="L8" i="64"/>
  <c r="J8" i="64"/>
  <c r="I8" i="64"/>
  <c r="H8" i="64"/>
  <c r="G8" i="64"/>
  <c r="S7" i="64"/>
  <c r="R7" i="64"/>
  <c r="Q7" i="64"/>
  <c r="P7" i="64"/>
  <c r="N7" i="64"/>
  <c r="M7" i="64"/>
  <c r="L7" i="64"/>
  <c r="J7" i="64"/>
  <c r="I7" i="64"/>
  <c r="H7" i="64"/>
  <c r="G7" i="64"/>
  <c r="C7" i="64"/>
  <c r="S6" i="64"/>
  <c r="R6" i="64"/>
  <c r="Q6" i="64"/>
  <c r="P6" i="64"/>
  <c r="N6" i="64"/>
  <c r="M6" i="64"/>
  <c r="L6" i="64"/>
  <c r="J6" i="64"/>
  <c r="I6" i="64"/>
  <c r="H6" i="64"/>
  <c r="G6" i="64"/>
  <c r="C6" i="64"/>
  <c r="S5" i="64"/>
  <c r="R5" i="64"/>
  <c r="Q5" i="64"/>
  <c r="P5" i="64"/>
  <c r="N5" i="64"/>
  <c r="M5" i="64"/>
  <c r="L5" i="64"/>
  <c r="J5" i="64"/>
  <c r="I5" i="64"/>
  <c r="H5" i="64"/>
  <c r="G5" i="64"/>
  <c r="C5" i="64"/>
  <c r="S4" i="64"/>
  <c r="R4" i="64"/>
  <c r="Q4" i="64"/>
  <c r="P4" i="64"/>
  <c r="N4" i="64"/>
  <c r="M4" i="64"/>
  <c r="L4" i="64"/>
  <c r="J4" i="64"/>
  <c r="I4" i="64"/>
  <c r="H4" i="64"/>
  <c r="G4" i="64"/>
  <c r="C4" i="64"/>
  <c r="S3" i="64"/>
  <c r="R3" i="64"/>
  <c r="Q3" i="64"/>
  <c r="P3" i="64"/>
  <c r="N3" i="64"/>
  <c r="M3" i="64"/>
  <c r="L3" i="64"/>
  <c r="J3" i="64"/>
  <c r="I3" i="64"/>
  <c r="H3" i="64"/>
  <c r="G3" i="64"/>
  <c r="C3" i="64"/>
  <c r="S2" i="64"/>
  <c r="R2" i="64"/>
  <c r="Q2" i="64"/>
  <c r="P2" i="64"/>
  <c r="N2" i="64"/>
  <c r="M2" i="64"/>
  <c r="L2" i="64"/>
  <c r="J2" i="64"/>
  <c r="I2" i="64"/>
  <c r="H2" i="64"/>
  <c r="G2" i="64"/>
  <c r="C2" i="64"/>
  <c r="S31" i="63"/>
  <c r="R31" i="63"/>
  <c r="Q31" i="63"/>
  <c r="P31" i="63"/>
  <c r="N31" i="63"/>
  <c r="M31" i="63"/>
  <c r="L31" i="63"/>
  <c r="J31" i="63"/>
  <c r="I31" i="63"/>
  <c r="H31" i="63"/>
  <c r="G31" i="63"/>
  <c r="S30" i="63"/>
  <c r="R30" i="63"/>
  <c r="Q30" i="63"/>
  <c r="P30" i="63"/>
  <c r="N30" i="63"/>
  <c r="M30" i="63"/>
  <c r="L30" i="63"/>
  <c r="J30" i="63"/>
  <c r="I30" i="63"/>
  <c r="H30" i="63"/>
  <c r="G30" i="63"/>
  <c r="S29" i="63"/>
  <c r="R29" i="63"/>
  <c r="Q29" i="63"/>
  <c r="P29" i="63"/>
  <c r="N29" i="63"/>
  <c r="M29" i="63"/>
  <c r="L29" i="63"/>
  <c r="J29" i="63"/>
  <c r="I29" i="63"/>
  <c r="H29" i="63"/>
  <c r="G29" i="63"/>
  <c r="S28" i="63"/>
  <c r="R28" i="63"/>
  <c r="Q28" i="63"/>
  <c r="P28" i="63"/>
  <c r="N28" i="63"/>
  <c r="M28" i="63"/>
  <c r="L28" i="63"/>
  <c r="J28" i="63"/>
  <c r="I28" i="63"/>
  <c r="H28" i="63"/>
  <c r="G28" i="63"/>
  <c r="S27" i="63"/>
  <c r="R27" i="63"/>
  <c r="Q27" i="63"/>
  <c r="P27" i="63"/>
  <c r="N27" i="63"/>
  <c r="M27" i="63"/>
  <c r="L27" i="63"/>
  <c r="J27" i="63"/>
  <c r="I27" i="63"/>
  <c r="H27" i="63"/>
  <c r="G27" i="63"/>
  <c r="C27" i="63"/>
  <c r="S26" i="63"/>
  <c r="R26" i="63"/>
  <c r="Q26" i="63"/>
  <c r="P26" i="63"/>
  <c r="N26" i="63"/>
  <c r="M26" i="63"/>
  <c r="L26" i="63"/>
  <c r="J26" i="63"/>
  <c r="I26" i="63"/>
  <c r="H26" i="63"/>
  <c r="G26" i="63"/>
  <c r="C26" i="63"/>
  <c r="S25" i="63"/>
  <c r="R25" i="63"/>
  <c r="Q25" i="63"/>
  <c r="P25" i="63"/>
  <c r="N25" i="63"/>
  <c r="M25" i="63"/>
  <c r="L25" i="63"/>
  <c r="J25" i="63"/>
  <c r="I25" i="63"/>
  <c r="H25" i="63"/>
  <c r="G25" i="63"/>
  <c r="C25" i="63"/>
  <c r="S24" i="63"/>
  <c r="R24" i="63"/>
  <c r="Q24" i="63"/>
  <c r="P24" i="63"/>
  <c r="N24" i="63"/>
  <c r="M24" i="63"/>
  <c r="L24" i="63"/>
  <c r="J24" i="63"/>
  <c r="I24" i="63"/>
  <c r="H24" i="63"/>
  <c r="G24" i="63"/>
  <c r="S23" i="63"/>
  <c r="R23" i="63"/>
  <c r="Q23" i="63"/>
  <c r="P23" i="63"/>
  <c r="N23" i="63"/>
  <c r="M23" i="63"/>
  <c r="L23" i="63"/>
  <c r="J23" i="63"/>
  <c r="I23" i="63"/>
  <c r="H23" i="63"/>
  <c r="G23" i="63"/>
  <c r="S22" i="63"/>
  <c r="R22" i="63"/>
  <c r="Q22" i="63"/>
  <c r="P22" i="63"/>
  <c r="N22" i="63"/>
  <c r="M22" i="63"/>
  <c r="L22" i="63"/>
  <c r="J22" i="63"/>
  <c r="I22" i="63"/>
  <c r="H22" i="63"/>
  <c r="G22" i="63"/>
  <c r="C22" i="63"/>
  <c r="S21" i="63"/>
  <c r="R21" i="63"/>
  <c r="Q21" i="63"/>
  <c r="P21" i="63"/>
  <c r="N21" i="63"/>
  <c r="M21" i="63"/>
  <c r="L21" i="63"/>
  <c r="K21" i="63"/>
  <c r="J21" i="63"/>
  <c r="I21" i="63"/>
  <c r="H21" i="63"/>
  <c r="G21" i="63"/>
  <c r="C21" i="63"/>
  <c r="S20" i="63"/>
  <c r="R20" i="63"/>
  <c r="Q20" i="63"/>
  <c r="P20" i="63"/>
  <c r="N20" i="63"/>
  <c r="M20" i="63"/>
  <c r="L20" i="63"/>
  <c r="J20" i="63"/>
  <c r="I20" i="63"/>
  <c r="H20" i="63"/>
  <c r="G20" i="63"/>
  <c r="S19" i="63"/>
  <c r="R19" i="63"/>
  <c r="Q19" i="63"/>
  <c r="P19" i="63"/>
  <c r="N19" i="63"/>
  <c r="M19" i="63"/>
  <c r="L19" i="63"/>
  <c r="J19" i="63"/>
  <c r="I19" i="63"/>
  <c r="H19" i="63"/>
  <c r="G19" i="63"/>
  <c r="S18" i="63"/>
  <c r="R18" i="63"/>
  <c r="Q18" i="63"/>
  <c r="P18" i="63"/>
  <c r="N18" i="63"/>
  <c r="M18" i="63"/>
  <c r="L18" i="63"/>
  <c r="J18" i="63"/>
  <c r="I18" i="63"/>
  <c r="H18" i="63"/>
  <c r="G18" i="63"/>
  <c r="S17" i="63"/>
  <c r="R17" i="63"/>
  <c r="Q17" i="63"/>
  <c r="P17" i="63"/>
  <c r="N17" i="63"/>
  <c r="M17" i="63"/>
  <c r="L17" i="63"/>
  <c r="J17" i="63"/>
  <c r="I17" i="63"/>
  <c r="H17" i="63"/>
  <c r="G17" i="63"/>
  <c r="C17" i="63"/>
  <c r="S16" i="63"/>
  <c r="R16" i="63"/>
  <c r="Q16" i="63"/>
  <c r="P16" i="63"/>
  <c r="N16" i="63"/>
  <c r="M16" i="63"/>
  <c r="L16" i="63"/>
  <c r="J16" i="63"/>
  <c r="I16" i="63"/>
  <c r="H16" i="63"/>
  <c r="G16" i="63"/>
  <c r="C16" i="63"/>
  <c r="S15" i="63"/>
  <c r="R15" i="63"/>
  <c r="Q15" i="63"/>
  <c r="P15" i="63"/>
  <c r="N15" i="63"/>
  <c r="M15" i="63"/>
  <c r="L15" i="63"/>
  <c r="J15" i="63"/>
  <c r="I15" i="63"/>
  <c r="H15" i="63"/>
  <c r="G15" i="63"/>
  <c r="C15" i="63"/>
  <c r="S14" i="63"/>
  <c r="R14" i="63"/>
  <c r="Q14" i="63"/>
  <c r="P14" i="63"/>
  <c r="N14" i="63"/>
  <c r="M14" i="63"/>
  <c r="L14" i="63"/>
  <c r="J14" i="63"/>
  <c r="I14" i="63"/>
  <c r="H14" i="63"/>
  <c r="G14" i="63"/>
  <c r="C14" i="63"/>
  <c r="S13" i="63"/>
  <c r="R13" i="63"/>
  <c r="Q13" i="63"/>
  <c r="P13" i="63"/>
  <c r="N13" i="63"/>
  <c r="M13" i="63"/>
  <c r="L13" i="63"/>
  <c r="J13" i="63"/>
  <c r="I13" i="63"/>
  <c r="H13" i="63"/>
  <c r="G13" i="63"/>
  <c r="C13" i="63"/>
  <c r="S12" i="63"/>
  <c r="R12" i="63"/>
  <c r="Q12" i="63"/>
  <c r="P12" i="63"/>
  <c r="N12" i="63"/>
  <c r="M12" i="63"/>
  <c r="L12" i="63"/>
  <c r="J12" i="63"/>
  <c r="I12" i="63"/>
  <c r="H12" i="63"/>
  <c r="G12" i="63"/>
  <c r="C12" i="63"/>
  <c r="S11" i="63"/>
  <c r="R11" i="63"/>
  <c r="Q11" i="63"/>
  <c r="P11" i="63"/>
  <c r="N11" i="63"/>
  <c r="M11" i="63"/>
  <c r="L11" i="63"/>
  <c r="J11" i="63"/>
  <c r="I11" i="63"/>
  <c r="H11" i="63"/>
  <c r="G11" i="63"/>
  <c r="C11" i="63"/>
  <c r="S10" i="63"/>
  <c r="R10" i="63"/>
  <c r="Q10" i="63"/>
  <c r="P10" i="63"/>
  <c r="N10" i="63"/>
  <c r="M10" i="63"/>
  <c r="L10" i="63"/>
  <c r="J10" i="63"/>
  <c r="I10" i="63"/>
  <c r="H10" i="63"/>
  <c r="G10" i="63"/>
  <c r="S9" i="63"/>
  <c r="R9" i="63"/>
  <c r="Q9" i="63"/>
  <c r="P9" i="63"/>
  <c r="N9" i="63"/>
  <c r="M9" i="63"/>
  <c r="L9" i="63"/>
  <c r="J9" i="63"/>
  <c r="I9" i="63"/>
  <c r="H9" i="63"/>
  <c r="G9" i="63"/>
  <c r="C9" i="63"/>
  <c r="S8" i="63"/>
  <c r="R8" i="63"/>
  <c r="Q8" i="63"/>
  <c r="P8" i="63"/>
  <c r="N8" i="63"/>
  <c r="M8" i="63"/>
  <c r="L8" i="63"/>
  <c r="J8" i="63"/>
  <c r="I8" i="63"/>
  <c r="H8" i="63"/>
  <c r="G8" i="63"/>
  <c r="C8" i="63"/>
  <c r="S7" i="63"/>
  <c r="R7" i="63"/>
  <c r="Q7" i="63"/>
  <c r="P7" i="63"/>
  <c r="N7" i="63"/>
  <c r="M7" i="63"/>
  <c r="L7" i="63"/>
  <c r="J7" i="63"/>
  <c r="I7" i="63"/>
  <c r="H7" i="63"/>
  <c r="G7" i="63"/>
  <c r="C7" i="63"/>
  <c r="S6" i="63"/>
  <c r="R6" i="63"/>
  <c r="Q6" i="63"/>
  <c r="P6" i="63"/>
  <c r="N6" i="63"/>
  <c r="M6" i="63"/>
  <c r="L6" i="63"/>
  <c r="J6" i="63"/>
  <c r="I6" i="63"/>
  <c r="H6" i="63"/>
  <c r="G6" i="63"/>
  <c r="C6" i="63"/>
  <c r="S5" i="63"/>
  <c r="R5" i="63"/>
  <c r="Q5" i="63"/>
  <c r="P5" i="63"/>
  <c r="N5" i="63"/>
  <c r="M5" i="63"/>
  <c r="L5" i="63"/>
  <c r="J5" i="63"/>
  <c r="I5" i="63"/>
  <c r="H5" i="63"/>
  <c r="G5" i="63"/>
  <c r="C5" i="63"/>
  <c r="S4" i="63"/>
  <c r="R4" i="63"/>
  <c r="Q4" i="63"/>
  <c r="P4" i="63"/>
  <c r="N4" i="63"/>
  <c r="M4" i="63"/>
  <c r="L4" i="63"/>
  <c r="J4" i="63"/>
  <c r="I4" i="63"/>
  <c r="H4" i="63"/>
  <c r="G4" i="63"/>
  <c r="S3" i="63"/>
  <c r="R3" i="63"/>
  <c r="Q3" i="63"/>
  <c r="P3" i="63"/>
  <c r="N3" i="63"/>
  <c r="M3" i="63"/>
  <c r="L3" i="63"/>
  <c r="J3" i="63"/>
  <c r="I3" i="63"/>
  <c r="H3" i="63"/>
  <c r="G3" i="63"/>
  <c r="C3" i="63"/>
  <c r="S2" i="63"/>
  <c r="R2" i="63"/>
  <c r="Q2" i="63"/>
  <c r="P2" i="63"/>
  <c r="N2" i="63"/>
  <c r="M2" i="63"/>
  <c r="L2" i="63"/>
  <c r="J2" i="63"/>
  <c r="I2" i="63"/>
  <c r="H2" i="63"/>
  <c r="G2" i="63"/>
  <c r="C2" i="63"/>
  <c r="S11" i="62"/>
  <c r="R11" i="62"/>
  <c r="Q11" i="62"/>
  <c r="P11" i="62"/>
  <c r="N11" i="62"/>
  <c r="M11" i="62"/>
  <c r="J11" i="62"/>
  <c r="I11" i="62"/>
  <c r="H11" i="62"/>
  <c r="G11" i="62"/>
  <c r="S10" i="62"/>
  <c r="R10" i="62"/>
  <c r="Q10" i="62"/>
  <c r="P10" i="62"/>
  <c r="N10" i="62"/>
  <c r="M10" i="62"/>
  <c r="J10" i="62"/>
  <c r="I10" i="62"/>
  <c r="H10" i="62"/>
  <c r="G10" i="62"/>
  <c r="S9" i="62"/>
  <c r="R9" i="62"/>
  <c r="Q9" i="62"/>
  <c r="P9" i="62"/>
  <c r="N9" i="62"/>
  <c r="M9" i="62"/>
  <c r="J9" i="62"/>
  <c r="I9" i="62"/>
  <c r="H9" i="62"/>
  <c r="G9" i="62"/>
  <c r="S8" i="62"/>
  <c r="R8" i="62"/>
  <c r="Q8" i="62"/>
  <c r="P8" i="62"/>
  <c r="N8" i="62"/>
  <c r="M8" i="62"/>
  <c r="J8" i="62"/>
  <c r="I8" i="62"/>
  <c r="H8" i="62"/>
  <c r="G8" i="62"/>
  <c r="C8" i="62"/>
  <c r="S7" i="62"/>
  <c r="R7" i="62"/>
  <c r="Q7" i="62"/>
  <c r="P7" i="62"/>
  <c r="N7" i="62"/>
  <c r="M7" i="62"/>
  <c r="L7" i="62"/>
  <c r="J7" i="62"/>
  <c r="I7" i="62"/>
  <c r="H7" i="62"/>
  <c r="G7" i="62"/>
  <c r="C7" i="62"/>
  <c r="S6" i="62"/>
  <c r="R6" i="62"/>
  <c r="Q6" i="62"/>
  <c r="P6" i="62"/>
  <c r="N6" i="62"/>
  <c r="M6" i="62"/>
  <c r="L6" i="62"/>
  <c r="J6" i="62"/>
  <c r="I6" i="62"/>
  <c r="H6" i="62"/>
  <c r="G6" i="62"/>
  <c r="C6" i="62"/>
  <c r="S5" i="62"/>
  <c r="R5" i="62"/>
  <c r="Q5" i="62"/>
  <c r="P5" i="62"/>
  <c r="N5" i="62"/>
  <c r="M5" i="62"/>
  <c r="J5" i="62"/>
  <c r="I5" i="62"/>
  <c r="H5" i="62"/>
  <c r="G5" i="62"/>
  <c r="S4" i="62"/>
  <c r="R4" i="62"/>
  <c r="Q4" i="62"/>
  <c r="P4" i="62"/>
  <c r="N4" i="62"/>
  <c r="M4" i="62"/>
  <c r="J4" i="62"/>
  <c r="I4" i="62"/>
  <c r="H4" i="62"/>
  <c r="G4" i="62"/>
  <c r="C4" i="62"/>
  <c r="S3" i="62"/>
  <c r="R3" i="62"/>
  <c r="Q3" i="62"/>
  <c r="P3" i="62"/>
  <c r="N3" i="62"/>
  <c r="M3" i="62"/>
  <c r="J3" i="62"/>
  <c r="I3" i="62"/>
  <c r="H3" i="62"/>
  <c r="G3" i="62"/>
  <c r="C3" i="62"/>
  <c r="S2" i="62"/>
  <c r="R2" i="62"/>
  <c r="Q2" i="62"/>
  <c r="P2" i="62"/>
  <c r="N2" i="62"/>
  <c r="M2" i="62"/>
  <c r="K2" i="62"/>
  <c r="J2" i="62"/>
  <c r="I2" i="62"/>
  <c r="H2" i="62"/>
  <c r="G2" i="62"/>
  <c r="C2" i="62"/>
  <c r="G141" i="55"/>
  <c r="H141" i="55" s="1"/>
  <c r="D141" i="55"/>
  <c r="G140" i="55"/>
  <c r="H140" i="55" s="1"/>
  <c r="D140" i="55"/>
  <c r="G139" i="55"/>
  <c r="H139" i="55" s="1"/>
  <c r="D139" i="55"/>
  <c r="G138" i="55"/>
  <c r="H138" i="55" s="1"/>
  <c r="D138" i="55"/>
  <c r="H137" i="55"/>
  <c r="G137" i="55"/>
  <c r="D137" i="55"/>
  <c r="G136" i="55"/>
  <c r="H136" i="55" s="1"/>
  <c r="D136" i="55"/>
  <c r="H135" i="55"/>
  <c r="G135" i="55"/>
  <c r="D135" i="55"/>
  <c r="H134" i="55"/>
  <c r="G134" i="55"/>
  <c r="D134" i="55"/>
  <c r="H133" i="55"/>
  <c r="G133" i="55"/>
  <c r="D133" i="55"/>
  <c r="G132" i="55"/>
  <c r="H132" i="55" s="1"/>
  <c r="D132" i="55"/>
  <c r="H131" i="55"/>
  <c r="G131" i="55"/>
  <c r="D131" i="55"/>
  <c r="H130" i="55"/>
  <c r="G130" i="55"/>
  <c r="D130" i="55"/>
  <c r="H129" i="55"/>
  <c r="G129" i="55"/>
  <c r="D129" i="55"/>
  <c r="G128" i="55"/>
  <c r="H128" i="55" s="1"/>
  <c r="D128" i="55"/>
  <c r="H127" i="55"/>
  <c r="G127" i="55"/>
  <c r="D127" i="55"/>
  <c r="H126" i="55"/>
  <c r="G126" i="55"/>
  <c r="D126" i="55"/>
  <c r="H125" i="55"/>
  <c r="G125" i="55"/>
  <c r="D125" i="55"/>
  <c r="G124" i="55"/>
  <c r="H124" i="55" s="1"/>
  <c r="D124" i="55"/>
  <c r="H123" i="55"/>
  <c r="G123" i="55"/>
  <c r="D123" i="55"/>
  <c r="H122" i="55"/>
  <c r="G122" i="55"/>
  <c r="D122" i="55"/>
  <c r="H121" i="55"/>
  <c r="G121" i="55"/>
  <c r="D121" i="55"/>
  <c r="G120" i="55"/>
  <c r="H120" i="55" s="1"/>
  <c r="D120" i="55"/>
  <c r="H119" i="55"/>
  <c r="G119" i="55"/>
  <c r="D119" i="55"/>
  <c r="H118" i="55"/>
  <c r="G118" i="55"/>
  <c r="D118" i="55"/>
  <c r="H117" i="55"/>
  <c r="G117" i="55"/>
  <c r="D117" i="55"/>
  <c r="G116" i="55"/>
  <c r="H116" i="55" s="1"/>
  <c r="D116" i="55"/>
  <c r="H115" i="55"/>
  <c r="G115" i="55"/>
  <c r="D115" i="55"/>
  <c r="H114" i="55"/>
  <c r="G114" i="55"/>
  <c r="D114" i="55"/>
  <c r="H113" i="55"/>
  <c r="G113" i="55"/>
  <c r="D113" i="55"/>
  <c r="G112" i="55"/>
  <c r="H112" i="55" s="1"/>
  <c r="D112" i="55"/>
  <c r="H111" i="55"/>
  <c r="G111" i="55"/>
  <c r="D111" i="55"/>
  <c r="H110" i="55"/>
  <c r="G110" i="55"/>
  <c r="D110" i="55"/>
  <c r="H109" i="55"/>
  <c r="G109" i="55"/>
  <c r="D109" i="55"/>
  <c r="G108" i="55"/>
  <c r="H108" i="55" s="1"/>
  <c r="D108" i="55"/>
  <c r="H107" i="55"/>
  <c r="G107" i="55"/>
  <c r="D107" i="55"/>
  <c r="H106" i="55"/>
  <c r="G106" i="55"/>
  <c r="D106" i="55"/>
  <c r="H105" i="55"/>
  <c r="G105" i="55"/>
  <c r="D105" i="55"/>
  <c r="G104" i="55"/>
  <c r="H104" i="55" s="1"/>
  <c r="D104" i="55"/>
  <c r="H103" i="55"/>
  <c r="G103" i="55"/>
  <c r="D103" i="55"/>
  <c r="H102" i="55"/>
  <c r="G102" i="55"/>
  <c r="D102" i="55"/>
  <c r="H101" i="55"/>
  <c r="G101" i="55"/>
  <c r="D101" i="55"/>
  <c r="G100" i="55"/>
  <c r="H100" i="55" s="1"/>
  <c r="D100" i="55"/>
  <c r="H99" i="55"/>
  <c r="G99" i="55"/>
  <c r="D99" i="55"/>
  <c r="H98" i="55"/>
  <c r="G98" i="55"/>
  <c r="D98" i="55"/>
  <c r="H97" i="55"/>
  <c r="G97" i="55"/>
  <c r="D97" i="55"/>
  <c r="G96" i="55"/>
  <c r="H96" i="55" s="1"/>
  <c r="D96" i="55"/>
  <c r="H95" i="55"/>
  <c r="G95" i="55"/>
  <c r="D95" i="55"/>
  <c r="H94" i="55"/>
  <c r="G94" i="55"/>
  <c r="D94" i="55"/>
  <c r="H93" i="55"/>
  <c r="G93" i="55"/>
  <c r="D93" i="55"/>
  <c r="G92" i="55"/>
  <c r="H92" i="55" s="1"/>
  <c r="D92" i="55"/>
  <c r="H91" i="55"/>
  <c r="G91" i="55"/>
  <c r="D91" i="55"/>
  <c r="H90" i="55"/>
  <c r="G90" i="55"/>
  <c r="D90" i="55"/>
  <c r="H89" i="55"/>
  <c r="G89" i="55"/>
  <c r="D89" i="55"/>
  <c r="G88" i="55"/>
  <c r="H88" i="55" s="1"/>
  <c r="D88" i="55"/>
  <c r="H87" i="55"/>
  <c r="G87" i="55"/>
  <c r="D87" i="55"/>
  <c r="H86" i="55"/>
  <c r="G86" i="55"/>
  <c r="D86" i="55"/>
  <c r="H85" i="55"/>
  <c r="G85" i="55"/>
  <c r="D85" i="55"/>
  <c r="G84" i="55"/>
  <c r="H84" i="55" s="1"/>
  <c r="D84" i="55"/>
  <c r="H83" i="55"/>
  <c r="G83" i="55"/>
  <c r="D83" i="55"/>
  <c r="H82" i="55"/>
  <c r="G82" i="55"/>
  <c r="D82" i="55"/>
  <c r="H81" i="55"/>
  <c r="G81" i="55"/>
  <c r="D81" i="55"/>
  <c r="G80" i="55"/>
  <c r="H80" i="55" s="1"/>
  <c r="D80" i="55"/>
  <c r="H79" i="55"/>
  <c r="G79" i="55"/>
  <c r="D79" i="55"/>
  <c r="H78" i="55"/>
  <c r="G78" i="55"/>
  <c r="D78" i="55"/>
  <c r="H77" i="55"/>
  <c r="G77" i="55"/>
  <c r="D77" i="55"/>
  <c r="G76" i="55"/>
  <c r="H76" i="55" s="1"/>
  <c r="D76" i="55"/>
  <c r="H75" i="55"/>
  <c r="G75" i="55"/>
  <c r="D75" i="55"/>
  <c r="H74" i="55"/>
  <c r="G74" i="55"/>
  <c r="D74" i="55"/>
  <c r="H73" i="55"/>
  <c r="G73" i="55"/>
  <c r="D73" i="55"/>
  <c r="G72" i="55"/>
  <c r="H72" i="55" s="1"/>
  <c r="D72" i="55"/>
  <c r="H71" i="55"/>
  <c r="G71" i="55"/>
  <c r="D71" i="55"/>
  <c r="H70" i="55"/>
  <c r="G70" i="55"/>
  <c r="D70" i="55"/>
  <c r="H69" i="55"/>
  <c r="G69" i="55"/>
  <c r="D69" i="55"/>
  <c r="G68" i="55"/>
  <c r="H68" i="55" s="1"/>
  <c r="D68" i="55"/>
  <c r="H67" i="55"/>
  <c r="G67" i="55"/>
  <c r="D67" i="55"/>
  <c r="H66" i="55"/>
  <c r="G66" i="55"/>
  <c r="D66" i="55"/>
  <c r="H65" i="55"/>
  <c r="G65" i="55"/>
  <c r="D65" i="55"/>
  <c r="G64" i="55"/>
  <c r="H64" i="55" s="1"/>
  <c r="D64" i="55"/>
  <c r="H63" i="55"/>
  <c r="G63" i="55"/>
  <c r="D63" i="55"/>
  <c r="H62" i="55"/>
  <c r="G62" i="55"/>
  <c r="D62" i="55"/>
  <c r="H61" i="55"/>
  <c r="G61" i="55"/>
  <c r="D61" i="55"/>
  <c r="G60" i="55"/>
  <c r="H60" i="55" s="1"/>
  <c r="D60" i="55"/>
  <c r="H59" i="55"/>
  <c r="G59" i="55"/>
  <c r="D59" i="55"/>
  <c r="H58" i="55"/>
  <c r="G58" i="55"/>
  <c r="D58" i="55"/>
  <c r="H57" i="55"/>
  <c r="G57" i="55"/>
  <c r="D57" i="55"/>
  <c r="G56" i="55"/>
  <c r="H56" i="55" s="1"/>
  <c r="D56" i="55"/>
  <c r="H55" i="55"/>
  <c r="G55" i="55"/>
  <c r="D55" i="55"/>
  <c r="H54" i="55"/>
  <c r="G54" i="55"/>
  <c r="D54" i="55"/>
  <c r="H53" i="55"/>
  <c r="G53" i="55"/>
  <c r="D53" i="55"/>
  <c r="G52" i="55"/>
  <c r="H52" i="55" s="1"/>
  <c r="D52" i="55"/>
  <c r="H51" i="55"/>
  <c r="G51" i="55"/>
  <c r="D51" i="55"/>
  <c r="H50" i="55"/>
  <c r="G50" i="55"/>
  <c r="D50" i="55"/>
  <c r="H49" i="55"/>
  <c r="G49" i="55"/>
  <c r="D49" i="55"/>
  <c r="G48" i="55"/>
  <c r="H48" i="55" s="1"/>
  <c r="D48" i="55"/>
  <c r="H47" i="55"/>
  <c r="G47" i="55"/>
  <c r="D47" i="55"/>
  <c r="H46" i="55"/>
  <c r="G46" i="55"/>
  <c r="D46" i="55"/>
  <c r="H45" i="55"/>
  <c r="G45" i="55"/>
  <c r="D45" i="55"/>
  <c r="G44" i="55"/>
  <c r="H44" i="55" s="1"/>
  <c r="D44" i="55"/>
  <c r="H43" i="55"/>
  <c r="G43" i="55"/>
  <c r="D43" i="55"/>
  <c r="H42" i="55"/>
  <c r="G42" i="55"/>
  <c r="D42" i="55"/>
  <c r="H41" i="55"/>
  <c r="G41" i="55"/>
  <c r="D41" i="55"/>
  <c r="G40" i="55"/>
  <c r="H40" i="55" s="1"/>
  <c r="D40" i="55"/>
  <c r="H39" i="55"/>
  <c r="G39" i="55"/>
  <c r="D39" i="55"/>
  <c r="H38" i="55"/>
  <c r="G38" i="55"/>
  <c r="D38" i="55"/>
  <c r="H37" i="55"/>
  <c r="G37" i="55"/>
  <c r="D37" i="55"/>
  <c r="G36" i="55"/>
  <c r="H36" i="55" s="1"/>
  <c r="D36" i="55"/>
  <c r="H35" i="55"/>
  <c r="G35" i="55"/>
  <c r="D35" i="55"/>
  <c r="H34" i="55"/>
  <c r="G34" i="55"/>
  <c r="D34" i="55"/>
  <c r="H33" i="55"/>
  <c r="G33" i="55"/>
  <c r="D33" i="55"/>
  <c r="G32" i="55"/>
  <c r="H32" i="55" s="1"/>
  <c r="D32" i="55"/>
  <c r="H31" i="55"/>
  <c r="G31" i="55"/>
  <c r="D31" i="55"/>
  <c r="H30" i="55"/>
  <c r="G30" i="55"/>
  <c r="D30" i="55"/>
  <c r="H29" i="55"/>
  <c r="G29" i="55"/>
  <c r="D29" i="55"/>
  <c r="G28" i="55"/>
  <c r="H28" i="55" s="1"/>
  <c r="D28" i="55"/>
  <c r="H27" i="55"/>
  <c r="G27" i="55"/>
  <c r="D27" i="55"/>
  <c r="H26" i="55"/>
  <c r="G26" i="55"/>
  <c r="D26" i="55"/>
  <c r="H25" i="55"/>
  <c r="G25" i="55"/>
  <c r="D25" i="55"/>
  <c r="G24" i="55"/>
  <c r="H24" i="55" s="1"/>
  <c r="D24" i="55"/>
  <c r="H23" i="55"/>
  <c r="G23" i="55"/>
  <c r="D23" i="55"/>
  <c r="H22" i="55"/>
  <c r="G22" i="55"/>
  <c r="D22" i="55"/>
  <c r="H21" i="55"/>
  <c r="G21" i="55"/>
  <c r="D21" i="55"/>
  <c r="G20" i="55"/>
  <c r="H20" i="55" s="1"/>
  <c r="D20" i="55"/>
  <c r="H19" i="55"/>
  <c r="G19" i="55"/>
  <c r="D19" i="55"/>
  <c r="H18" i="55"/>
  <c r="G18" i="55"/>
  <c r="D18" i="55"/>
  <c r="H17" i="55"/>
  <c r="G17" i="55"/>
  <c r="D17" i="55"/>
  <c r="G16" i="55"/>
  <c r="H16" i="55" s="1"/>
  <c r="D16" i="55"/>
  <c r="H15" i="55"/>
  <c r="G15" i="55"/>
  <c r="D15" i="55"/>
  <c r="H14" i="55"/>
  <c r="G14" i="55"/>
  <c r="D14" i="55"/>
  <c r="H13" i="55"/>
  <c r="G13" i="55"/>
  <c r="D13" i="55"/>
  <c r="G12" i="55"/>
  <c r="H12" i="55" s="1"/>
  <c r="D12" i="55"/>
  <c r="H11" i="55"/>
  <c r="G11" i="55"/>
  <c r="D11" i="55"/>
  <c r="H10" i="55"/>
  <c r="G10" i="55"/>
  <c r="D10" i="55"/>
  <c r="H9" i="55"/>
  <c r="G9" i="55"/>
  <c r="D9" i="55"/>
  <c r="G8" i="55"/>
  <c r="H8" i="55" s="1"/>
  <c r="D8" i="55"/>
  <c r="H7" i="55"/>
  <c r="G7" i="55"/>
  <c r="D7" i="55"/>
  <c r="H6" i="55"/>
  <c r="G6" i="55"/>
  <c r="D6" i="55"/>
  <c r="H5" i="55"/>
  <c r="G5" i="55"/>
  <c r="D5" i="55"/>
  <c r="G4" i="55"/>
  <c r="H4" i="55" s="1"/>
  <c r="D4" i="55"/>
  <c r="H3" i="55"/>
  <c r="G3" i="55"/>
  <c r="D3" i="55"/>
  <c r="AQ1" i="55"/>
  <c r="AP1" i="55"/>
  <c r="AO1" i="55"/>
  <c r="AN1" i="55"/>
  <c r="AM1" i="55"/>
  <c r="AL1" i="55"/>
  <c r="AK1" i="55"/>
  <c r="AJ1" i="55"/>
  <c r="AI1" i="55"/>
  <c r="AH1" i="55"/>
  <c r="AG1" i="55"/>
  <c r="AF1" i="55"/>
  <c r="AE1" i="55"/>
  <c r="AD1" i="55"/>
  <c r="AC1" i="55"/>
  <c r="AB1" i="55"/>
  <c r="AA1" i="55"/>
  <c r="Z1" i="55"/>
  <c r="Y1" i="55"/>
  <c r="X1" i="55"/>
  <c r="W1" i="55"/>
  <c r="V1" i="55"/>
  <c r="U1" i="55"/>
  <c r="T1" i="55"/>
  <c r="S1" i="55"/>
  <c r="R1" i="55"/>
  <c r="Q1" i="55"/>
  <c r="P1" i="55"/>
  <c r="O1" i="55"/>
  <c r="N1" i="55"/>
  <c r="M1" i="55"/>
  <c r="K1" i="55" s="1"/>
  <c r="H1" i="55"/>
  <c r="S29" i="65"/>
  <c r="R29" i="65"/>
  <c r="Q29" i="65"/>
  <c r="P29" i="65"/>
  <c r="N29" i="65"/>
  <c r="M29" i="65"/>
  <c r="J29" i="65"/>
  <c r="I29" i="65"/>
  <c r="H29" i="65"/>
  <c r="G29" i="65"/>
  <c r="S28" i="65"/>
  <c r="R28" i="65"/>
  <c r="Q28" i="65"/>
  <c r="P28" i="65"/>
  <c r="N28" i="65"/>
  <c r="M28" i="65"/>
  <c r="J28" i="65"/>
  <c r="I28" i="65"/>
  <c r="H28" i="65"/>
  <c r="G28" i="65"/>
  <c r="S27" i="65"/>
  <c r="R27" i="65"/>
  <c r="Q27" i="65"/>
  <c r="P27" i="65"/>
  <c r="N27" i="65"/>
  <c r="M27" i="65"/>
  <c r="J27" i="65"/>
  <c r="I27" i="65"/>
  <c r="H27" i="65"/>
  <c r="G27" i="65"/>
  <c r="S26" i="65"/>
  <c r="R26" i="65"/>
  <c r="Q26" i="65"/>
  <c r="P26" i="65"/>
  <c r="N26" i="65"/>
  <c r="M26" i="65"/>
  <c r="J26" i="65"/>
  <c r="I26" i="65"/>
  <c r="H26" i="65"/>
  <c r="G26" i="65"/>
  <c r="S25" i="65"/>
  <c r="R25" i="65"/>
  <c r="Q25" i="65"/>
  <c r="P25" i="65"/>
  <c r="N25" i="65"/>
  <c r="M25" i="65"/>
  <c r="J25" i="65"/>
  <c r="I25" i="65"/>
  <c r="H25" i="65"/>
  <c r="G25" i="65"/>
  <c r="S24" i="65"/>
  <c r="R24" i="65"/>
  <c r="Q24" i="65"/>
  <c r="P24" i="65"/>
  <c r="N24" i="65"/>
  <c r="M24" i="65"/>
  <c r="J24" i="65"/>
  <c r="I24" i="65"/>
  <c r="H24" i="65"/>
  <c r="G24" i="65"/>
  <c r="S23" i="65"/>
  <c r="R23" i="65"/>
  <c r="Q23" i="65"/>
  <c r="P23" i="65"/>
  <c r="N23" i="65"/>
  <c r="M23" i="65"/>
  <c r="J23" i="65"/>
  <c r="I23" i="65"/>
  <c r="H23" i="65"/>
  <c r="G23" i="65"/>
  <c r="S22" i="65"/>
  <c r="R22" i="65"/>
  <c r="Q22" i="65"/>
  <c r="P22" i="65"/>
  <c r="N22" i="65"/>
  <c r="M22" i="65"/>
  <c r="J22" i="65"/>
  <c r="I22" i="65"/>
  <c r="H22" i="65"/>
  <c r="G22" i="65"/>
  <c r="S21" i="65"/>
  <c r="R21" i="65"/>
  <c r="Q21" i="65"/>
  <c r="P21" i="65"/>
  <c r="N21" i="65"/>
  <c r="M21" i="65"/>
  <c r="I21" i="65"/>
  <c r="H21" i="65"/>
  <c r="G21" i="65"/>
  <c r="C21" i="65"/>
  <c r="S20" i="65"/>
  <c r="R20" i="65"/>
  <c r="Q20" i="65"/>
  <c r="P20" i="65"/>
  <c r="N20" i="65"/>
  <c r="M20" i="65"/>
  <c r="I20" i="65"/>
  <c r="H20" i="65"/>
  <c r="G20" i="65"/>
  <c r="C20" i="65"/>
  <c r="S19" i="65"/>
  <c r="R19" i="65"/>
  <c r="Q19" i="65"/>
  <c r="P19" i="65"/>
  <c r="N19" i="65"/>
  <c r="M19" i="65"/>
  <c r="I19" i="65"/>
  <c r="H19" i="65"/>
  <c r="G19" i="65"/>
  <c r="C19" i="65"/>
  <c r="S18" i="65"/>
  <c r="R18" i="65"/>
  <c r="Q18" i="65"/>
  <c r="P18" i="65"/>
  <c r="N18" i="65"/>
  <c r="M18" i="65"/>
  <c r="I18" i="65"/>
  <c r="H18" i="65"/>
  <c r="G18" i="65"/>
  <c r="C18" i="65"/>
  <c r="S17" i="65"/>
  <c r="R17" i="65"/>
  <c r="Q17" i="65"/>
  <c r="P17" i="65"/>
  <c r="N17" i="65"/>
  <c r="M17" i="65"/>
  <c r="I17" i="65"/>
  <c r="H17" i="65"/>
  <c r="G17" i="65"/>
  <c r="C17" i="65"/>
  <c r="S16" i="65"/>
  <c r="R16" i="65"/>
  <c r="Q16" i="65"/>
  <c r="P16" i="65"/>
  <c r="N16" i="65"/>
  <c r="M16" i="65"/>
  <c r="I16" i="65"/>
  <c r="H16" i="65"/>
  <c r="G16" i="65"/>
  <c r="C16" i="65"/>
  <c r="S15" i="65"/>
  <c r="R15" i="65"/>
  <c r="Q15" i="65"/>
  <c r="P15" i="65"/>
  <c r="N15" i="65"/>
  <c r="M15" i="65"/>
  <c r="I15" i="65"/>
  <c r="H15" i="65"/>
  <c r="G15" i="65"/>
  <c r="C15" i="65"/>
  <c r="S14" i="65"/>
  <c r="R14" i="65"/>
  <c r="Q14" i="65"/>
  <c r="P14" i="65"/>
  <c r="N14" i="65"/>
  <c r="M14" i="65"/>
  <c r="I14" i="65"/>
  <c r="H14" i="65"/>
  <c r="G14" i="65"/>
  <c r="C14" i="65"/>
  <c r="S13" i="65"/>
  <c r="R13" i="65"/>
  <c r="Q13" i="65"/>
  <c r="P13" i="65"/>
  <c r="N13" i="65"/>
  <c r="M13" i="65"/>
  <c r="L13" i="65"/>
  <c r="J13" i="65"/>
  <c r="I13" i="65"/>
  <c r="H13" i="65"/>
  <c r="G13" i="65"/>
  <c r="S12" i="65"/>
  <c r="R12" i="65"/>
  <c r="Q12" i="65"/>
  <c r="P12" i="65"/>
  <c r="N12" i="65"/>
  <c r="M12" i="65"/>
  <c r="L12" i="65"/>
  <c r="J12" i="65"/>
  <c r="I12" i="65"/>
  <c r="H12" i="65"/>
  <c r="G12" i="65"/>
  <c r="S11" i="65"/>
  <c r="R11" i="65"/>
  <c r="Q11" i="65"/>
  <c r="P11" i="65"/>
  <c r="N11" i="65"/>
  <c r="M11" i="65"/>
  <c r="L11" i="65"/>
  <c r="J11" i="65"/>
  <c r="I11" i="65"/>
  <c r="H11" i="65"/>
  <c r="G11" i="65"/>
  <c r="S10" i="65"/>
  <c r="R10" i="65"/>
  <c r="Q10" i="65"/>
  <c r="P10" i="65"/>
  <c r="N10" i="65"/>
  <c r="M10" i="65"/>
  <c r="L10" i="65"/>
  <c r="J10" i="65"/>
  <c r="I10" i="65"/>
  <c r="H10" i="65"/>
  <c r="G10" i="65"/>
  <c r="S9" i="65"/>
  <c r="R9" i="65"/>
  <c r="Q9" i="65"/>
  <c r="P9" i="65"/>
  <c r="N9" i="65"/>
  <c r="M9" i="65"/>
  <c r="L9" i="65"/>
  <c r="J9" i="65"/>
  <c r="I9" i="65"/>
  <c r="H9" i="65"/>
  <c r="G9" i="65"/>
  <c r="S8" i="65"/>
  <c r="R8" i="65"/>
  <c r="Q8" i="65"/>
  <c r="P8" i="65"/>
  <c r="N8" i="65"/>
  <c r="M8" i="65"/>
  <c r="L8" i="65"/>
  <c r="J8" i="65"/>
  <c r="I8" i="65"/>
  <c r="H8" i="65"/>
  <c r="G8" i="65"/>
  <c r="C8" i="65"/>
  <c r="S7" i="65"/>
  <c r="R7" i="65"/>
  <c r="Q7" i="65"/>
  <c r="P7" i="65"/>
  <c r="N7" i="65"/>
  <c r="M7" i="65"/>
  <c r="L7" i="65"/>
  <c r="J7" i="65"/>
  <c r="I7" i="65"/>
  <c r="H7" i="65"/>
  <c r="G7" i="65"/>
  <c r="C7" i="65"/>
  <c r="S6" i="65"/>
  <c r="R6" i="65"/>
  <c r="Q6" i="65"/>
  <c r="P6" i="65"/>
  <c r="N6" i="65"/>
  <c r="M6" i="65"/>
  <c r="L6" i="65"/>
  <c r="J6" i="65"/>
  <c r="I6" i="65"/>
  <c r="H6" i="65"/>
  <c r="G6" i="65"/>
  <c r="S5" i="65"/>
  <c r="R5" i="65"/>
  <c r="Q5" i="65"/>
  <c r="P5" i="65"/>
  <c r="N5" i="65"/>
  <c r="M5" i="65"/>
  <c r="L5" i="65"/>
  <c r="J5" i="65"/>
  <c r="I5" i="65"/>
  <c r="H5" i="65"/>
  <c r="G5" i="65"/>
  <c r="C5" i="65"/>
  <c r="S4" i="65"/>
  <c r="R4" i="65"/>
  <c r="Q4" i="65"/>
  <c r="P4" i="65"/>
  <c r="N4" i="65"/>
  <c r="M4" i="65"/>
  <c r="L4" i="65"/>
  <c r="J4" i="65"/>
  <c r="I4" i="65"/>
  <c r="H4" i="65"/>
  <c r="G4" i="65"/>
  <c r="C4" i="65"/>
  <c r="S3" i="65"/>
  <c r="R3" i="65"/>
  <c r="Q3" i="65"/>
  <c r="P3" i="65"/>
  <c r="N3" i="65"/>
  <c r="M3" i="65"/>
  <c r="L3" i="65"/>
  <c r="J3" i="65"/>
  <c r="I3" i="65"/>
  <c r="H3" i="65"/>
  <c r="G3" i="65"/>
  <c r="C3" i="65"/>
  <c r="S2" i="65"/>
  <c r="R2" i="65"/>
  <c r="Q2" i="65"/>
  <c r="P2" i="65"/>
  <c r="N2" i="65"/>
  <c r="M2" i="65"/>
  <c r="L2" i="65"/>
  <c r="J2" i="65"/>
  <c r="I2" i="65"/>
  <c r="H2" i="65"/>
  <c r="G2" i="65"/>
  <c r="C2" i="65"/>
</calcChain>
</file>

<file path=xl/sharedStrings.xml><?xml version="1.0" encoding="utf-8"?>
<sst xmlns="http://schemas.openxmlformats.org/spreadsheetml/2006/main" count="218" uniqueCount="136">
  <si>
    <t xml:space="preserve"> Plan Aug-2026</t>
  </si>
  <si>
    <t>Require to process Qty.</t>
  </si>
  <si>
    <t>Plan Confirmation Qty.</t>
  </si>
  <si>
    <t>Sr.No.</t>
  </si>
  <si>
    <t>SAP Code</t>
  </si>
  <si>
    <t>Item Code</t>
  </si>
  <si>
    <t>Name of Item</t>
  </si>
  <si>
    <t>Plan K.G</t>
  </si>
  <si>
    <t>Plan  Qty.</t>
  </si>
  <si>
    <t>Pending Qty.</t>
  </si>
  <si>
    <t>Planing status</t>
  </si>
  <si>
    <t>Date
From</t>
  </si>
  <si>
    <t>Date
To</t>
  </si>
  <si>
    <t>C00RL152.0</t>
  </si>
  <si>
    <t>28.08.2026</t>
  </si>
  <si>
    <t>29.08.2026</t>
  </si>
  <si>
    <t>C00RL111.1</t>
  </si>
  <si>
    <t>26.08.2026</t>
  </si>
  <si>
    <t>C00RL110.1</t>
  </si>
  <si>
    <t>C00RL057.0</t>
  </si>
  <si>
    <t>27.08.2026</t>
  </si>
  <si>
    <t>C00RL034.0</t>
  </si>
  <si>
    <t>C00RL321.0</t>
  </si>
  <si>
    <t>C00RL108.0</t>
  </si>
  <si>
    <t>30.08.2026</t>
  </si>
  <si>
    <t>31.08.2026</t>
  </si>
  <si>
    <t>C00RL080.1</t>
  </si>
  <si>
    <t>C00RL339.0</t>
  </si>
  <si>
    <t>C00RL328.4</t>
  </si>
  <si>
    <t>C00RL117.1</t>
  </si>
  <si>
    <t>C00RL089.0</t>
  </si>
  <si>
    <t>Batch Number</t>
  </si>
  <si>
    <t>Roller Size</t>
  </si>
  <si>
    <t>Roller Dia</t>
  </si>
  <si>
    <t>Roller Length</t>
  </si>
  <si>
    <t>CG Speed (mm/min)</t>
  </si>
  <si>
    <t>CG Production per Minute</t>
  </si>
  <si>
    <t>PPH</t>
  </si>
  <si>
    <t>PPH in KG</t>
  </si>
  <si>
    <t>PPH Output Consideration at Present</t>
  </si>
  <si>
    <t>Total Batch Quantity</t>
  </si>
  <si>
    <t># of Pass</t>
  </si>
  <si>
    <t>CG Quantity to Process</t>
  </si>
  <si>
    <t>Total Hours Required to Process the Batch</t>
  </si>
  <si>
    <t>Setup Hours Required</t>
  </si>
  <si>
    <t>Number of Days Required to Process the Batch</t>
  </si>
  <si>
    <t xml:space="preserve">Roller
 Weight </t>
  </si>
  <si>
    <t>Plan Per Shift</t>
  </si>
  <si>
    <t>AD09017</t>
  </si>
  <si>
    <t>SHAFT16X39.3</t>
  </si>
  <si>
    <t>AF05009</t>
  </si>
  <si>
    <t>AF23001</t>
  </si>
  <si>
    <t>AF23004</t>
  </si>
  <si>
    <t xml:space="preserve">PIN.IR 6.0X41.00         </t>
  </si>
  <si>
    <t>Running</t>
  </si>
  <si>
    <t>AF23005</t>
  </si>
  <si>
    <t>AD20008</t>
  </si>
  <si>
    <t>PPH 
(Kg)</t>
  </si>
  <si>
    <t>AD30011</t>
  </si>
  <si>
    <t>AF03001</t>
  </si>
  <si>
    <t>RO 3.5X10.3</t>
  </si>
  <si>
    <t>AD09015</t>
  </si>
  <si>
    <t>AE03001</t>
  </si>
  <si>
    <t>AD20009</t>
  </si>
  <si>
    <t>AF19009</t>
  </si>
  <si>
    <t>RO 4x21.3 BP</t>
  </si>
  <si>
    <t>AD09022</t>
  </si>
  <si>
    <t>AF24011</t>
  </si>
  <si>
    <t>RO 5x16.8 BP</t>
  </si>
  <si>
    <t>AD30009</t>
  </si>
  <si>
    <t>AE06026</t>
  </si>
  <si>
    <t>RO 5x25 BPM</t>
  </si>
  <si>
    <t>AD09012</t>
  </si>
  <si>
    <t>AD30010</t>
  </si>
  <si>
    <t>RO 3.7x16.6 BT</t>
  </si>
  <si>
    <t>AD10002</t>
  </si>
  <si>
    <t>AE06017</t>
  </si>
  <si>
    <t>AE06018</t>
  </si>
  <si>
    <t>AE06019</t>
  </si>
  <si>
    <t>RO 5x14.8 BPM SP</t>
  </si>
  <si>
    <t>AD20005</t>
  </si>
  <si>
    <t>RO 5X49.8</t>
  </si>
  <si>
    <t>RO 5.2X32.25</t>
  </si>
  <si>
    <t>RO 5.494X10.8</t>
  </si>
  <si>
    <t>AE06022</t>
  </si>
  <si>
    <t>AE22017</t>
  </si>
  <si>
    <t>RO 2x5.8 BP</t>
  </si>
  <si>
    <t>AF24009</t>
  </si>
  <si>
    <t>AD20001</t>
  </si>
  <si>
    <t>AD09021</t>
  </si>
  <si>
    <t>AD20004</t>
  </si>
  <si>
    <t>RO 3.279x11.6 BP</t>
  </si>
  <si>
    <t>AD20003</t>
  </si>
  <si>
    <t>AE06021</t>
  </si>
  <si>
    <t>RO 3X14.8 BP ER</t>
  </si>
  <si>
    <t>RO 2.778x11.17 BR</t>
  </si>
  <si>
    <t>RO 3.148X14.8</t>
  </si>
  <si>
    <t>RO 3.148X18.05</t>
  </si>
  <si>
    <t>AE22015</t>
  </si>
  <si>
    <t>RO 3.175x23.6 BP</t>
  </si>
  <si>
    <t>AF24010</t>
  </si>
  <si>
    <t>AG13002</t>
  </si>
  <si>
    <t>AG13003</t>
  </si>
  <si>
    <t>AG08003</t>
  </si>
  <si>
    <t>RO 2.5x23.8 BP</t>
  </si>
  <si>
    <t>RO 2.5x10.8 BP</t>
  </si>
  <si>
    <t>AE22016</t>
  </si>
  <si>
    <t>RO 2.5x13.8 BP</t>
  </si>
  <si>
    <t>AD14024</t>
  </si>
  <si>
    <t>RO 2.5x9.8 BP</t>
  </si>
  <si>
    <t>RO 2.5x16.8 BP</t>
  </si>
  <si>
    <t>AD09023</t>
  </si>
  <si>
    <t>AD09024</t>
  </si>
  <si>
    <t>Required M.T. H.T. Stor</t>
  </si>
  <si>
    <t>Required</t>
  </si>
  <si>
    <t>Required Qty.</t>
  </si>
  <si>
    <t xml:space="preserve">OR.9913 C </t>
  </si>
  <si>
    <t>IR 9913</t>
  </si>
  <si>
    <t>OR 9935</t>
  </si>
  <si>
    <t>OR 4003</t>
  </si>
  <si>
    <t>IR BC2 -166 A</t>
  </si>
  <si>
    <t>IR 208 YY2</t>
  </si>
  <si>
    <t>IR 209 YY2</t>
  </si>
  <si>
    <t>OR 209 YY2</t>
  </si>
  <si>
    <t>IR 211 YY 2</t>
  </si>
  <si>
    <t>OR 211 YY 2</t>
  </si>
  <si>
    <t>IWBA19916A</t>
  </si>
  <si>
    <t>XYIRBC20443</t>
  </si>
  <si>
    <t>XYIRBC20441</t>
  </si>
  <si>
    <t>OR 22210 F</t>
  </si>
  <si>
    <t>IR 22210 F</t>
  </si>
  <si>
    <t>UC  IR 211</t>
  </si>
  <si>
    <t>UC OR 211</t>
  </si>
  <si>
    <t>Total</t>
  </si>
  <si>
    <t>25.08.2026</t>
  </si>
  <si>
    <t>28.08.2062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</si>
</sst>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d/mmm/yyyy;@"/>
    <numFmt numFmtId="166" formatCode="0.00_ "/>
    <numFmt numFmtId="167" formatCode="_ * #,##0_ ;_ * \-#,##0_ ;_ * &quot;-&quot;??_ ;_ @_ "/>
    <numFmt numFmtId="168" formatCode="0.0_ "/>
    <numFmt numFmtId="169" formatCode="0_ "/>
    <numFmt numFmtId="170" formatCode="dd/mm/yyyy;@"/>
    <numFmt numFmtId="171" formatCode="0.000_ "/>
    <numFmt numFmtId="172" formatCode="0.0000_ "/>
  </numFmts>
  <fonts count="1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9"/>
      <name val="Cambria"/>
      <charset val="134"/>
      <scheme val="major"/>
    </font>
    <font>
      <sz val="11"/>
      <color theme="1"/>
      <name val="Cambria"/>
      <charset val="134"/>
    </font>
    <font>
      <sz val="10"/>
      <color theme="1"/>
      <name val="Cambria"/>
      <charset val="134"/>
    </font>
    <font>
      <b/>
      <sz val="11"/>
      <color indexed="8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mbria"/>
      <charset val="134"/>
    </font>
    <font>
      <b/>
      <sz val="11"/>
      <color theme="1"/>
      <name val="Cambria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>
      <alignment vertical="center"/>
    </xf>
    <xf numFmtId="0" fontId="9" fillId="0" borderId="0"/>
  </cellStyleXfs>
  <cellXfs count="11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164" fontId="5" fillId="0" borderId="1" xfId="1" applyFont="1" applyBorder="1" applyAlignment="1">
      <alignment horizontal="center" vertical="center" wrapText="1"/>
    </xf>
    <xf numFmtId="167" fontId="5" fillId="0" borderId="1" xfId="1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2" fontId="0" fillId="2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66" fontId="0" fillId="2" borderId="1" xfId="0" applyNumberFormat="1" applyFill="1" applyBorder="1" applyAlignment="1">
      <alignment horizontal="left" vertical="center"/>
    </xf>
    <xf numFmtId="164" fontId="0" fillId="2" borderId="1" xfId="1" applyFont="1" applyFill="1" applyBorder="1" applyAlignment="1">
      <alignment horizontal="left" vertical="center"/>
    </xf>
    <xf numFmtId="167" fontId="0" fillId="2" borderId="1" xfId="1" applyNumberFormat="1" applyFont="1" applyFill="1" applyBorder="1" applyAlignment="1">
      <alignment horizontal="left" vertical="center"/>
    </xf>
    <xf numFmtId="168" fontId="0" fillId="2" borderId="1" xfId="0" applyNumberFormat="1" applyFill="1" applyBorder="1" applyAlignment="1">
      <alignment horizontal="left" vertical="center"/>
    </xf>
    <xf numFmtId="169" fontId="0" fillId="2" borderId="1" xfId="0" applyNumberFormat="1" applyFill="1" applyBorder="1" applyAlignment="1">
      <alignment horizontal="left" vertical="center"/>
    </xf>
    <xf numFmtId="170" fontId="0" fillId="2" borderId="1" xfId="0" applyNumberFormat="1" applyFill="1" applyBorder="1" applyAlignment="1">
      <alignment horizontal="left" vertical="center"/>
    </xf>
    <xf numFmtId="171" fontId="0" fillId="0" borderId="0" xfId="0" applyNumberFormat="1" applyAlignment="1">
      <alignment horizontal="left" vertical="center"/>
    </xf>
    <xf numFmtId="169" fontId="0" fillId="0" borderId="0" xfId="0" applyNumberFormat="1" applyAlignment="1">
      <alignment horizontal="left" vertical="center"/>
    </xf>
    <xf numFmtId="167" fontId="0" fillId="2" borderId="1" xfId="0" applyNumberFormat="1" applyFill="1" applyBorder="1" applyAlignment="1">
      <alignment horizontal="left" vertical="center"/>
    </xf>
    <xf numFmtId="167" fontId="0" fillId="2" borderId="0" xfId="1" applyNumberFormat="1" applyFont="1" applyFill="1" applyBorder="1" applyAlignment="1">
      <alignment horizontal="left" vertical="center"/>
    </xf>
    <xf numFmtId="1" fontId="0" fillId="2" borderId="1" xfId="0" applyNumberFormat="1" applyFill="1" applyBorder="1" applyAlignment="1">
      <alignment horizontal="left" vertical="center"/>
    </xf>
    <xf numFmtId="2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3" borderId="1" xfId="1" applyFont="1" applyFill="1" applyBorder="1" applyAlignment="1">
      <alignment horizontal="left" vertical="center"/>
    </xf>
    <xf numFmtId="167" fontId="0" fillId="3" borderId="1" xfId="1" applyNumberFormat="1" applyFont="1" applyFill="1" applyBorder="1" applyAlignment="1">
      <alignment horizontal="left" vertical="center"/>
    </xf>
    <xf numFmtId="169" fontId="0" fillId="3" borderId="1" xfId="0" applyNumberFormat="1" applyFill="1" applyBorder="1" applyAlignment="1">
      <alignment horizontal="left" vertical="center"/>
    </xf>
    <xf numFmtId="168" fontId="0" fillId="3" borderId="1" xfId="0" applyNumberFormat="1" applyFill="1" applyBorder="1" applyAlignment="1">
      <alignment horizontal="left" vertical="center"/>
    </xf>
    <xf numFmtId="166" fontId="0" fillId="3" borderId="1" xfId="0" applyNumberFormat="1" applyFill="1" applyBorder="1" applyAlignment="1">
      <alignment horizontal="left" vertical="center"/>
    </xf>
    <xf numFmtId="170" fontId="0" fillId="3" borderId="1" xfId="0" applyNumberForma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1" applyFont="1" applyBorder="1" applyAlignment="1">
      <alignment horizontal="left" vertical="center" wrapText="1"/>
    </xf>
    <xf numFmtId="167" fontId="5" fillId="0" borderId="1" xfId="1" applyNumberFormat="1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72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1" applyFont="1" applyBorder="1" applyAlignment="1">
      <alignment horizontal="left" vertical="center"/>
    </xf>
    <xf numFmtId="167" fontId="0" fillId="0" borderId="1" xfId="1" applyNumberFormat="1" applyFont="1" applyBorder="1" applyAlignment="1">
      <alignment horizontal="left" vertical="center"/>
    </xf>
    <xf numFmtId="167" fontId="0" fillId="4" borderId="1" xfId="1" applyNumberFormat="1" applyFont="1" applyFill="1" applyBorder="1" applyAlignment="1">
      <alignment horizontal="left" vertical="center"/>
    </xf>
    <xf numFmtId="168" fontId="0" fillId="0" borderId="1" xfId="0" applyNumberFormat="1" applyBorder="1" applyAlignment="1">
      <alignment horizontal="left" vertical="center"/>
    </xf>
    <xf numFmtId="169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170" fontId="0" fillId="3" borderId="0" xfId="0" applyNumberFormat="1" applyFill="1" applyAlignment="1">
      <alignment horizontal="left" vertical="center"/>
    </xf>
    <xf numFmtId="172" fontId="0" fillId="5" borderId="0" xfId="0" applyNumberForma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170" fontId="0" fillId="2" borderId="0" xfId="0" applyNumberFormat="1" applyFill="1" applyAlignment="1">
      <alignment horizontal="left" vertical="center"/>
    </xf>
    <xf numFmtId="2" fontId="0" fillId="6" borderId="1" xfId="0" applyNumberForma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left" vertical="center"/>
    </xf>
    <xf numFmtId="164" fontId="0" fillId="6" borderId="1" xfId="1" applyFont="1" applyFill="1" applyBorder="1" applyAlignment="1">
      <alignment horizontal="left" vertical="center"/>
    </xf>
    <xf numFmtId="167" fontId="0" fillId="6" borderId="1" xfId="1" applyNumberFormat="1" applyFont="1" applyFill="1" applyBorder="1" applyAlignment="1">
      <alignment horizontal="left" vertical="center"/>
    </xf>
    <xf numFmtId="168" fontId="0" fillId="6" borderId="1" xfId="0" applyNumberFormat="1" applyFill="1" applyBorder="1" applyAlignment="1">
      <alignment horizontal="left" vertical="center"/>
    </xf>
    <xf numFmtId="169" fontId="0" fillId="6" borderId="1" xfId="0" applyNumberFormat="1" applyFill="1" applyBorder="1" applyAlignment="1">
      <alignment horizontal="left" vertical="center"/>
    </xf>
    <xf numFmtId="170" fontId="0" fillId="6" borderId="0" xfId="0" applyNumberFormat="1" applyFill="1" applyAlignment="1">
      <alignment horizontal="left" vertical="center"/>
    </xf>
    <xf numFmtId="172" fontId="0" fillId="7" borderId="0" xfId="0" applyNumberForma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167" fontId="0" fillId="3" borderId="1" xfId="0" applyNumberFormat="1" applyFill="1" applyBorder="1" applyAlignment="1">
      <alignment horizontal="left" vertical="center"/>
    </xf>
    <xf numFmtId="2" fontId="0" fillId="3" borderId="3" xfId="0" applyNumberFormat="1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166" fontId="0" fillId="3" borderId="3" xfId="0" applyNumberFormat="1" applyFill="1" applyBorder="1" applyAlignment="1">
      <alignment horizontal="left" vertical="center"/>
    </xf>
    <xf numFmtId="164" fontId="0" fillId="3" borderId="3" xfId="1" applyFont="1" applyFill="1" applyBorder="1" applyAlignment="1">
      <alignment horizontal="left" vertical="center"/>
    </xf>
    <xf numFmtId="167" fontId="0" fillId="3" borderId="3" xfId="1" applyNumberFormat="1" applyFont="1" applyFill="1" applyBorder="1" applyAlignment="1">
      <alignment horizontal="left" vertical="center"/>
    </xf>
    <xf numFmtId="168" fontId="0" fillId="3" borderId="3" xfId="0" applyNumberFormat="1" applyFill="1" applyBorder="1" applyAlignment="1">
      <alignment horizontal="left" vertical="center"/>
    </xf>
    <xf numFmtId="169" fontId="0" fillId="3" borderId="3" xfId="0" applyNumberForma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164" fontId="6" fillId="0" borderId="1" xfId="1" applyFont="1" applyBorder="1" applyAlignment="1">
      <alignment horizontal="left" vertical="center" wrapText="1"/>
    </xf>
    <xf numFmtId="167" fontId="6" fillId="0" borderId="1" xfId="1" applyNumberFormat="1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left" vertical="center"/>
    </xf>
    <xf numFmtId="2" fontId="0" fillId="8" borderId="1" xfId="0" applyNumberForma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164" fontId="0" fillId="8" borderId="1" xfId="1" applyFont="1" applyFill="1" applyBorder="1" applyAlignment="1">
      <alignment horizontal="left" vertical="center"/>
    </xf>
    <xf numFmtId="167" fontId="0" fillId="8" borderId="1" xfId="1" applyNumberFormat="1" applyFont="1" applyFill="1" applyBorder="1" applyAlignment="1">
      <alignment horizontal="left" vertical="center"/>
    </xf>
    <xf numFmtId="168" fontId="0" fillId="8" borderId="1" xfId="0" applyNumberFormat="1" applyFill="1" applyBorder="1" applyAlignment="1">
      <alignment horizontal="left" vertical="center"/>
    </xf>
    <xf numFmtId="169" fontId="0" fillId="8" borderId="1" xfId="0" applyNumberFormat="1" applyFill="1" applyBorder="1" applyAlignment="1">
      <alignment horizontal="left" vertical="center"/>
    </xf>
    <xf numFmtId="166" fontId="0" fillId="8" borderId="1" xfId="0" applyNumberFormat="1" applyFill="1" applyBorder="1" applyAlignment="1">
      <alignment horizontal="left" vertical="center"/>
    </xf>
    <xf numFmtId="170" fontId="0" fillId="8" borderId="1" xfId="0" applyNumberForma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/>
    <xf numFmtId="16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65" fontId="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9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66" fontId="3" fillId="0" borderId="4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right" vertical="center"/>
    </xf>
    <xf numFmtId="169" fontId="4" fillId="0" borderId="4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169" fontId="7" fillId="0" borderId="0" xfId="0" applyNumberFormat="1" applyFont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</cellXfs>
  <cellStyles count="3">
    <cellStyle name="Comma" xfId="1" builtinId="3"/>
    <cellStyle name="Normal" xfId="0" builtinId="0"/>
    <cellStyle name="Normal 2" xfId="2" xr:uid="{00000000-0005-0000-0000-000031000000}"/>
  </cellStyles>
  <dxfs count="4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colors>
    <mruColors>
      <color rgb="FFF8EEC8"/>
      <color rgb="FFFBFF4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nning%20Sheet\Stocks%20List\06)%20250528_MRS%20PRODUCT%20BOM%20DAT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Planning%20Sheet/Production%20Planning/Production%20Planning%202024/Planning%202025/10_Oct-25/P.D.%20Report/06)%20250528_MRS%20PRODUCT%20BOM%20DATED.xlsx" TargetMode="External"/><Relationship Id="rId1" Type="http://schemas.openxmlformats.org/officeDocument/2006/relationships/externalLinkPath" Target="/Planning%20Sheet/Production%20Planning/Production%20Planning%202024/Planning%202025/10_Oct-25/P.D.%20Report/06)%20250528_MRS%20PRODUCT%20BOM%20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D%2001/Desktop/Roller/New%20Sheet%20Roller/Working%20WIP%20for%20CG%20Bottleneck.xlsx" TargetMode="External"/><Relationship Id="rId1" Type="http://schemas.openxmlformats.org/officeDocument/2006/relationships/externalLinkPath" Target="/Users/JD%2001/Desktop/Roller/New%20Sheet%20Roller/Working%20WIP%20for%20CG%20Bottlene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</sheetNames>
    <sheetDataSet>
      <sheetData sheetId="0" refreshError="1">
        <row r="5">
          <cell r="C5">
            <v>104001</v>
          </cell>
          <cell r="D5" t="str">
            <v>BR.IR 2822</v>
          </cell>
        </row>
        <row r="6">
          <cell r="C6">
            <v>208001</v>
          </cell>
          <cell r="D6" t="str">
            <v>BR.OR 2822</v>
          </cell>
        </row>
        <row r="7">
          <cell r="C7">
            <v>309001</v>
          </cell>
          <cell r="D7" t="str">
            <v>BR.NCG 2822</v>
          </cell>
        </row>
        <row r="8">
          <cell r="C8">
            <v>410001</v>
          </cell>
          <cell r="D8" t="str">
            <v>BR.K 2800          WITH R</v>
          </cell>
        </row>
        <row r="9">
          <cell r="C9">
            <v>511001</v>
          </cell>
          <cell r="D9" t="str">
            <v>RO 2X9.8</v>
          </cell>
        </row>
        <row r="10">
          <cell r="C10">
            <v>612001</v>
          </cell>
          <cell r="D10" t="str">
            <v>BR.N 2822</v>
          </cell>
        </row>
        <row r="11">
          <cell r="C11">
            <v>913016</v>
          </cell>
          <cell r="D11" t="str">
            <v>Box 250x40x50</v>
          </cell>
        </row>
        <row r="12">
          <cell r="C12">
            <v>410001</v>
          </cell>
          <cell r="D12" t="str">
            <v>BR.K 2800          WITH R</v>
          </cell>
        </row>
        <row r="13">
          <cell r="C13">
            <v>309001</v>
          </cell>
          <cell r="D13" t="str">
            <v>BR.NCG 2822</v>
          </cell>
        </row>
        <row r="14">
          <cell r="C14">
            <v>511001</v>
          </cell>
          <cell r="D14" t="str">
            <v>RO 2X9.8</v>
          </cell>
        </row>
        <row r="15">
          <cell r="C15">
            <v>913010</v>
          </cell>
          <cell r="D15" t="str">
            <v>Box 150x40x50</v>
          </cell>
        </row>
        <row r="16">
          <cell r="C16">
            <v>104001</v>
          </cell>
          <cell r="D16" t="str">
            <v>BR.IR 2822</v>
          </cell>
        </row>
        <row r="17">
          <cell r="C17">
            <v>208001</v>
          </cell>
          <cell r="D17" t="str">
            <v>BR.OR 2822</v>
          </cell>
        </row>
        <row r="18">
          <cell r="C18">
            <v>309001</v>
          </cell>
          <cell r="D18" t="str">
            <v>BR.NCG 2822</v>
          </cell>
        </row>
        <row r="19">
          <cell r="C19">
            <v>410002</v>
          </cell>
          <cell r="D19" t="str">
            <v>BR.K 2820          WITH R</v>
          </cell>
        </row>
        <row r="20">
          <cell r="C20">
            <v>511001</v>
          </cell>
          <cell r="D20" t="str">
            <v>RO 2X9.8</v>
          </cell>
        </row>
        <row r="21">
          <cell r="C21">
            <v>612001</v>
          </cell>
          <cell r="D21" t="str">
            <v>BR.N 2822</v>
          </cell>
        </row>
        <row r="22">
          <cell r="C22">
            <v>913016</v>
          </cell>
          <cell r="D22" t="str">
            <v>Box 250x40x50</v>
          </cell>
        </row>
        <row r="23">
          <cell r="C23">
            <v>104001</v>
          </cell>
          <cell r="D23" t="str">
            <v>BR.IR 2822</v>
          </cell>
        </row>
        <row r="24">
          <cell r="C24">
            <v>208001</v>
          </cell>
          <cell r="D24" t="str">
            <v>BR.OR 2822</v>
          </cell>
        </row>
        <row r="25">
          <cell r="C25">
            <v>309001</v>
          </cell>
          <cell r="D25" t="str">
            <v>BR.NCG 2822</v>
          </cell>
        </row>
        <row r="26">
          <cell r="C26">
            <v>410003</v>
          </cell>
          <cell r="D26" t="str">
            <v>BR.K 2822          WITH R</v>
          </cell>
        </row>
        <row r="27">
          <cell r="C27">
            <v>511001</v>
          </cell>
          <cell r="D27" t="str">
            <v>RO 2X9.8</v>
          </cell>
        </row>
        <row r="28">
          <cell r="C28">
            <v>612001</v>
          </cell>
          <cell r="D28" t="str">
            <v>BR.N 2822</v>
          </cell>
        </row>
        <row r="29">
          <cell r="C29">
            <v>104001</v>
          </cell>
          <cell r="D29" t="str">
            <v>BR.IR 2822</v>
          </cell>
        </row>
        <row r="30">
          <cell r="C30">
            <v>208001</v>
          </cell>
          <cell r="D30" t="str">
            <v>BR.OR 2822</v>
          </cell>
        </row>
        <row r="31">
          <cell r="C31">
            <v>309001</v>
          </cell>
          <cell r="D31" t="str">
            <v>BR.NCG 2822</v>
          </cell>
        </row>
        <row r="32">
          <cell r="C32">
            <v>410003.01</v>
          </cell>
          <cell r="D32" t="str">
            <v>BR.K 2822           W/O R</v>
          </cell>
        </row>
        <row r="33">
          <cell r="C33">
            <v>511001</v>
          </cell>
          <cell r="D33" t="str">
            <v>RO 2X9.8</v>
          </cell>
        </row>
        <row r="34">
          <cell r="C34">
            <v>612001</v>
          </cell>
          <cell r="D34" t="str">
            <v>BR.N 2822</v>
          </cell>
        </row>
        <row r="35">
          <cell r="C35">
            <v>410003</v>
          </cell>
          <cell r="D35" t="str">
            <v>BR.K 2822          WITH R</v>
          </cell>
        </row>
        <row r="36">
          <cell r="C36">
            <v>309001</v>
          </cell>
          <cell r="D36" t="str">
            <v>BR.NCG 2822</v>
          </cell>
        </row>
        <row r="37">
          <cell r="C37">
            <v>511001</v>
          </cell>
          <cell r="D37" t="str">
            <v>RO 2X9.8</v>
          </cell>
        </row>
        <row r="38">
          <cell r="C38">
            <v>913010</v>
          </cell>
          <cell r="D38" t="str">
            <v>Box 150x40x50</v>
          </cell>
        </row>
        <row r="39">
          <cell r="C39">
            <v>309001.01</v>
          </cell>
          <cell r="D39" t="str">
            <v>BR.TCG 2822</v>
          </cell>
        </row>
        <row r="40">
          <cell r="C40">
            <v>511001</v>
          </cell>
          <cell r="D40" t="str">
            <v>RO 2X9.8</v>
          </cell>
        </row>
        <row r="41">
          <cell r="C41">
            <v>612001</v>
          </cell>
          <cell r="D41" t="str">
            <v>BR.N 2822</v>
          </cell>
        </row>
        <row r="42">
          <cell r="C42">
            <v>104001</v>
          </cell>
          <cell r="D42" t="str">
            <v>BR.IR 2822</v>
          </cell>
        </row>
        <row r="43">
          <cell r="C43">
            <v>208001</v>
          </cell>
          <cell r="D43" t="str">
            <v>BR.OR 2822</v>
          </cell>
        </row>
        <row r="44">
          <cell r="C44">
            <v>309001.01</v>
          </cell>
          <cell r="D44" t="str">
            <v>BR.TCG 2822</v>
          </cell>
        </row>
        <row r="45">
          <cell r="C45">
            <v>410003</v>
          </cell>
          <cell r="D45" t="str">
            <v>BR.K 2822          WITH R</v>
          </cell>
        </row>
        <row r="46">
          <cell r="C46">
            <v>511001</v>
          </cell>
          <cell r="D46" t="str">
            <v>RO 2X9.8</v>
          </cell>
        </row>
        <row r="47">
          <cell r="C47">
            <v>612001</v>
          </cell>
          <cell r="D47" t="str">
            <v>BR.N 2822</v>
          </cell>
        </row>
        <row r="48">
          <cell r="C48">
            <v>913016</v>
          </cell>
          <cell r="D48" t="str">
            <v>Box 250x40x50</v>
          </cell>
        </row>
        <row r="49">
          <cell r="C49">
            <v>309026</v>
          </cell>
          <cell r="D49" t="str">
            <v>BR.NCG 3000</v>
          </cell>
        </row>
        <row r="50">
          <cell r="C50">
            <v>913010</v>
          </cell>
          <cell r="D50" t="str">
            <v>Box 150x40x50</v>
          </cell>
        </row>
        <row r="51">
          <cell r="C51">
            <v>104001</v>
          </cell>
          <cell r="D51" t="str">
            <v>BR.IR 2822</v>
          </cell>
        </row>
        <row r="52">
          <cell r="C52">
            <v>208001</v>
          </cell>
          <cell r="D52" t="str">
            <v>BR.OR 2822</v>
          </cell>
        </row>
        <row r="53">
          <cell r="C53">
            <v>309001</v>
          </cell>
          <cell r="D53" t="str">
            <v>BR.NCG 2822</v>
          </cell>
        </row>
        <row r="54">
          <cell r="C54">
            <v>410004</v>
          </cell>
          <cell r="D54" t="str">
            <v>BR.K 2824          WITH R</v>
          </cell>
        </row>
        <row r="55">
          <cell r="C55">
            <v>511001</v>
          </cell>
          <cell r="D55" t="str">
            <v>RO 2X9.8</v>
          </cell>
        </row>
        <row r="56">
          <cell r="C56">
            <v>612001</v>
          </cell>
          <cell r="D56" t="str">
            <v>BR.N 2822</v>
          </cell>
        </row>
        <row r="57">
          <cell r="C57">
            <v>913016</v>
          </cell>
          <cell r="D57" t="str">
            <v>Box 250x40x50</v>
          </cell>
        </row>
        <row r="58">
          <cell r="C58">
            <v>104006</v>
          </cell>
          <cell r="D58" t="str">
            <v>BR.IR 282223 SPL.</v>
          </cell>
        </row>
        <row r="59">
          <cell r="C59">
            <v>208006</v>
          </cell>
          <cell r="D59" t="str">
            <v>BR.OR 282223 SPL.</v>
          </cell>
        </row>
        <row r="60">
          <cell r="C60">
            <v>309006</v>
          </cell>
          <cell r="D60" t="str">
            <v>BR.NCG 282223</v>
          </cell>
        </row>
        <row r="61">
          <cell r="C61">
            <v>410005.02</v>
          </cell>
          <cell r="D61" t="str">
            <v>BR.K 280023         SKF G</v>
          </cell>
        </row>
        <row r="62">
          <cell r="C62">
            <v>511003</v>
          </cell>
          <cell r="D62" t="str">
            <v>RO 2.3X9.8</v>
          </cell>
        </row>
        <row r="63">
          <cell r="C63">
            <v>612090</v>
          </cell>
          <cell r="D63" t="str">
            <v>BR.N 2815(06)</v>
          </cell>
        </row>
        <row r="64">
          <cell r="C64">
            <v>913016</v>
          </cell>
          <cell r="D64" t="str">
            <v>Box 250x40x50</v>
          </cell>
        </row>
        <row r="65">
          <cell r="C65">
            <v>104006</v>
          </cell>
          <cell r="D65" t="str">
            <v>BR.IR 282223 SPL.</v>
          </cell>
        </row>
        <row r="66">
          <cell r="C66">
            <v>208006</v>
          </cell>
          <cell r="D66" t="str">
            <v>BR.OR 282223 SPL.</v>
          </cell>
        </row>
        <row r="67">
          <cell r="C67">
            <v>309006</v>
          </cell>
          <cell r="D67" t="str">
            <v>BR.NCG 282223</v>
          </cell>
        </row>
        <row r="68">
          <cell r="C68">
            <v>410941.02</v>
          </cell>
          <cell r="D68" t="str">
            <v>BR.K 282223         SKF G</v>
          </cell>
        </row>
        <row r="69">
          <cell r="C69">
            <v>511003</v>
          </cell>
          <cell r="D69" t="str">
            <v>RO 2.3X9.8</v>
          </cell>
        </row>
        <row r="70">
          <cell r="C70">
            <v>612001</v>
          </cell>
          <cell r="D70" t="str">
            <v>BR.N 2822</v>
          </cell>
        </row>
        <row r="71">
          <cell r="C71">
            <v>913016</v>
          </cell>
          <cell r="D71" t="str">
            <v>Box 250x40x50</v>
          </cell>
        </row>
        <row r="72">
          <cell r="C72">
            <v>309006</v>
          </cell>
          <cell r="D72" t="str">
            <v>BR.NCG 282223</v>
          </cell>
        </row>
        <row r="73">
          <cell r="C73">
            <v>511003</v>
          </cell>
          <cell r="D73" t="str">
            <v>RO 2.3X9.8</v>
          </cell>
        </row>
        <row r="74">
          <cell r="C74">
            <v>913010</v>
          </cell>
          <cell r="D74" t="str">
            <v>Box 150x40x50</v>
          </cell>
        </row>
        <row r="75">
          <cell r="C75">
            <v>410941.02</v>
          </cell>
          <cell r="D75" t="str">
            <v>BR.K 282223         SKF G</v>
          </cell>
        </row>
        <row r="76">
          <cell r="C76">
            <v>612090</v>
          </cell>
          <cell r="D76" t="str">
            <v>BR.N 2815(06)</v>
          </cell>
        </row>
        <row r="77">
          <cell r="C77">
            <v>104006</v>
          </cell>
          <cell r="D77" t="str">
            <v>BR.IR 282223 SPL.</v>
          </cell>
        </row>
        <row r="78">
          <cell r="C78">
            <v>208006</v>
          </cell>
          <cell r="D78" t="str">
            <v>BR.OR 282223 SPL.</v>
          </cell>
        </row>
        <row r="79">
          <cell r="C79">
            <v>309006</v>
          </cell>
          <cell r="D79" t="str">
            <v>BR.NCG 282223</v>
          </cell>
        </row>
        <row r="80">
          <cell r="C80">
            <v>410007</v>
          </cell>
          <cell r="D80" t="str">
            <v>BR.K 282423        WITH R</v>
          </cell>
        </row>
        <row r="81">
          <cell r="C81">
            <v>511003</v>
          </cell>
          <cell r="D81" t="str">
            <v>RO 2.3X9.8</v>
          </cell>
        </row>
        <row r="82">
          <cell r="C82">
            <v>612001</v>
          </cell>
          <cell r="D82" t="str">
            <v>BR.N 2822</v>
          </cell>
        </row>
        <row r="83">
          <cell r="C83">
            <v>913016</v>
          </cell>
          <cell r="D83" t="str">
            <v>Box 250x40x50</v>
          </cell>
        </row>
        <row r="84">
          <cell r="C84">
            <v>410007</v>
          </cell>
          <cell r="D84" t="str">
            <v>BR.K 282423        WITH R</v>
          </cell>
        </row>
        <row r="85">
          <cell r="C85">
            <v>104006</v>
          </cell>
          <cell r="D85" t="str">
            <v>BR.IR 282223 SPL.</v>
          </cell>
        </row>
        <row r="86">
          <cell r="C86">
            <v>208006</v>
          </cell>
          <cell r="D86" t="str">
            <v>BR.OR 282223 SPL.</v>
          </cell>
        </row>
        <row r="87">
          <cell r="C87">
            <v>309006</v>
          </cell>
          <cell r="D87" t="str">
            <v>BR.NCG 282223</v>
          </cell>
        </row>
        <row r="88">
          <cell r="C88">
            <v>410008</v>
          </cell>
          <cell r="D88" t="str">
            <v>BR.K 282623</v>
          </cell>
        </row>
        <row r="89">
          <cell r="C89">
            <v>511003</v>
          </cell>
          <cell r="D89" t="str">
            <v>RO 2.3X9.8</v>
          </cell>
        </row>
        <row r="90">
          <cell r="C90">
            <v>612042</v>
          </cell>
          <cell r="D90" t="str">
            <v>BR.N 3222</v>
          </cell>
        </row>
        <row r="91">
          <cell r="C91">
            <v>913016</v>
          </cell>
          <cell r="D91" t="str">
            <v>Box 250x40x50</v>
          </cell>
        </row>
        <row r="92">
          <cell r="C92">
            <v>410008</v>
          </cell>
          <cell r="D92" t="str">
            <v>BR.K 282623</v>
          </cell>
        </row>
        <row r="93">
          <cell r="C93">
            <v>104009</v>
          </cell>
          <cell r="D93" t="str">
            <v>BR.IR 282423X</v>
          </cell>
        </row>
        <row r="94">
          <cell r="C94">
            <v>208006</v>
          </cell>
          <cell r="D94" t="str">
            <v>BR.OR 282223 SPL.</v>
          </cell>
        </row>
        <row r="95">
          <cell r="C95">
            <v>309006</v>
          </cell>
          <cell r="D95" t="str">
            <v>BR.NCG 282223</v>
          </cell>
        </row>
        <row r="96">
          <cell r="C96">
            <v>410009</v>
          </cell>
          <cell r="D96" t="str">
            <v>BR.K 282423X       WITH R</v>
          </cell>
        </row>
        <row r="97">
          <cell r="C97">
            <v>511003</v>
          </cell>
          <cell r="D97" t="str">
            <v>RO 2.3X9.8</v>
          </cell>
        </row>
        <row r="98">
          <cell r="C98">
            <v>612001</v>
          </cell>
          <cell r="D98" t="str">
            <v>BR.N 2822</v>
          </cell>
        </row>
        <row r="99">
          <cell r="C99">
            <v>913016</v>
          </cell>
          <cell r="D99" t="str">
            <v>Box 250x40x50</v>
          </cell>
        </row>
        <row r="100">
          <cell r="C100">
            <v>410009</v>
          </cell>
          <cell r="D100" t="str">
            <v>BR.K 282423X       WITH R</v>
          </cell>
        </row>
        <row r="101">
          <cell r="C101">
            <v>104009</v>
          </cell>
          <cell r="D101" t="str">
            <v>BR.IR 282423X</v>
          </cell>
        </row>
        <row r="102">
          <cell r="C102">
            <v>208006</v>
          </cell>
          <cell r="D102" t="str">
            <v>BR.OR 282223 SPL.</v>
          </cell>
        </row>
        <row r="103">
          <cell r="C103">
            <v>309006</v>
          </cell>
          <cell r="D103" t="str">
            <v>BR.NCG 282223</v>
          </cell>
        </row>
        <row r="104">
          <cell r="C104">
            <v>410010</v>
          </cell>
          <cell r="D104" t="str">
            <v>BR.K 282423XC      WITH R</v>
          </cell>
        </row>
        <row r="105">
          <cell r="C105">
            <v>511003</v>
          </cell>
          <cell r="D105" t="str">
            <v>RO 2.3X9.8</v>
          </cell>
        </row>
        <row r="106">
          <cell r="C106">
            <v>612001</v>
          </cell>
          <cell r="D106" t="str">
            <v>BR.N 2822</v>
          </cell>
        </row>
        <row r="107">
          <cell r="C107">
            <v>913016</v>
          </cell>
          <cell r="D107" t="str">
            <v>Box 250x40x50</v>
          </cell>
        </row>
        <row r="108">
          <cell r="C108">
            <v>104009</v>
          </cell>
          <cell r="D108" t="str">
            <v>BR.IR 282423X</v>
          </cell>
        </row>
        <row r="109">
          <cell r="C109">
            <v>208006</v>
          </cell>
          <cell r="D109" t="str">
            <v>BR.OR 282223 SPL.</v>
          </cell>
        </row>
        <row r="110">
          <cell r="C110">
            <v>309006</v>
          </cell>
          <cell r="D110" t="str">
            <v>BR.NCG 282223</v>
          </cell>
        </row>
        <row r="111">
          <cell r="C111">
            <v>410011.02</v>
          </cell>
          <cell r="D111" t="str">
            <v>BR.K 282223X        SKF G</v>
          </cell>
        </row>
        <row r="112">
          <cell r="C112">
            <v>511003</v>
          </cell>
          <cell r="D112" t="str">
            <v>RO 2.3X9.8</v>
          </cell>
        </row>
        <row r="113">
          <cell r="C113">
            <v>612090</v>
          </cell>
          <cell r="D113" t="str">
            <v>BR.N 2815(06)</v>
          </cell>
        </row>
        <row r="114">
          <cell r="C114">
            <v>913016</v>
          </cell>
          <cell r="D114" t="str">
            <v>Box 250x40x50</v>
          </cell>
        </row>
        <row r="115">
          <cell r="C115">
            <v>104001</v>
          </cell>
          <cell r="D115" t="str">
            <v>BR.IR 2822</v>
          </cell>
        </row>
        <row r="116">
          <cell r="C116">
            <v>208001</v>
          </cell>
          <cell r="D116" t="str">
            <v>BR.OR 2822</v>
          </cell>
        </row>
        <row r="117">
          <cell r="C117">
            <v>309001</v>
          </cell>
          <cell r="D117" t="str">
            <v>BR.NCG 2822</v>
          </cell>
        </row>
        <row r="118">
          <cell r="C118">
            <v>410012.01</v>
          </cell>
          <cell r="D118" t="str">
            <v>BR.K 2826           W/O R</v>
          </cell>
        </row>
        <row r="119">
          <cell r="C119">
            <v>511001</v>
          </cell>
          <cell r="D119" t="str">
            <v>RO 2X9.8</v>
          </cell>
        </row>
        <row r="120">
          <cell r="C120">
            <v>612001</v>
          </cell>
          <cell r="D120" t="str">
            <v>BR.N 2822</v>
          </cell>
        </row>
        <row r="121">
          <cell r="C121">
            <v>913016</v>
          </cell>
          <cell r="D121" t="str">
            <v>Box 250x40x50</v>
          </cell>
        </row>
        <row r="122">
          <cell r="C122">
            <v>410012</v>
          </cell>
          <cell r="D122" t="str">
            <v>BR.K 2826          WITH R</v>
          </cell>
        </row>
        <row r="123">
          <cell r="C123">
            <v>309001</v>
          </cell>
          <cell r="D123" t="str">
            <v>BR.NCG 2822</v>
          </cell>
        </row>
        <row r="124">
          <cell r="C124">
            <v>511001</v>
          </cell>
          <cell r="D124" t="str">
            <v>RO 2X9.8</v>
          </cell>
        </row>
        <row r="125">
          <cell r="C125">
            <v>913010</v>
          </cell>
          <cell r="D125" t="str">
            <v>Box 150x40x50</v>
          </cell>
        </row>
        <row r="126">
          <cell r="C126">
            <v>104006</v>
          </cell>
          <cell r="D126" t="str">
            <v>BR.IR 282223 SPL.</v>
          </cell>
        </row>
        <row r="127">
          <cell r="C127">
            <v>208006</v>
          </cell>
          <cell r="D127" t="str">
            <v>BR.OR 282223 SPL.</v>
          </cell>
        </row>
        <row r="128">
          <cell r="C128">
            <v>309001</v>
          </cell>
          <cell r="D128" t="str">
            <v>BR.NCG 2822</v>
          </cell>
        </row>
        <row r="129">
          <cell r="C129">
            <v>410940</v>
          </cell>
          <cell r="D129" t="str">
            <v>BR.K 282023        WITH R</v>
          </cell>
        </row>
        <row r="130">
          <cell r="C130">
            <v>511003</v>
          </cell>
          <cell r="D130" t="str">
            <v>RO 2.3X9.8</v>
          </cell>
        </row>
        <row r="131">
          <cell r="C131">
            <v>612001</v>
          </cell>
          <cell r="D131" t="str">
            <v>BR.N 2822</v>
          </cell>
        </row>
        <row r="132">
          <cell r="C132">
            <v>913016</v>
          </cell>
          <cell r="D132" t="str">
            <v>Box 250x40x50</v>
          </cell>
        </row>
        <row r="133">
          <cell r="C133">
            <v>104006</v>
          </cell>
          <cell r="D133" t="str">
            <v>BR.IR 282223 SPL.</v>
          </cell>
        </row>
        <row r="134">
          <cell r="C134">
            <v>208001</v>
          </cell>
          <cell r="D134" t="str">
            <v>BR.OR 2822</v>
          </cell>
        </row>
        <row r="135">
          <cell r="C135">
            <v>309006</v>
          </cell>
          <cell r="D135" t="str">
            <v>BR.NCG 282223</v>
          </cell>
        </row>
        <row r="136">
          <cell r="C136">
            <v>511003</v>
          </cell>
          <cell r="D136" t="str">
            <v>RO 2.3X9.8</v>
          </cell>
        </row>
        <row r="137">
          <cell r="C137">
            <v>612014</v>
          </cell>
          <cell r="D137" t="str">
            <v>BR.N 2816.5 SPL</v>
          </cell>
        </row>
        <row r="138">
          <cell r="C138">
            <v>717014</v>
          </cell>
          <cell r="D138" t="str">
            <v>WASHER 5.5X8.1X.8</v>
          </cell>
        </row>
        <row r="139">
          <cell r="C139">
            <v>818252</v>
          </cell>
          <cell r="D139" t="str">
            <v>NYLON RETUNER 23 mm.</v>
          </cell>
        </row>
        <row r="140">
          <cell r="C140">
            <v>104006</v>
          </cell>
          <cell r="D140" t="str">
            <v>BR.IR 282223 SPL.</v>
          </cell>
        </row>
        <row r="141">
          <cell r="C141">
            <v>208001</v>
          </cell>
          <cell r="D141" t="str">
            <v>BR.OR 2822</v>
          </cell>
        </row>
        <row r="142">
          <cell r="C142">
            <v>309006</v>
          </cell>
          <cell r="D142" t="str">
            <v>BR.NCG 282223</v>
          </cell>
        </row>
        <row r="143">
          <cell r="C143">
            <v>410003</v>
          </cell>
          <cell r="D143" t="str">
            <v>BR.K 2822          WITH R</v>
          </cell>
        </row>
        <row r="144">
          <cell r="C144">
            <v>511003</v>
          </cell>
          <cell r="D144" t="str">
            <v>RO 2.3X9.8</v>
          </cell>
        </row>
        <row r="145">
          <cell r="C145">
            <v>612001</v>
          </cell>
          <cell r="D145" t="str">
            <v>BR.N 2822</v>
          </cell>
        </row>
        <row r="146">
          <cell r="C146">
            <v>104025</v>
          </cell>
          <cell r="D146" t="str">
            <v>BR.IR 30172621          F</v>
          </cell>
        </row>
        <row r="147">
          <cell r="C147">
            <v>208025</v>
          </cell>
          <cell r="D147" t="str">
            <v>BR.OR 30172621          F</v>
          </cell>
        </row>
        <row r="148">
          <cell r="C148">
            <v>309026</v>
          </cell>
          <cell r="D148" t="str">
            <v>BR.NCG 3000</v>
          </cell>
        </row>
        <row r="149">
          <cell r="C149">
            <v>511001</v>
          </cell>
          <cell r="D149" t="str">
            <v>RO 2X9.8</v>
          </cell>
        </row>
        <row r="150">
          <cell r="C150">
            <v>612090</v>
          </cell>
          <cell r="D150" t="str">
            <v>BR.N 2815(06)</v>
          </cell>
        </row>
        <row r="151">
          <cell r="C151">
            <v>717165.03</v>
          </cell>
          <cell r="D151" t="str">
            <v>Nipple Washer</v>
          </cell>
        </row>
        <row r="152">
          <cell r="C152">
            <v>104026</v>
          </cell>
          <cell r="D152" t="str">
            <v>BR.IR 3000</v>
          </cell>
        </row>
        <row r="153">
          <cell r="C153">
            <v>208026</v>
          </cell>
          <cell r="D153" t="str">
            <v>BR.OR 3000</v>
          </cell>
        </row>
        <row r="154">
          <cell r="C154">
            <v>309026</v>
          </cell>
          <cell r="D154" t="str">
            <v>BR.NCG 3000</v>
          </cell>
        </row>
        <row r="155">
          <cell r="C155">
            <v>410026.02</v>
          </cell>
          <cell r="D155" t="str">
            <v>BR.K 3000           SKF G</v>
          </cell>
        </row>
        <row r="156">
          <cell r="C156">
            <v>511001</v>
          </cell>
          <cell r="D156" t="str">
            <v>RO 2X9.8</v>
          </cell>
        </row>
        <row r="157">
          <cell r="C157">
            <v>612125</v>
          </cell>
          <cell r="D157" t="str">
            <v>BR.N 3218.5(06)</v>
          </cell>
        </row>
        <row r="158">
          <cell r="C158">
            <v>913016</v>
          </cell>
          <cell r="D158" t="str">
            <v>Box 250x40x50</v>
          </cell>
        </row>
        <row r="159">
          <cell r="C159">
            <v>104026</v>
          </cell>
          <cell r="D159" t="str">
            <v>BR.IR 3000</v>
          </cell>
        </row>
        <row r="160">
          <cell r="C160">
            <v>208026</v>
          </cell>
          <cell r="D160" t="str">
            <v>BR.OR 3000</v>
          </cell>
        </row>
        <row r="161">
          <cell r="C161">
            <v>309026</v>
          </cell>
          <cell r="D161" t="str">
            <v>BR.NCG 3000</v>
          </cell>
        </row>
        <row r="162">
          <cell r="C162">
            <v>410026.02</v>
          </cell>
          <cell r="D162" t="str">
            <v>BR.K 3000           SKF G</v>
          </cell>
        </row>
        <row r="163">
          <cell r="C163">
            <v>511001</v>
          </cell>
          <cell r="D163" t="str">
            <v>RO 2X9.8</v>
          </cell>
        </row>
        <row r="164">
          <cell r="C164">
            <v>612125</v>
          </cell>
          <cell r="D164" t="str">
            <v>BR.N 3218.5(06)</v>
          </cell>
        </row>
        <row r="165">
          <cell r="C165">
            <v>913016</v>
          </cell>
          <cell r="D165" t="str">
            <v>Box 250x40x50</v>
          </cell>
        </row>
        <row r="166">
          <cell r="C166">
            <v>410026.02</v>
          </cell>
          <cell r="D166" t="str">
            <v>BR.K 3000           SKF G</v>
          </cell>
        </row>
        <row r="167">
          <cell r="C167">
            <v>309026</v>
          </cell>
          <cell r="D167" t="str">
            <v>BR.NCG 3000</v>
          </cell>
        </row>
        <row r="168">
          <cell r="C168">
            <v>511001</v>
          </cell>
          <cell r="D168" t="str">
            <v>RO 2X9.8</v>
          </cell>
        </row>
        <row r="169">
          <cell r="C169">
            <v>913010</v>
          </cell>
          <cell r="D169" t="str">
            <v>Box 150x40x50</v>
          </cell>
        </row>
        <row r="170">
          <cell r="C170">
            <v>104026</v>
          </cell>
          <cell r="D170" t="str">
            <v>BR.IR 3000</v>
          </cell>
        </row>
        <row r="171">
          <cell r="C171">
            <v>208026</v>
          </cell>
          <cell r="D171" t="str">
            <v>BR.OR 3000</v>
          </cell>
        </row>
        <row r="172">
          <cell r="C172">
            <v>309026</v>
          </cell>
          <cell r="D172" t="str">
            <v>BR.NCG 3000</v>
          </cell>
        </row>
        <row r="173">
          <cell r="C173">
            <v>410026.02</v>
          </cell>
          <cell r="D173" t="str">
            <v>BR.K 3000           SKF G</v>
          </cell>
        </row>
        <row r="174">
          <cell r="C174">
            <v>511001</v>
          </cell>
          <cell r="D174" t="str">
            <v>RO 2X9.8</v>
          </cell>
        </row>
        <row r="175">
          <cell r="C175">
            <v>612026.16</v>
          </cell>
          <cell r="D175" t="str">
            <v>BR.N 3000(Fennel Type)M6</v>
          </cell>
        </row>
        <row r="176">
          <cell r="C176">
            <v>913016</v>
          </cell>
          <cell r="D176" t="str">
            <v>Box 250x40x50</v>
          </cell>
        </row>
        <row r="177">
          <cell r="C177">
            <v>913016</v>
          </cell>
          <cell r="D177" t="str">
            <v>Box 250x40x50</v>
          </cell>
        </row>
        <row r="178">
          <cell r="C178">
            <v>612026.16</v>
          </cell>
          <cell r="D178" t="str">
            <v>BR.N 3000(Fennel Type)M6</v>
          </cell>
        </row>
        <row r="179">
          <cell r="C179">
            <v>104026</v>
          </cell>
          <cell r="D179" t="str">
            <v>BR.IR 3000</v>
          </cell>
        </row>
        <row r="180">
          <cell r="C180">
            <v>208026</v>
          </cell>
          <cell r="D180" t="str">
            <v>BR.OR 3000</v>
          </cell>
        </row>
        <row r="181">
          <cell r="C181">
            <v>309026</v>
          </cell>
          <cell r="D181" t="str">
            <v>BR.NCG 3000</v>
          </cell>
        </row>
        <row r="182">
          <cell r="C182">
            <v>410026.02</v>
          </cell>
          <cell r="D182" t="str">
            <v>BR.K 3000           SKF G</v>
          </cell>
        </row>
        <row r="183">
          <cell r="C183">
            <v>511001</v>
          </cell>
          <cell r="D183" t="str">
            <v>RO 2X9.8</v>
          </cell>
        </row>
        <row r="184">
          <cell r="C184">
            <v>5221208.0199999996</v>
          </cell>
          <cell r="D184" t="str">
            <v>O Centoplex BE41 103BH</v>
          </cell>
        </row>
        <row r="185">
          <cell r="C185">
            <v>612125</v>
          </cell>
          <cell r="D185" t="str">
            <v>BR.N 3218.5(06)</v>
          </cell>
        </row>
        <row r="186">
          <cell r="C186">
            <v>913016</v>
          </cell>
          <cell r="D186" t="str">
            <v>Box 250x40x50</v>
          </cell>
        </row>
        <row r="187">
          <cell r="C187">
            <v>104026</v>
          </cell>
          <cell r="D187" t="str">
            <v>BR.IR 3000</v>
          </cell>
        </row>
        <row r="188">
          <cell r="C188">
            <v>208026</v>
          </cell>
          <cell r="D188" t="str">
            <v>BR.OR 3000</v>
          </cell>
        </row>
        <row r="189">
          <cell r="C189">
            <v>309026</v>
          </cell>
          <cell r="D189" t="str">
            <v>BR.NCG 3000</v>
          </cell>
        </row>
        <row r="190">
          <cell r="C190">
            <v>410027</v>
          </cell>
          <cell r="D190" t="str">
            <v>BR.K 3020          WITH R</v>
          </cell>
        </row>
        <row r="191">
          <cell r="C191">
            <v>511001</v>
          </cell>
          <cell r="D191" t="str">
            <v>RO 2X9.8</v>
          </cell>
        </row>
        <row r="192">
          <cell r="C192">
            <v>612001</v>
          </cell>
          <cell r="D192" t="str">
            <v>BR.N 2822</v>
          </cell>
        </row>
        <row r="193">
          <cell r="C193">
            <v>913016</v>
          </cell>
          <cell r="D193" t="str">
            <v>Box 250x40x50</v>
          </cell>
        </row>
        <row r="194">
          <cell r="C194">
            <v>104026</v>
          </cell>
          <cell r="D194" t="str">
            <v>BR.IR 3000</v>
          </cell>
        </row>
        <row r="195">
          <cell r="C195">
            <v>208026</v>
          </cell>
          <cell r="D195" t="str">
            <v>BR.OR 3000</v>
          </cell>
        </row>
        <row r="196">
          <cell r="C196">
            <v>309026</v>
          </cell>
          <cell r="D196" t="str">
            <v>BR.NCG 3000</v>
          </cell>
        </row>
        <row r="197">
          <cell r="C197">
            <v>410028</v>
          </cell>
          <cell r="D197" t="str">
            <v>BR.K 3022          WITH</v>
          </cell>
        </row>
        <row r="198">
          <cell r="C198">
            <v>511001</v>
          </cell>
          <cell r="D198" t="str">
            <v>RO 2X9.8</v>
          </cell>
        </row>
        <row r="199">
          <cell r="C199">
            <v>612001</v>
          </cell>
          <cell r="D199" t="str">
            <v>BR.N 2822</v>
          </cell>
        </row>
        <row r="200">
          <cell r="C200">
            <v>913016</v>
          </cell>
          <cell r="D200" t="str">
            <v>Box 250x40x50</v>
          </cell>
        </row>
        <row r="201">
          <cell r="C201">
            <v>410028</v>
          </cell>
          <cell r="D201" t="str">
            <v>BR.K 3022          WITH</v>
          </cell>
        </row>
        <row r="202">
          <cell r="C202">
            <v>104026</v>
          </cell>
          <cell r="D202" t="str">
            <v>BR.IR 3000</v>
          </cell>
        </row>
        <row r="203">
          <cell r="C203">
            <v>208026</v>
          </cell>
          <cell r="D203" t="str">
            <v>BR.OR 3000</v>
          </cell>
        </row>
        <row r="204">
          <cell r="C204">
            <v>309026</v>
          </cell>
          <cell r="D204" t="str">
            <v>BR.NCG 3000</v>
          </cell>
        </row>
        <row r="205">
          <cell r="C205">
            <v>410029</v>
          </cell>
          <cell r="D205" t="str">
            <v>BR.K 3026          WITH R</v>
          </cell>
        </row>
        <row r="206">
          <cell r="C206">
            <v>511001</v>
          </cell>
          <cell r="D206" t="str">
            <v>RO 2X9.8</v>
          </cell>
        </row>
        <row r="207">
          <cell r="C207">
            <v>612001</v>
          </cell>
          <cell r="D207" t="str">
            <v>BR.N 2822</v>
          </cell>
        </row>
        <row r="208">
          <cell r="C208">
            <v>913016</v>
          </cell>
          <cell r="D208" t="str">
            <v>Box 250x40x50</v>
          </cell>
        </row>
        <row r="209">
          <cell r="C209">
            <v>104026</v>
          </cell>
          <cell r="D209" t="str">
            <v>BR.IR 3000</v>
          </cell>
        </row>
        <row r="210">
          <cell r="C210">
            <v>208026</v>
          </cell>
          <cell r="D210" t="str">
            <v>BR.OR 3000</v>
          </cell>
        </row>
        <row r="211">
          <cell r="C211">
            <v>309026</v>
          </cell>
          <cell r="D211" t="str">
            <v>BR.NCG 3000</v>
          </cell>
        </row>
        <row r="212">
          <cell r="C212">
            <v>410026.02</v>
          </cell>
          <cell r="D212" t="str">
            <v>BR.K 3000           SKF G</v>
          </cell>
        </row>
        <row r="213">
          <cell r="C213">
            <v>511001</v>
          </cell>
          <cell r="D213" t="str">
            <v>RO 2X9.8</v>
          </cell>
        </row>
        <row r="214">
          <cell r="C214">
            <v>612090</v>
          </cell>
          <cell r="D214" t="str">
            <v>BR.N 2815(06)</v>
          </cell>
        </row>
        <row r="215">
          <cell r="C215">
            <v>410029</v>
          </cell>
          <cell r="D215" t="str">
            <v>BR.K 3026          WITH R</v>
          </cell>
        </row>
        <row r="216">
          <cell r="C216">
            <v>104026</v>
          </cell>
          <cell r="D216" t="str">
            <v>BR.IR 3000</v>
          </cell>
        </row>
        <row r="217">
          <cell r="C217">
            <v>208026</v>
          </cell>
          <cell r="D217" t="str">
            <v>BR.OR 3000</v>
          </cell>
        </row>
        <row r="218">
          <cell r="C218">
            <v>309026</v>
          </cell>
          <cell r="D218" t="str">
            <v>BR.NCG 3000</v>
          </cell>
        </row>
        <row r="219">
          <cell r="C219">
            <v>410029.3</v>
          </cell>
          <cell r="D219" t="str">
            <v>BR.K 3026 SKF</v>
          </cell>
        </row>
        <row r="220">
          <cell r="C220">
            <v>511001</v>
          </cell>
          <cell r="D220" t="str">
            <v>RO 2X9.8</v>
          </cell>
        </row>
        <row r="221">
          <cell r="C221">
            <v>612026.15</v>
          </cell>
          <cell r="D221" t="str">
            <v>BR.N 3000 (Fennel Type)</v>
          </cell>
        </row>
        <row r="222">
          <cell r="C222">
            <v>104026</v>
          </cell>
          <cell r="D222" t="str">
            <v>BR.IR 3000</v>
          </cell>
        </row>
        <row r="223">
          <cell r="C223">
            <v>104030</v>
          </cell>
          <cell r="D223" t="str">
            <v>BR.IR 301725.420</v>
          </cell>
        </row>
        <row r="224">
          <cell r="C224">
            <v>208155.01</v>
          </cell>
          <cell r="D224" t="str">
            <v>BR.OR 3015.875</v>
          </cell>
        </row>
        <row r="225">
          <cell r="C225">
            <v>309001</v>
          </cell>
          <cell r="D225" t="str">
            <v>BR.NCG 2822</v>
          </cell>
        </row>
        <row r="226">
          <cell r="C226">
            <v>511001</v>
          </cell>
          <cell r="D226" t="str">
            <v>RO 2X9.8</v>
          </cell>
        </row>
        <row r="227">
          <cell r="C227">
            <v>612001</v>
          </cell>
          <cell r="D227" t="str">
            <v>BR.N 2822</v>
          </cell>
        </row>
        <row r="228">
          <cell r="C228">
            <v>913016</v>
          </cell>
          <cell r="D228" t="str">
            <v>Box 250x40x50</v>
          </cell>
        </row>
        <row r="229">
          <cell r="C229">
            <v>410040.41</v>
          </cell>
          <cell r="D229" t="str">
            <v>BR.K 3200  STL</v>
          </cell>
        </row>
        <row r="230">
          <cell r="C230">
            <v>104040</v>
          </cell>
          <cell r="D230" t="str">
            <v>BR.IR 3222</v>
          </cell>
        </row>
        <row r="231">
          <cell r="C231">
            <v>208040.4</v>
          </cell>
          <cell r="D231" t="str">
            <v>BR.OR 3222 LMW</v>
          </cell>
        </row>
        <row r="232">
          <cell r="C232">
            <v>309040</v>
          </cell>
          <cell r="D232" t="str">
            <v>BR.NCG 3222</v>
          </cell>
        </row>
        <row r="233">
          <cell r="C233">
            <v>410040.4</v>
          </cell>
          <cell r="D233" t="str">
            <v>BR.K 3200 LMW</v>
          </cell>
        </row>
        <row r="234">
          <cell r="C234">
            <v>511040</v>
          </cell>
          <cell r="D234" t="str">
            <v>RO 2X11.8</v>
          </cell>
        </row>
        <row r="235">
          <cell r="C235">
            <v>612040.4</v>
          </cell>
          <cell r="D235" t="str">
            <v>BR.N 3200 LMW</v>
          </cell>
        </row>
        <row r="236">
          <cell r="C236">
            <v>818252</v>
          </cell>
          <cell r="D236" t="str">
            <v>NYLON RETUNER 23 mm.</v>
          </cell>
        </row>
        <row r="237">
          <cell r="C237">
            <v>913016</v>
          </cell>
          <cell r="D237" t="str">
            <v>Box 250x40x50</v>
          </cell>
        </row>
        <row r="238">
          <cell r="C238">
            <v>100040.01</v>
          </cell>
          <cell r="D238" t="str">
            <v>IR.MBT2830EGL</v>
          </cell>
        </row>
        <row r="239">
          <cell r="C239">
            <v>200040.01</v>
          </cell>
          <cell r="D239" t="str">
            <v>OR.MBT2830EGL</v>
          </cell>
        </row>
        <row r="240">
          <cell r="C240">
            <v>300040.01</v>
          </cell>
          <cell r="D240" t="str">
            <v>CAGE.MBT2830EGL</v>
          </cell>
        </row>
        <row r="241">
          <cell r="C241">
            <v>400040.01</v>
          </cell>
          <cell r="D241" t="str">
            <v>CLIPS.MBT2830EGL</v>
          </cell>
        </row>
        <row r="242">
          <cell r="C242">
            <v>511040.01</v>
          </cell>
          <cell r="D242" t="str">
            <v>RO 2.8X9.8</v>
          </cell>
        </row>
        <row r="243">
          <cell r="C243">
            <v>5221208.0199999996</v>
          </cell>
          <cell r="D243" t="str">
            <v>O Centoplex BE41 103BH</v>
          </cell>
        </row>
        <row r="244">
          <cell r="C244">
            <v>612001</v>
          </cell>
          <cell r="D244" t="str">
            <v>BR.N 2822</v>
          </cell>
        </row>
        <row r="245">
          <cell r="C245">
            <v>700040.01</v>
          </cell>
          <cell r="D245" t="str">
            <v>SEAL.MBT2830EGL 01</v>
          </cell>
        </row>
        <row r="246">
          <cell r="C246">
            <v>700040.02</v>
          </cell>
          <cell r="D246" t="str">
            <v>SEAL.MBT2830EGL 01</v>
          </cell>
        </row>
        <row r="247">
          <cell r="C247">
            <v>410040.4</v>
          </cell>
          <cell r="D247" t="str">
            <v>BR.K 3200 LMW</v>
          </cell>
        </row>
        <row r="248">
          <cell r="C248">
            <v>309040</v>
          </cell>
          <cell r="D248" t="str">
            <v>BR.NCG 3222</v>
          </cell>
        </row>
        <row r="249">
          <cell r="C249">
            <v>511040</v>
          </cell>
          <cell r="D249" t="str">
            <v>RO 2X11.8</v>
          </cell>
        </row>
        <row r="250">
          <cell r="C250">
            <v>913010</v>
          </cell>
          <cell r="D250" t="str">
            <v>Box 150x40x50</v>
          </cell>
        </row>
        <row r="251">
          <cell r="C251">
            <v>612040.4</v>
          </cell>
          <cell r="D251" t="str">
            <v>BR.N 3200 LMW</v>
          </cell>
        </row>
        <row r="252">
          <cell r="C252">
            <v>104040</v>
          </cell>
          <cell r="D252" t="str">
            <v>BR.IR 3222</v>
          </cell>
        </row>
        <row r="253">
          <cell r="C253">
            <v>208040.4</v>
          </cell>
          <cell r="D253" t="str">
            <v>BR.OR 3222 LMW</v>
          </cell>
        </row>
        <row r="254">
          <cell r="C254">
            <v>309040.01</v>
          </cell>
          <cell r="D254" t="str">
            <v>BR.TCG 3222</v>
          </cell>
        </row>
        <row r="255">
          <cell r="C255">
            <v>410040.4</v>
          </cell>
          <cell r="D255" t="str">
            <v>BR.K 3200 LMW</v>
          </cell>
        </row>
        <row r="256">
          <cell r="C256">
            <v>511040</v>
          </cell>
          <cell r="D256" t="str">
            <v>RO 2X11.8</v>
          </cell>
        </row>
        <row r="257">
          <cell r="C257">
            <v>612040.4</v>
          </cell>
          <cell r="D257" t="str">
            <v>BR.N 3200 LMW</v>
          </cell>
        </row>
        <row r="258">
          <cell r="C258">
            <v>913016</v>
          </cell>
          <cell r="D258" t="str">
            <v>Box 250x40x50</v>
          </cell>
        </row>
        <row r="259">
          <cell r="C259">
            <v>104040</v>
          </cell>
          <cell r="D259" t="str">
            <v>BR.IR 3222</v>
          </cell>
        </row>
        <row r="260">
          <cell r="C260">
            <v>208040.4</v>
          </cell>
          <cell r="D260" t="str">
            <v>BR.OR 3222 LMW</v>
          </cell>
        </row>
        <row r="261">
          <cell r="C261">
            <v>309040</v>
          </cell>
          <cell r="D261" t="str">
            <v>BR.NCG 3222</v>
          </cell>
        </row>
        <row r="262">
          <cell r="C262">
            <v>511040</v>
          </cell>
          <cell r="D262" t="str">
            <v>RO 2X11.8</v>
          </cell>
        </row>
        <row r="263">
          <cell r="C263">
            <v>5221208.0199999996</v>
          </cell>
          <cell r="D263" t="str">
            <v>O Centoplex BE41 103BH</v>
          </cell>
        </row>
        <row r="264">
          <cell r="C264">
            <v>612040.4</v>
          </cell>
          <cell r="D264" t="str">
            <v>BR.N 3200 LMW</v>
          </cell>
        </row>
        <row r="265">
          <cell r="C265">
            <v>717165.03</v>
          </cell>
          <cell r="D265" t="str">
            <v>Nipple Washer</v>
          </cell>
        </row>
        <row r="266">
          <cell r="C266">
            <v>818252</v>
          </cell>
          <cell r="D266" t="str">
            <v>NYLON RETUNER 23 mm.</v>
          </cell>
        </row>
        <row r="267">
          <cell r="C267">
            <v>913016</v>
          </cell>
          <cell r="D267" t="str">
            <v>Box 250x40x50</v>
          </cell>
        </row>
        <row r="268">
          <cell r="C268">
            <v>104040</v>
          </cell>
          <cell r="D268" t="str">
            <v>BR.IR 3222</v>
          </cell>
        </row>
        <row r="269">
          <cell r="C269">
            <v>208040.4</v>
          </cell>
          <cell r="D269" t="str">
            <v>BR.OR 3222 LMW</v>
          </cell>
        </row>
        <row r="270">
          <cell r="C270">
            <v>309040</v>
          </cell>
          <cell r="D270" t="str">
            <v>BR.NCG 3222</v>
          </cell>
        </row>
        <row r="271">
          <cell r="C271">
            <v>410040.3</v>
          </cell>
          <cell r="D271" t="str">
            <v>BR.K 3200  ST</v>
          </cell>
        </row>
        <row r="272">
          <cell r="C272">
            <v>511040</v>
          </cell>
          <cell r="D272" t="str">
            <v>RO 2X11.8</v>
          </cell>
        </row>
        <row r="273">
          <cell r="C273">
            <v>612040.4</v>
          </cell>
          <cell r="D273" t="str">
            <v>BR.N 3200 LMW</v>
          </cell>
        </row>
        <row r="274">
          <cell r="C274">
            <v>913016</v>
          </cell>
          <cell r="D274" t="str">
            <v>Box 250x40x50</v>
          </cell>
        </row>
        <row r="275">
          <cell r="C275">
            <v>410040.3</v>
          </cell>
          <cell r="D275" t="str">
            <v>BR.K 3200  ST</v>
          </cell>
        </row>
        <row r="276">
          <cell r="C276">
            <v>104040</v>
          </cell>
          <cell r="D276" t="str">
            <v>BR.IR 3222</v>
          </cell>
        </row>
        <row r="277">
          <cell r="C277">
            <v>208040.4</v>
          </cell>
          <cell r="D277" t="str">
            <v>BR.OR 3222 LMW</v>
          </cell>
        </row>
        <row r="278">
          <cell r="C278">
            <v>309040</v>
          </cell>
          <cell r="D278" t="str">
            <v>BR.NCG 3222</v>
          </cell>
        </row>
        <row r="279">
          <cell r="C279">
            <v>410040.4</v>
          </cell>
          <cell r="D279" t="str">
            <v>BR.K 3200 LMW</v>
          </cell>
        </row>
        <row r="280">
          <cell r="C280">
            <v>511040</v>
          </cell>
          <cell r="D280" t="str">
            <v>RO 2X11.8</v>
          </cell>
        </row>
        <row r="281">
          <cell r="C281">
            <v>5221208.0199999996</v>
          </cell>
          <cell r="D281" t="str">
            <v>O Centoplex BE41 103BH</v>
          </cell>
        </row>
        <row r="282">
          <cell r="C282">
            <v>612040.4</v>
          </cell>
          <cell r="D282" t="str">
            <v>BR.N 3200 LMW</v>
          </cell>
        </row>
        <row r="283">
          <cell r="C283">
            <v>818252</v>
          </cell>
          <cell r="D283" t="str">
            <v>NYLON RETUNER 23 mm.</v>
          </cell>
        </row>
        <row r="284">
          <cell r="C284">
            <v>913016</v>
          </cell>
          <cell r="D284" t="str">
            <v>Box 250x40x50</v>
          </cell>
        </row>
        <row r="285">
          <cell r="C285">
            <v>104040</v>
          </cell>
          <cell r="D285" t="str">
            <v>BR.IR 3222</v>
          </cell>
        </row>
        <row r="286">
          <cell r="C286">
            <v>208040.4</v>
          </cell>
          <cell r="D286" t="str">
            <v>BR.OR 3222 LMW</v>
          </cell>
        </row>
        <row r="287">
          <cell r="C287">
            <v>309040</v>
          </cell>
          <cell r="D287" t="str">
            <v>BR.NCG 3222</v>
          </cell>
        </row>
        <row r="288">
          <cell r="C288">
            <v>410040.4</v>
          </cell>
          <cell r="D288" t="str">
            <v>BR.K 3200 LMW</v>
          </cell>
        </row>
        <row r="289">
          <cell r="C289">
            <v>511040</v>
          </cell>
          <cell r="D289" t="str">
            <v>RO 2X11.8</v>
          </cell>
        </row>
        <row r="290">
          <cell r="C290">
            <v>5221208.0199999996</v>
          </cell>
          <cell r="D290" t="str">
            <v>O Centoplex BE41 103BH</v>
          </cell>
        </row>
        <row r="291">
          <cell r="C291">
            <v>612040.4</v>
          </cell>
          <cell r="D291" t="str">
            <v>BR.N 3200 LMW</v>
          </cell>
        </row>
        <row r="292">
          <cell r="C292">
            <v>818252</v>
          </cell>
          <cell r="D292" t="str">
            <v>NYLON RETUNER 23 mm.</v>
          </cell>
        </row>
        <row r="293">
          <cell r="C293">
            <v>913016</v>
          </cell>
          <cell r="D293" t="str">
            <v>Box 250x40x50</v>
          </cell>
        </row>
        <row r="294">
          <cell r="C294">
            <v>104040</v>
          </cell>
          <cell r="D294" t="str">
            <v>BR.IR 3222</v>
          </cell>
        </row>
        <row r="295">
          <cell r="C295">
            <v>208040.4</v>
          </cell>
          <cell r="D295" t="str">
            <v>BR.OR 3222 LMW</v>
          </cell>
        </row>
        <row r="296">
          <cell r="C296">
            <v>309040</v>
          </cell>
          <cell r="D296" t="str">
            <v>BR.NCG 3222</v>
          </cell>
        </row>
        <row r="297">
          <cell r="C297">
            <v>410040.41</v>
          </cell>
          <cell r="D297" t="str">
            <v>BR.K 3200  STL</v>
          </cell>
        </row>
        <row r="298">
          <cell r="C298">
            <v>511040</v>
          </cell>
          <cell r="D298" t="str">
            <v>RO 2X11.8</v>
          </cell>
        </row>
        <row r="299">
          <cell r="C299">
            <v>612040.4</v>
          </cell>
          <cell r="D299" t="str">
            <v>BR.N 3200 LMW</v>
          </cell>
        </row>
        <row r="300">
          <cell r="C300">
            <v>913016</v>
          </cell>
          <cell r="D300" t="str">
            <v>Box 250x40x50</v>
          </cell>
        </row>
        <row r="301">
          <cell r="C301">
            <v>410040.41</v>
          </cell>
          <cell r="D301" t="str">
            <v>BR.K 3200  STL</v>
          </cell>
        </row>
        <row r="302">
          <cell r="C302">
            <v>612040.4</v>
          </cell>
          <cell r="D302" t="str">
            <v>BR.N 3200 LMW</v>
          </cell>
        </row>
        <row r="303">
          <cell r="C303">
            <v>104040</v>
          </cell>
          <cell r="D303" t="str">
            <v>BR.IR 3222</v>
          </cell>
        </row>
        <row r="304">
          <cell r="C304">
            <v>208040.4</v>
          </cell>
          <cell r="D304" t="str">
            <v>BR.OR 3222 LMW</v>
          </cell>
        </row>
        <row r="305">
          <cell r="C305">
            <v>309040</v>
          </cell>
          <cell r="D305" t="str">
            <v>BR.NCG 3222</v>
          </cell>
        </row>
        <row r="306">
          <cell r="C306">
            <v>410041</v>
          </cell>
          <cell r="D306" t="str">
            <v>BR.K 3220          WITH R</v>
          </cell>
        </row>
        <row r="307">
          <cell r="C307">
            <v>511040</v>
          </cell>
          <cell r="D307" t="str">
            <v>RO 2X11.8</v>
          </cell>
        </row>
        <row r="308">
          <cell r="C308">
            <v>612040.4</v>
          </cell>
          <cell r="D308" t="str">
            <v>BR.N 3200 LMW</v>
          </cell>
        </row>
        <row r="309">
          <cell r="C309">
            <v>913016</v>
          </cell>
          <cell r="D309" t="str">
            <v>Box 250x40x50</v>
          </cell>
        </row>
        <row r="310">
          <cell r="C310">
            <v>410041</v>
          </cell>
          <cell r="D310" t="str">
            <v>BR.K 3220          WITH R</v>
          </cell>
        </row>
        <row r="311">
          <cell r="C311">
            <v>104040</v>
          </cell>
          <cell r="D311" t="str">
            <v>BR.IR 3222</v>
          </cell>
        </row>
        <row r="312">
          <cell r="C312">
            <v>208040.4</v>
          </cell>
          <cell r="D312" t="str">
            <v>BR.OR 3222 LMW</v>
          </cell>
        </row>
        <row r="313">
          <cell r="C313">
            <v>309040</v>
          </cell>
          <cell r="D313" t="str">
            <v>BR.NCG 3222</v>
          </cell>
        </row>
        <row r="314">
          <cell r="C314">
            <v>410121</v>
          </cell>
          <cell r="D314" t="str">
            <v>BR.K 3217L         WITH R</v>
          </cell>
        </row>
        <row r="315">
          <cell r="C315">
            <v>511040</v>
          </cell>
          <cell r="D315" t="str">
            <v>RO 2X11.8</v>
          </cell>
        </row>
        <row r="316">
          <cell r="C316">
            <v>612040.4</v>
          </cell>
          <cell r="D316" t="str">
            <v>BR.N 3200 LMW</v>
          </cell>
        </row>
        <row r="317">
          <cell r="C317">
            <v>913006</v>
          </cell>
          <cell r="D317" t="str">
            <v>Box 50x35x50</v>
          </cell>
        </row>
        <row r="318">
          <cell r="C318">
            <v>104040</v>
          </cell>
          <cell r="D318" t="str">
            <v>BR.IR 3222</v>
          </cell>
        </row>
        <row r="319">
          <cell r="C319">
            <v>208040.4</v>
          </cell>
          <cell r="D319" t="str">
            <v>BR.OR 3222 LMW</v>
          </cell>
        </row>
        <row r="320">
          <cell r="C320">
            <v>309040.01</v>
          </cell>
          <cell r="D320" t="str">
            <v>BR.TCG 3222</v>
          </cell>
        </row>
        <row r="321">
          <cell r="C321">
            <v>410041</v>
          </cell>
          <cell r="D321" t="str">
            <v>BR.K 3220          WITH R</v>
          </cell>
        </row>
        <row r="322">
          <cell r="C322">
            <v>511040</v>
          </cell>
          <cell r="D322" t="str">
            <v>RO 2X11.8</v>
          </cell>
        </row>
        <row r="323">
          <cell r="C323">
            <v>612040.4</v>
          </cell>
          <cell r="D323" t="str">
            <v>BR.N 3200 LMW</v>
          </cell>
        </row>
        <row r="324">
          <cell r="C324">
            <v>913016</v>
          </cell>
          <cell r="D324" t="str">
            <v>Box 250x40x50</v>
          </cell>
        </row>
        <row r="325">
          <cell r="C325">
            <v>410040.41</v>
          </cell>
          <cell r="D325" t="str">
            <v>BR.K 3200  STL</v>
          </cell>
        </row>
        <row r="326">
          <cell r="C326">
            <v>104040</v>
          </cell>
          <cell r="D326" t="str">
            <v>BR.IR 3222</v>
          </cell>
        </row>
        <row r="327">
          <cell r="C327">
            <v>208040.4</v>
          </cell>
          <cell r="D327" t="str">
            <v>BR.OR 3222 LMW</v>
          </cell>
        </row>
        <row r="328">
          <cell r="C328">
            <v>309040</v>
          </cell>
          <cell r="D328" t="str">
            <v>BR.NCG 3222</v>
          </cell>
        </row>
        <row r="329">
          <cell r="C329">
            <v>410042</v>
          </cell>
          <cell r="D329" t="str">
            <v>BR.K 3222          WITH R</v>
          </cell>
        </row>
        <row r="330">
          <cell r="C330">
            <v>511040</v>
          </cell>
          <cell r="D330" t="str">
            <v>RO 2X11.8</v>
          </cell>
        </row>
        <row r="331">
          <cell r="C331">
            <v>612040.4</v>
          </cell>
          <cell r="D331" t="str">
            <v>BR.N 3200 LMW</v>
          </cell>
        </row>
        <row r="332">
          <cell r="C332">
            <v>913016</v>
          </cell>
          <cell r="D332" t="str">
            <v>Box 250x40x50</v>
          </cell>
        </row>
        <row r="333">
          <cell r="C333">
            <v>208040.4</v>
          </cell>
          <cell r="D333" t="str">
            <v>BR.OR 3222 LMW</v>
          </cell>
        </row>
        <row r="334">
          <cell r="C334">
            <v>913016</v>
          </cell>
          <cell r="D334" t="str">
            <v>Box 250x40x50</v>
          </cell>
        </row>
        <row r="335">
          <cell r="C335">
            <v>410042</v>
          </cell>
          <cell r="D335" t="str">
            <v>BR.K 3222          WITH R</v>
          </cell>
        </row>
        <row r="336">
          <cell r="C336">
            <v>309040</v>
          </cell>
          <cell r="D336" t="str">
            <v>BR.NCG 3222</v>
          </cell>
        </row>
        <row r="337">
          <cell r="C337">
            <v>511040</v>
          </cell>
          <cell r="D337" t="str">
            <v>RO 2X11.8</v>
          </cell>
        </row>
        <row r="338">
          <cell r="C338">
            <v>913010</v>
          </cell>
          <cell r="D338" t="str">
            <v>Box 150x40x50</v>
          </cell>
        </row>
        <row r="339">
          <cell r="C339">
            <v>309040.01</v>
          </cell>
          <cell r="D339" t="str">
            <v>BR.TCG 3222</v>
          </cell>
        </row>
        <row r="340">
          <cell r="C340">
            <v>511040</v>
          </cell>
          <cell r="D340" t="str">
            <v>RO 2X11.8</v>
          </cell>
        </row>
        <row r="341">
          <cell r="C341">
            <v>612042</v>
          </cell>
          <cell r="D341" t="str">
            <v>BR.N 3222</v>
          </cell>
        </row>
        <row r="342">
          <cell r="C342">
            <v>104040</v>
          </cell>
          <cell r="D342" t="str">
            <v>BR.IR 3222</v>
          </cell>
        </row>
        <row r="343">
          <cell r="C343">
            <v>208040.4</v>
          </cell>
          <cell r="D343" t="str">
            <v>BR.OR 3222 LMW</v>
          </cell>
        </row>
        <row r="344">
          <cell r="C344">
            <v>309040.01</v>
          </cell>
          <cell r="D344" t="str">
            <v>BR.TCG 3222</v>
          </cell>
        </row>
        <row r="345">
          <cell r="C345">
            <v>410042</v>
          </cell>
          <cell r="D345" t="str">
            <v>BR.K 3222          WITH R</v>
          </cell>
        </row>
        <row r="346">
          <cell r="C346">
            <v>511040</v>
          </cell>
          <cell r="D346" t="str">
            <v>RO 2X11.8</v>
          </cell>
        </row>
        <row r="347">
          <cell r="C347">
            <v>612040.4</v>
          </cell>
          <cell r="D347" t="str">
            <v>BR.N 3200 LMW</v>
          </cell>
        </row>
        <row r="348">
          <cell r="C348">
            <v>913016</v>
          </cell>
          <cell r="D348" t="str">
            <v>Box 250x40x50</v>
          </cell>
        </row>
        <row r="349">
          <cell r="C349">
            <v>104040</v>
          </cell>
          <cell r="D349" t="str">
            <v>BR.IR 3222</v>
          </cell>
        </row>
        <row r="350">
          <cell r="C350">
            <v>208040.4</v>
          </cell>
          <cell r="D350" t="str">
            <v>BR.OR 3222 LMW</v>
          </cell>
        </row>
        <row r="351">
          <cell r="C351">
            <v>309040</v>
          </cell>
          <cell r="D351" t="str">
            <v>BR.NCG 3222</v>
          </cell>
        </row>
        <row r="352">
          <cell r="C352">
            <v>410043</v>
          </cell>
          <cell r="D352" t="str">
            <v>BR.K 3224          WITH R</v>
          </cell>
        </row>
        <row r="353">
          <cell r="C353">
            <v>511040</v>
          </cell>
          <cell r="D353" t="str">
            <v>RO 2X11.8</v>
          </cell>
        </row>
        <row r="354">
          <cell r="C354">
            <v>612040.4</v>
          </cell>
          <cell r="D354" t="str">
            <v>BR.N 3200 LMW</v>
          </cell>
        </row>
        <row r="355">
          <cell r="C355">
            <v>913016</v>
          </cell>
          <cell r="D355" t="str">
            <v>Box 250x40x50</v>
          </cell>
        </row>
        <row r="356">
          <cell r="C356">
            <v>104040</v>
          </cell>
          <cell r="D356" t="str">
            <v>BR.IR 3222</v>
          </cell>
        </row>
        <row r="357">
          <cell r="C357">
            <v>208040.4</v>
          </cell>
          <cell r="D357" t="str">
            <v>BR.OR 3222 LMW</v>
          </cell>
        </row>
        <row r="358">
          <cell r="C358">
            <v>309040</v>
          </cell>
          <cell r="D358" t="str">
            <v>BR.NCG 3222</v>
          </cell>
        </row>
        <row r="359">
          <cell r="C359">
            <v>410043.01</v>
          </cell>
          <cell r="D359" t="str">
            <v>BR.K 3224           W/O R</v>
          </cell>
        </row>
        <row r="360">
          <cell r="C360">
            <v>511040</v>
          </cell>
          <cell r="D360" t="str">
            <v>RO 2X11.8</v>
          </cell>
        </row>
        <row r="361">
          <cell r="C361">
            <v>612040.4</v>
          </cell>
          <cell r="D361" t="str">
            <v>BR.N 3200 LMW</v>
          </cell>
        </row>
        <row r="362">
          <cell r="C362">
            <v>913016</v>
          </cell>
          <cell r="D362" t="str">
            <v>Box 250x40x50</v>
          </cell>
        </row>
        <row r="363">
          <cell r="C363">
            <v>410043</v>
          </cell>
          <cell r="D363" t="str">
            <v>BR.K 3224          WITH R</v>
          </cell>
        </row>
        <row r="364">
          <cell r="C364">
            <v>309040</v>
          </cell>
          <cell r="D364" t="str">
            <v>BR.NCG 3222</v>
          </cell>
        </row>
        <row r="365">
          <cell r="C365">
            <v>511040</v>
          </cell>
          <cell r="D365" t="str">
            <v>RO 2X11.8</v>
          </cell>
        </row>
        <row r="366">
          <cell r="C366">
            <v>913010</v>
          </cell>
          <cell r="D366" t="str">
            <v>Box 150x40x50</v>
          </cell>
        </row>
        <row r="367">
          <cell r="C367">
            <v>104040</v>
          </cell>
          <cell r="D367" t="str">
            <v>BR.IR 3222</v>
          </cell>
        </row>
        <row r="368">
          <cell r="C368">
            <v>208040.4</v>
          </cell>
          <cell r="D368" t="str">
            <v>BR.OR 3222 LMW</v>
          </cell>
        </row>
        <row r="369">
          <cell r="C369">
            <v>309040</v>
          </cell>
          <cell r="D369" t="str">
            <v>BR.NCG 3222</v>
          </cell>
        </row>
        <row r="370">
          <cell r="C370">
            <v>410043.1</v>
          </cell>
          <cell r="D370" t="str">
            <v>BR.K 3228           W/O</v>
          </cell>
        </row>
        <row r="371">
          <cell r="C371">
            <v>511040</v>
          </cell>
          <cell r="D371" t="str">
            <v>RO 2X11.8</v>
          </cell>
        </row>
        <row r="372">
          <cell r="C372">
            <v>612040.4</v>
          </cell>
          <cell r="D372" t="str">
            <v>BR.N 3200 LMW</v>
          </cell>
        </row>
        <row r="373">
          <cell r="C373">
            <v>104040</v>
          </cell>
          <cell r="D373" t="str">
            <v>BR.IR 3222</v>
          </cell>
        </row>
        <row r="374">
          <cell r="C374">
            <v>208040.4</v>
          </cell>
          <cell r="D374" t="str">
            <v>BR.OR 3222 LMW</v>
          </cell>
        </row>
        <row r="375">
          <cell r="C375">
            <v>309040.01</v>
          </cell>
          <cell r="D375" t="str">
            <v>BR.TCG 3222</v>
          </cell>
        </row>
        <row r="376">
          <cell r="C376">
            <v>410043</v>
          </cell>
          <cell r="D376" t="str">
            <v>BR.K 3224          WITH R</v>
          </cell>
        </row>
        <row r="377">
          <cell r="C377">
            <v>511040</v>
          </cell>
          <cell r="D377" t="str">
            <v>RO 2X11.8</v>
          </cell>
        </row>
        <row r="378">
          <cell r="C378">
            <v>612040.4</v>
          </cell>
          <cell r="D378" t="str">
            <v>BR.N 3200 LMW</v>
          </cell>
        </row>
        <row r="379">
          <cell r="C379">
            <v>104040</v>
          </cell>
          <cell r="D379" t="str">
            <v>BR.IR 3222</v>
          </cell>
        </row>
        <row r="380">
          <cell r="C380">
            <v>208040.4</v>
          </cell>
          <cell r="D380" t="str">
            <v>BR.OR 3222 LMW</v>
          </cell>
        </row>
        <row r="381">
          <cell r="C381">
            <v>309040</v>
          </cell>
          <cell r="D381" t="str">
            <v>BR.NCG 3222</v>
          </cell>
        </row>
        <row r="382">
          <cell r="C382">
            <v>410044</v>
          </cell>
          <cell r="D382" t="str">
            <v>BR.K 3225          WITH R</v>
          </cell>
        </row>
        <row r="383">
          <cell r="C383">
            <v>511040</v>
          </cell>
          <cell r="D383" t="str">
            <v>RO 2X11.8</v>
          </cell>
        </row>
        <row r="384">
          <cell r="C384">
            <v>612040.4</v>
          </cell>
          <cell r="D384" t="str">
            <v>BR.N 3200 LMW</v>
          </cell>
        </row>
        <row r="385">
          <cell r="C385">
            <v>913016</v>
          </cell>
          <cell r="D385" t="str">
            <v>Box 250x40x50</v>
          </cell>
        </row>
        <row r="386">
          <cell r="C386">
            <v>410044</v>
          </cell>
          <cell r="D386" t="str">
            <v>BR.K 3225          WITH R</v>
          </cell>
        </row>
        <row r="387">
          <cell r="C387">
            <v>309040</v>
          </cell>
          <cell r="D387" t="str">
            <v>BR.NCG 3222</v>
          </cell>
        </row>
        <row r="388">
          <cell r="C388">
            <v>511040</v>
          </cell>
          <cell r="D388" t="str">
            <v>RO 2X11.8</v>
          </cell>
        </row>
        <row r="389">
          <cell r="C389">
            <v>913010</v>
          </cell>
          <cell r="D389" t="str">
            <v>Box 150x40x50</v>
          </cell>
        </row>
        <row r="390">
          <cell r="C390">
            <v>612040.4</v>
          </cell>
          <cell r="D390" t="str">
            <v>BR.N 3200 LMW</v>
          </cell>
        </row>
        <row r="391">
          <cell r="C391">
            <v>104040</v>
          </cell>
          <cell r="D391" t="str">
            <v>BR.IR 3222</v>
          </cell>
        </row>
        <row r="392">
          <cell r="C392">
            <v>208040.4</v>
          </cell>
          <cell r="D392" t="str">
            <v>BR.OR 3222 LMW</v>
          </cell>
        </row>
        <row r="393">
          <cell r="C393">
            <v>309040</v>
          </cell>
          <cell r="D393" t="str">
            <v>BR.NCG 3222</v>
          </cell>
        </row>
        <row r="394">
          <cell r="C394">
            <v>410045</v>
          </cell>
          <cell r="D394" t="str">
            <v>BR.K 3226          WITH R</v>
          </cell>
        </row>
        <row r="395">
          <cell r="C395">
            <v>511040</v>
          </cell>
          <cell r="D395" t="str">
            <v>RO 2X11.8</v>
          </cell>
        </row>
        <row r="396">
          <cell r="C396">
            <v>612040.4</v>
          </cell>
          <cell r="D396" t="str">
            <v>BR.N 3200 LMW</v>
          </cell>
        </row>
        <row r="397">
          <cell r="C397">
            <v>913016</v>
          </cell>
          <cell r="D397" t="str">
            <v>Box 250x40x50</v>
          </cell>
        </row>
        <row r="398">
          <cell r="C398">
            <v>104046</v>
          </cell>
          <cell r="D398" t="str">
            <v>BR.IR 322224 SPL.</v>
          </cell>
        </row>
        <row r="399">
          <cell r="C399">
            <v>208046</v>
          </cell>
          <cell r="D399" t="str">
            <v>BR.OR 322224 SPL.</v>
          </cell>
        </row>
        <row r="400">
          <cell r="C400">
            <v>309046.03999999998</v>
          </cell>
          <cell r="D400" t="str">
            <v>BR.NCG 322224(LOCK TYPE)</v>
          </cell>
        </row>
        <row r="401">
          <cell r="C401">
            <v>410944.02</v>
          </cell>
          <cell r="D401" t="str">
            <v>BR.K 322224         SKF G</v>
          </cell>
        </row>
        <row r="402">
          <cell r="C402">
            <v>511042</v>
          </cell>
          <cell r="D402" t="str">
            <v>RO 2.5X10.8</v>
          </cell>
        </row>
        <row r="403">
          <cell r="C403">
            <v>612040.4</v>
          </cell>
          <cell r="D403" t="str">
            <v>BR.N 3200 LMW</v>
          </cell>
        </row>
        <row r="404">
          <cell r="C404">
            <v>913016</v>
          </cell>
          <cell r="D404" t="str">
            <v>Box 250x40x50</v>
          </cell>
        </row>
        <row r="405">
          <cell r="C405">
            <v>410944.02</v>
          </cell>
          <cell r="D405" t="str">
            <v>BR.K 322224         SKF G</v>
          </cell>
        </row>
        <row r="406">
          <cell r="C406">
            <v>309046.03999999998</v>
          </cell>
          <cell r="D406" t="str">
            <v>BR.NCG 322224(LOCK TYPE)</v>
          </cell>
        </row>
        <row r="407">
          <cell r="C407">
            <v>511042</v>
          </cell>
          <cell r="D407" t="str">
            <v>RO 2.5X10.8</v>
          </cell>
        </row>
        <row r="408">
          <cell r="C408">
            <v>913010</v>
          </cell>
          <cell r="D408" t="str">
            <v>Box 150x40x50</v>
          </cell>
        </row>
        <row r="409">
          <cell r="C409">
            <v>309046.01</v>
          </cell>
          <cell r="D409" t="str">
            <v>BR.NCG 3224(For BR 322224</v>
          </cell>
        </row>
        <row r="410">
          <cell r="C410">
            <v>511001</v>
          </cell>
          <cell r="D410" t="str">
            <v>RO 2X9.8</v>
          </cell>
        </row>
        <row r="411">
          <cell r="C411">
            <v>104046</v>
          </cell>
          <cell r="D411" t="str">
            <v>BR.IR 322224 SPL.</v>
          </cell>
        </row>
        <row r="412">
          <cell r="C412">
            <v>208046</v>
          </cell>
          <cell r="D412" t="str">
            <v>BR.OR 322224 SPL.</v>
          </cell>
        </row>
        <row r="413">
          <cell r="C413">
            <v>309046.03999999998</v>
          </cell>
          <cell r="D413" t="str">
            <v>BR.NCG 322224(LOCK TYPE)</v>
          </cell>
        </row>
        <row r="414">
          <cell r="C414">
            <v>410047.02</v>
          </cell>
          <cell r="D414" t="str">
            <v>BR.K 322424         SKF G</v>
          </cell>
        </row>
        <row r="415">
          <cell r="C415">
            <v>511042</v>
          </cell>
          <cell r="D415" t="str">
            <v>RO 2.5X10.8</v>
          </cell>
        </row>
        <row r="416">
          <cell r="C416">
            <v>612040.4</v>
          </cell>
          <cell r="D416" t="str">
            <v>BR.N 3200 LMW</v>
          </cell>
        </row>
        <row r="417">
          <cell r="C417">
            <v>410047.02</v>
          </cell>
          <cell r="D417" t="str">
            <v>BR.K 322424         SKF G</v>
          </cell>
        </row>
        <row r="418">
          <cell r="C418">
            <v>309046.03999999998</v>
          </cell>
          <cell r="D418" t="str">
            <v>BR.NCG 322224(LOCK TYPE)</v>
          </cell>
        </row>
        <row r="419">
          <cell r="C419">
            <v>511042</v>
          </cell>
          <cell r="D419" t="str">
            <v>RO 2.5X10.8</v>
          </cell>
        </row>
        <row r="420">
          <cell r="C420">
            <v>410047.07</v>
          </cell>
          <cell r="D420" t="str">
            <v>BR.K 322424 SKF WO D</v>
          </cell>
        </row>
        <row r="421">
          <cell r="C421">
            <v>104046</v>
          </cell>
          <cell r="D421" t="str">
            <v>BR.IR 322224 SPL.</v>
          </cell>
        </row>
        <row r="422">
          <cell r="C422">
            <v>208046</v>
          </cell>
          <cell r="D422" t="str">
            <v>BR.OR 322224 SPL.</v>
          </cell>
        </row>
        <row r="423">
          <cell r="C423">
            <v>309046.03999999998</v>
          </cell>
          <cell r="D423" t="str">
            <v>BR.NCG 322224(LOCK TYPE)</v>
          </cell>
        </row>
        <row r="424">
          <cell r="C424">
            <v>410125.02</v>
          </cell>
          <cell r="D424" t="str">
            <v>BR.K 3218.5(06)     SKF G</v>
          </cell>
        </row>
        <row r="425">
          <cell r="C425">
            <v>511042</v>
          </cell>
          <cell r="D425" t="str">
            <v>RO 2.5X10.8</v>
          </cell>
        </row>
        <row r="426">
          <cell r="C426">
            <v>612040.4</v>
          </cell>
          <cell r="D426" t="str">
            <v>BR.N 3200 LMW</v>
          </cell>
        </row>
        <row r="427">
          <cell r="C427">
            <v>913016</v>
          </cell>
          <cell r="D427" t="str">
            <v>Box 250x40x50</v>
          </cell>
        </row>
        <row r="428">
          <cell r="C428">
            <v>104046</v>
          </cell>
          <cell r="D428" t="str">
            <v>BR.IR 322224 SPL.</v>
          </cell>
        </row>
        <row r="429">
          <cell r="C429">
            <v>208046</v>
          </cell>
          <cell r="D429" t="str">
            <v>BR.OR 322224 SPL.</v>
          </cell>
        </row>
        <row r="430">
          <cell r="C430">
            <v>309046.03999999998</v>
          </cell>
          <cell r="D430" t="str">
            <v>BR.NCG 322224(LOCK TYPE)</v>
          </cell>
        </row>
        <row r="431">
          <cell r="C431">
            <v>511042</v>
          </cell>
          <cell r="D431" t="str">
            <v>RO 2.5X10.8</v>
          </cell>
        </row>
        <row r="432">
          <cell r="C432">
            <v>410125.02</v>
          </cell>
          <cell r="D432" t="str">
            <v>BR.K 3218.5(06)     SKF G</v>
          </cell>
        </row>
        <row r="433">
          <cell r="C433">
            <v>309046.03999999998</v>
          </cell>
          <cell r="D433" t="str">
            <v>BR.NCG 322224(LOCK TYPE)</v>
          </cell>
        </row>
        <row r="434">
          <cell r="C434">
            <v>511042</v>
          </cell>
          <cell r="D434" t="str">
            <v>RO 2.5X10.8</v>
          </cell>
        </row>
        <row r="435">
          <cell r="C435">
            <v>913010</v>
          </cell>
          <cell r="D435" t="str">
            <v>Box 150x40x50</v>
          </cell>
        </row>
        <row r="436">
          <cell r="C436">
            <v>104046</v>
          </cell>
          <cell r="D436" t="str">
            <v>BR.IR 322224 SPL.</v>
          </cell>
        </row>
        <row r="437">
          <cell r="C437">
            <v>208046</v>
          </cell>
          <cell r="D437" t="str">
            <v>BR.OR 322224 SPL.</v>
          </cell>
        </row>
        <row r="438">
          <cell r="C438">
            <v>309046.03999999998</v>
          </cell>
          <cell r="D438" t="str">
            <v>BR.NCG 322224(LOCK TYPE)</v>
          </cell>
        </row>
        <row r="439">
          <cell r="C439">
            <v>410048</v>
          </cell>
          <cell r="D439" t="str">
            <v>BR.K 320024        WITH R</v>
          </cell>
        </row>
        <row r="440">
          <cell r="C440">
            <v>511042</v>
          </cell>
          <cell r="D440" t="str">
            <v>RO 2.5X10.8</v>
          </cell>
        </row>
        <row r="441">
          <cell r="C441">
            <v>612040.4</v>
          </cell>
          <cell r="D441" t="str">
            <v>BR.N 3200 LMW</v>
          </cell>
        </row>
        <row r="442">
          <cell r="C442">
            <v>104046</v>
          </cell>
          <cell r="D442" t="str">
            <v>BR.IR 322224 SPL.</v>
          </cell>
        </row>
        <row r="443">
          <cell r="C443">
            <v>208048.21</v>
          </cell>
          <cell r="D443" t="str">
            <v>BR.OR 322224 MZ</v>
          </cell>
        </row>
        <row r="444">
          <cell r="C444">
            <v>309046.03999999998</v>
          </cell>
          <cell r="D444" t="str">
            <v>BR.NCG 322224(LOCK TYPE)</v>
          </cell>
        </row>
        <row r="445">
          <cell r="C445">
            <v>410048.21</v>
          </cell>
          <cell r="D445" t="str">
            <v>BR.K 320024 WITH 5.5MM HO</v>
          </cell>
        </row>
        <row r="446">
          <cell r="C446">
            <v>511042</v>
          </cell>
          <cell r="D446" t="str">
            <v>RO 2.5X10.8</v>
          </cell>
        </row>
        <row r="447">
          <cell r="C447">
            <v>612042</v>
          </cell>
          <cell r="D447" t="str">
            <v>BR.N 3222</v>
          </cell>
        </row>
        <row r="448">
          <cell r="C448">
            <v>208049</v>
          </cell>
          <cell r="D448" t="str">
            <v>BR.OR 32-01-06</v>
          </cell>
        </row>
        <row r="449">
          <cell r="C449">
            <v>309125.09999999998</v>
          </cell>
          <cell r="D449" t="str">
            <v>BR.NCG 3218.5(06)LOCKTYPE</v>
          </cell>
        </row>
        <row r="450">
          <cell r="C450">
            <v>410049.1</v>
          </cell>
          <cell r="D450" t="str">
            <v>BR.K 32-01-06 W/O R</v>
          </cell>
        </row>
        <row r="451">
          <cell r="C451">
            <v>511001</v>
          </cell>
          <cell r="D451" t="str">
            <v>RO 2X9.8</v>
          </cell>
        </row>
        <row r="452">
          <cell r="C452">
            <v>612001</v>
          </cell>
          <cell r="D452" t="str">
            <v>BR.N 2822</v>
          </cell>
        </row>
        <row r="453">
          <cell r="C453">
            <v>913016</v>
          </cell>
          <cell r="D453" t="str">
            <v>Box 250x40x50</v>
          </cell>
        </row>
        <row r="454">
          <cell r="C454">
            <v>410049.1</v>
          </cell>
          <cell r="D454" t="str">
            <v>BR.K 32-01-06 W/O R</v>
          </cell>
        </row>
        <row r="455">
          <cell r="C455">
            <v>208049</v>
          </cell>
          <cell r="D455" t="str">
            <v>BR.OR 32-01-06</v>
          </cell>
        </row>
        <row r="456">
          <cell r="C456">
            <v>309125.09999999998</v>
          </cell>
          <cell r="D456" t="str">
            <v>BR.NCG 3218.5(06)LOCKTYPE</v>
          </cell>
        </row>
        <row r="457">
          <cell r="C457">
            <v>410050.01</v>
          </cell>
          <cell r="D457" t="str">
            <v>BR.K 32-01-24       W/O R</v>
          </cell>
        </row>
        <row r="458">
          <cell r="C458">
            <v>511001</v>
          </cell>
          <cell r="D458" t="str">
            <v>RO 2X9.8</v>
          </cell>
        </row>
        <row r="459">
          <cell r="C459">
            <v>612040.4</v>
          </cell>
          <cell r="D459" t="str">
            <v>BR.N 3200 LMW</v>
          </cell>
        </row>
        <row r="460">
          <cell r="C460">
            <v>913016</v>
          </cell>
          <cell r="D460" t="str">
            <v>Box 250x40x50</v>
          </cell>
        </row>
        <row r="461">
          <cell r="C461">
            <v>104046</v>
          </cell>
          <cell r="D461" t="str">
            <v>BR.IR 322224 SPL.</v>
          </cell>
        </row>
        <row r="462">
          <cell r="C462">
            <v>208046</v>
          </cell>
          <cell r="D462" t="str">
            <v>BR.OR 322224 SPL.</v>
          </cell>
        </row>
        <row r="463">
          <cell r="C463">
            <v>309046.03999999998</v>
          </cell>
          <cell r="D463" t="str">
            <v>BR.NCG 322224(LOCK TYPE)</v>
          </cell>
        </row>
        <row r="464">
          <cell r="C464">
            <v>410051.02</v>
          </cell>
          <cell r="D464" t="str">
            <v>BR.K 322624         SKF G</v>
          </cell>
        </row>
        <row r="465">
          <cell r="C465">
            <v>511042</v>
          </cell>
          <cell r="D465" t="str">
            <v>RO 2.5X10.8</v>
          </cell>
        </row>
        <row r="466">
          <cell r="C466">
            <v>612040.4</v>
          </cell>
          <cell r="D466" t="str">
            <v>BR.N 3200 LMW</v>
          </cell>
        </row>
        <row r="467">
          <cell r="C467">
            <v>913016</v>
          </cell>
          <cell r="D467" t="str">
            <v>Box 250x40x50</v>
          </cell>
        </row>
        <row r="468">
          <cell r="C468">
            <v>410051.02</v>
          </cell>
          <cell r="D468" t="str">
            <v>BR.K 322624         SKF G</v>
          </cell>
        </row>
        <row r="469">
          <cell r="C469">
            <v>104164</v>
          </cell>
          <cell r="D469" t="str">
            <v>BR.IR 32[P]19(26)</v>
          </cell>
        </row>
        <row r="470">
          <cell r="C470">
            <v>208040.4</v>
          </cell>
          <cell r="D470" t="str">
            <v>BR.OR 3222 LMW</v>
          </cell>
        </row>
        <row r="471">
          <cell r="C471">
            <v>309040</v>
          </cell>
          <cell r="D471" t="str">
            <v>BR.NCG 3222</v>
          </cell>
        </row>
        <row r="472">
          <cell r="C472">
            <v>511040</v>
          </cell>
          <cell r="D472" t="str">
            <v>RO 2X11.8</v>
          </cell>
        </row>
        <row r="473">
          <cell r="C473">
            <v>612040.4</v>
          </cell>
          <cell r="D473" t="str">
            <v>BR.N 3200 LMW</v>
          </cell>
        </row>
        <row r="474">
          <cell r="C474">
            <v>913016</v>
          </cell>
          <cell r="D474" t="str">
            <v>Box 250x40x50</v>
          </cell>
        </row>
        <row r="475">
          <cell r="C475">
            <v>104046</v>
          </cell>
          <cell r="D475" t="str">
            <v>BR.IR 322224 SPL.</v>
          </cell>
        </row>
        <row r="476">
          <cell r="C476">
            <v>208046</v>
          </cell>
          <cell r="D476" t="str">
            <v>BR.OR 322224 SPL.</v>
          </cell>
        </row>
        <row r="477">
          <cell r="C477">
            <v>309046.03999999998</v>
          </cell>
          <cell r="D477" t="str">
            <v>BR.NCG 322224(LOCK TYPE)</v>
          </cell>
        </row>
        <row r="478">
          <cell r="C478">
            <v>410053.02</v>
          </cell>
          <cell r="D478" t="str">
            <v>BR.K 322524         SKF G</v>
          </cell>
        </row>
        <row r="479">
          <cell r="C479">
            <v>511042</v>
          </cell>
          <cell r="D479" t="str">
            <v>RO 2.5X10.8</v>
          </cell>
        </row>
        <row r="480">
          <cell r="C480">
            <v>612040.4</v>
          </cell>
          <cell r="D480" t="str">
            <v>BR.N 3200 LMW</v>
          </cell>
        </row>
        <row r="481">
          <cell r="C481">
            <v>913016</v>
          </cell>
          <cell r="D481" t="str">
            <v>Box 250x40x50</v>
          </cell>
        </row>
        <row r="482">
          <cell r="C482">
            <v>104046</v>
          </cell>
          <cell r="D482" t="str">
            <v>BR.IR 322224 SPL.</v>
          </cell>
        </row>
        <row r="483">
          <cell r="C483">
            <v>208046</v>
          </cell>
          <cell r="D483" t="str">
            <v>BR.OR 322224 SPL.</v>
          </cell>
        </row>
        <row r="484">
          <cell r="C484">
            <v>309046.03999999998</v>
          </cell>
          <cell r="D484" t="str">
            <v>BR.NCG 322224(LOCK TYPE)</v>
          </cell>
        </row>
        <row r="485">
          <cell r="C485">
            <v>410054.02</v>
          </cell>
          <cell r="D485" t="str">
            <v>BR.K 322024         SKF G</v>
          </cell>
        </row>
        <row r="486">
          <cell r="C486">
            <v>511042</v>
          </cell>
          <cell r="D486" t="str">
            <v>RO 2.5X10.8</v>
          </cell>
        </row>
        <row r="487">
          <cell r="C487">
            <v>612040.4</v>
          </cell>
          <cell r="D487" t="str">
            <v>BR.N 3200 LMW</v>
          </cell>
        </row>
        <row r="488">
          <cell r="C488">
            <v>913016</v>
          </cell>
          <cell r="D488" t="str">
            <v>Box 250x40x50</v>
          </cell>
        </row>
        <row r="489">
          <cell r="C489">
            <v>104060</v>
          </cell>
          <cell r="D489" t="str">
            <v>BR.IR 3622</v>
          </cell>
        </row>
        <row r="490">
          <cell r="C490">
            <v>208060</v>
          </cell>
          <cell r="D490" t="str">
            <v>BR.OR 3622</v>
          </cell>
        </row>
        <row r="491">
          <cell r="C491">
            <v>309060</v>
          </cell>
          <cell r="D491" t="str">
            <v>BR.NCG 3622</v>
          </cell>
        </row>
        <row r="492">
          <cell r="C492">
            <v>410061.2</v>
          </cell>
          <cell r="D492" t="str">
            <v>BR.K 3620          WITH R</v>
          </cell>
        </row>
        <row r="493">
          <cell r="C493">
            <v>511060</v>
          </cell>
          <cell r="D493" t="str">
            <v>RO 2.5X9.8</v>
          </cell>
        </row>
        <row r="494">
          <cell r="C494">
            <v>612042</v>
          </cell>
          <cell r="D494" t="str">
            <v>BR.N 3222</v>
          </cell>
        </row>
        <row r="495">
          <cell r="C495">
            <v>913006</v>
          </cell>
          <cell r="D495" t="str">
            <v>Box 50x35x50</v>
          </cell>
        </row>
        <row r="496">
          <cell r="C496">
            <v>104060</v>
          </cell>
          <cell r="D496" t="str">
            <v>BR.IR 3622</v>
          </cell>
        </row>
        <row r="497">
          <cell r="C497">
            <v>410061.2</v>
          </cell>
          <cell r="D497" t="str">
            <v>BR.K 3620          WITH R</v>
          </cell>
        </row>
        <row r="498">
          <cell r="C498">
            <v>309060</v>
          </cell>
          <cell r="D498" t="str">
            <v>BR.NCG 3622</v>
          </cell>
        </row>
        <row r="499">
          <cell r="C499">
            <v>511060</v>
          </cell>
          <cell r="D499" t="str">
            <v>RO 2.5X9.8</v>
          </cell>
        </row>
        <row r="500">
          <cell r="C500">
            <v>913010</v>
          </cell>
          <cell r="D500" t="str">
            <v>Box 150x40x50</v>
          </cell>
        </row>
        <row r="501">
          <cell r="C501">
            <v>104060</v>
          </cell>
          <cell r="D501" t="str">
            <v>BR.IR 3622</v>
          </cell>
        </row>
        <row r="502">
          <cell r="C502">
            <v>208060</v>
          </cell>
          <cell r="D502" t="str">
            <v>BR.OR 3622</v>
          </cell>
        </row>
        <row r="503">
          <cell r="C503">
            <v>309060</v>
          </cell>
          <cell r="D503" t="str">
            <v>BR.NCG 3622</v>
          </cell>
        </row>
        <row r="504">
          <cell r="C504">
            <v>410062</v>
          </cell>
          <cell r="D504" t="str">
            <v>BR.K 3622          WITH R</v>
          </cell>
        </row>
        <row r="505">
          <cell r="C505">
            <v>511060</v>
          </cell>
          <cell r="D505" t="str">
            <v>RO 2.5X9.8</v>
          </cell>
        </row>
        <row r="506">
          <cell r="C506">
            <v>612042</v>
          </cell>
          <cell r="D506" t="str">
            <v>BR.N 3222</v>
          </cell>
        </row>
        <row r="507">
          <cell r="C507">
            <v>913006</v>
          </cell>
          <cell r="D507" t="str">
            <v>Box 50x35x50</v>
          </cell>
        </row>
        <row r="508">
          <cell r="C508">
            <v>410062</v>
          </cell>
          <cell r="D508" t="str">
            <v>BR.K 3622          WITH R</v>
          </cell>
        </row>
        <row r="509">
          <cell r="C509">
            <v>309060</v>
          </cell>
          <cell r="D509" t="str">
            <v>BR.NCG 3622</v>
          </cell>
        </row>
        <row r="510">
          <cell r="C510">
            <v>511060</v>
          </cell>
          <cell r="D510" t="str">
            <v>RO 2.5X9.8</v>
          </cell>
        </row>
        <row r="511">
          <cell r="C511">
            <v>104060</v>
          </cell>
          <cell r="D511" t="str">
            <v>BR.IR 3622</v>
          </cell>
        </row>
        <row r="512">
          <cell r="C512">
            <v>208060</v>
          </cell>
          <cell r="D512" t="str">
            <v>BR.OR 3622</v>
          </cell>
        </row>
        <row r="513">
          <cell r="C513">
            <v>309060.01</v>
          </cell>
          <cell r="D513" t="str">
            <v>BR.TCG 3622</v>
          </cell>
        </row>
        <row r="514">
          <cell r="C514">
            <v>410062</v>
          </cell>
          <cell r="D514" t="str">
            <v>BR.K 3622          WITH R</v>
          </cell>
        </row>
        <row r="515">
          <cell r="C515">
            <v>511060</v>
          </cell>
          <cell r="D515" t="str">
            <v>RO 2.5X9.8</v>
          </cell>
        </row>
        <row r="516">
          <cell r="C516">
            <v>612042</v>
          </cell>
          <cell r="D516" t="str">
            <v>BR.N 3222</v>
          </cell>
        </row>
        <row r="517">
          <cell r="C517">
            <v>913006</v>
          </cell>
          <cell r="D517" t="str">
            <v>Box 50x35x50</v>
          </cell>
        </row>
        <row r="518">
          <cell r="C518">
            <v>104060</v>
          </cell>
          <cell r="D518" t="str">
            <v>BR.IR 3622</v>
          </cell>
        </row>
        <row r="519">
          <cell r="C519">
            <v>208060</v>
          </cell>
          <cell r="D519" t="str">
            <v>BR.OR 3622</v>
          </cell>
        </row>
        <row r="520">
          <cell r="C520">
            <v>309060</v>
          </cell>
          <cell r="D520" t="str">
            <v>BR.NCG 3622</v>
          </cell>
        </row>
        <row r="521">
          <cell r="C521">
            <v>410063</v>
          </cell>
          <cell r="D521" t="str">
            <v>BR.K 3625         WITH</v>
          </cell>
        </row>
        <row r="522">
          <cell r="C522">
            <v>511060</v>
          </cell>
          <cell r="D522" t="str">
            <v>RO 2.5X9.8</v>
          </cell>
        </row>
        <row r="523">
          <cell r="C523">
            <v>612042</v>
          </cell>
          <cell r="D523" t="str">
            <v>BR.N 3222</v>
          </cell>
        </row>
        <row r="524">
          <cell r="C524">
            <v>913006</v>
          </cell>
          <cell r="D524" t="str">
            <v>Box 50x35x50</v>
          </cell>
        </row>
        <row r="525">
          <cell r="C525">
            <v>104060</v>
          </cell>
          <cell r="D525" t="str">
            <v>BR.IR 3622</v>
          </cell>
        </row>
        <row r="526">
          <cell r="C526">
            <v>208060</v>
          </cell>
          <cell r="D526" t="str">
            <v>BR.OR 3622</v>
          </cell>
        </row>
        <row r="527">
          <cell r="C527">
            <v>309060</v>
          </cell>
          <cell r="D527" t="str">
            <v>BR.NCG 3622</v>
          </cell>
        </row>
        <row r="528">
          <cell r="C528">
            <v>410064</v>
          </cell>
          <cell r="D528" t="str">
            <v>BR.K 3626          WITH</v>
          </cell>
        </row>
        <row r="529">
          <cell r="C529">
            <v>511060</v>
          </cell>
          <cell r="D529" t="str">
            <v>RO 2.5X9.8</v>
          </cell>
        </row>
        <row r="530">
          <cell r="C530">
            <v>612042</v>
          </cell>
          <cell r="D530" t="str">
            <v>BR.N 3222</v>
          </cell>
        </row>
        <row r="531">
          <cell r="C531">
            <v>913006</v>
          </cell>
          <cell r="D531" t="str">
            <v>Box 50x35x50</v>
          </cell>
        </row>
        <row r="532">
          <cell r="C532">
            <v>104060</v>
          </cell>
          <cell r="D532" t="str">
            <v>BR.IR 3622</v>
          </cell>
        </row>
        <row r="533">
          <cell r="C533">
            <v>208065</v>
          </cell>
          <cell r="D533" t="str">
            <v>BR.OR 362526</v>
          </cell>
        </row>
        <row r="534">
          <cell r="C534">
            <v>309060</v>
          </cell>
          <cell r="D534" t="str">
            <v>BR.NCG 3622</v>
          </cell>
        </row>
        <row r="535">
          <cell r="C535">
            <v>410065</v>
          </cell>
          <cell r="D535" t="str">
            <v>BR.K 362526        WITH R</v>
          </cell>
        </row>
        <row r="536">
          <cell r="C536">
            <v>511060</v>
          </cell>
          <cell r="D536" t="str">
            <v>RO 2.5X9.8</v>
          </cell>
        </row>
        <row r="537">
          <cell r="C537">
            <v>612042</v>
          </cell>
          <cell r="D537" t="str">
            <v>BR.N 3222</v>
          </cell>
        </row>
        <row r="538">
          <cell r="C538">
            <v>913006</v>
          </cell>
          <cell r="D538" t="str">
            <v>Box 50x35x50</v>
          </cell>
        </row>
        <row r="539">
          <cell r="C539">
            <v>410065</v>
          </cell>
          <cell r="D539" t="str">
            <v>BR.K 362526        WITH R</v>
          </cell>
        </row>
        <row r="540">
          <cell r="C540">
            <v>104060</v>
          </cell>
          <cell r="D540" t="str">
            <v>BR.IR 3622</v>
          </cell>
        </row>
        <row r="541">
          <cell r="C541">
            <v>208065</v>
          </cell>
          <cell r="D541" t="str">
            <v>BR.OR 362526</v>
          </cell>
        </row>
        <row r="542">
          <cell r="C542">
            <v>309060.01</v>
          </cell>
          <cell r="D542" t="str">
            <v>BR.TCG 3622</v>
          </cell>
        </row>
        <row r="543">
          <cell r="C543">
            <v>410065</v>
          </cell>
          <cell r="D543" t="str">
            <v>BR.K 362526        WITH R</v>
          </cell>
        </row>
        <row r="544">
          <cell r="C544">
            <v>511060</v>
          </cell>
          <cell r="D544" t="str">
            <v>RO 2.5X9.8</v>
          </cell>
        </row>
        <row r="545">
          <cell r="C545">
            <v>612042</v>
          </cell>
          <cell r="D545" t="str">
            <v>BR.N 3222</v>
          </cell>
        </row>
        <row r="546">
          <cell r="C546">
            <v>913006</v>
          </cell>
          <cell r="D546" t="str">
            <v>Box 50x35x50</v>
          </cell>
        </row>
        <row r="547">
          <cell r="C547">
            <v>104060</v>
          </cell>
          <cell r="D547" t="str">
            <v>BR.IR 3622</v>
          </cell>
        </row>
        <row r="548">
          <cell r="C548">
            <v>208065</v>
          </cell>
          <cell r="D548" t="str">
            <v>BR.OR 362526</v>
          </cell>
        </row>
        <row r="549">
          <cell r="C549">
            <v>309060</v>
          </cell>
          <cell r="D549" t="str">
            <v>BR.NCG 3622</v>
          </cell>
        </row>
        <row r="550">
          <cell r="C550">
            <v>410066.02</v>
          </cell>
          <cell r="D550" t="str">
            <v>BR.K 362426         SKF G</v>
          </cell>
        </row>
        <row r="551">
          <cell r="C551">
            <v>511060</v>
          </cell>
          <cell r="D551" t="str">
            <v>RO 2.5X9.8</v>
          </cell>
        </row>
        <row r="552">
          <cell r="C552">
            <v>612042</v>
          </cell>
          <cell r="D552" t="str">
            <v>BR.N 3222</v>
          </cell>
        </row>
        <row r="553">
          <cell r="C553">
            <v>913006</v>
          </cell>
          <cell r="D553" t="str">
            <v>Box 50x35x50</v>
          </cell>
        </row>
        <row r="554">
          <cell r="C554">
            <v>410066.02</v>
          </cell>
          <cell r="D554" t="str">
            <v>BR.K 362426         SKF G</v>
          </cell>
        </row>
        <row r="555">
          <cell r="C555">
            <v>104067</v>
          </cell>
          <cell r="D555" t="str">
            <v>BR.IR 3620(25)</v>
          </cell>
        </row>
        <row r="556">
          <cell r="C556">
            <v>208067</v>
          </cell>
          <cell r="D556" t="str">
            <v>BR.OR 3620(25)</v>
          </cell>
        </row>
        <row r="557">
          <cell r="C557">
            <v>309060.01</v>
          </cell>
          <cell r="D557" t="str">
            <v>BR.TCG 3622</v>
          </cell>
        </row>
        <row r="558">
          <cell r="C558">
            <v>410067</v>
          </cell>
          <cell r="D558" t="str">
            <v>BR.K 3620(25)      WITH R</v>
          </cell>
        </row>
        <row r="559">
          <cell r="C559">
            <v>511042</v>
          </cell>
          <cell r="D559" t="str">
            <v>RO 2.5X10.8</v>
          </cell>
        </row>
        <row r="560">
          <cell r="C560">
            <v>612042</v>
          </cell>
          <cell r="D560" t="str">
            <v>BR.N 3222</v>
          </cell>
        </row>
        <row r="561">
          <cell r="C561">
            <v>913006</v>
          </cell>
          <cell r="D561" t="str">
            <v>Box 50x35x50</v>
          </cell>
        </row>
        <row r="562">
          <cell r="C562">
            <v>410067</v>
          </cell>
          <cell r="D562" t="str">
            <v>BR.K 3620(25)      WITH R</v>
          </cell>
        </row>
        <row r="563">
          <cell r="C563">
            <v>104060</v>
          </cell>
          <cell r="D563" t="str">
            <v>BR.IR 3622</v>
          </cell>
        </row>
        <row r="564">
          <cell r="C564">
            <v>208065</v>
          </cell>
          <cell r="D564" t="str">
            <v>BR.OR 362526</v>
          </cell>
        </row>
        <row r="565">
          <cell r="C565">
            <v>309060</v>
          </cell>
          <cell r="D565" t="str">
            <v>BR.NCG 3622</v>
          </cell>
        </row>
        <row r="566">
          <cell r="C566">
            <v>410068</v>
          </cell>
          <cell r="D566" t="str">
            <v>BR.K 362226       WITH</v>
          </cell>
        </row>
        <row r="567">
          <cell r="C567">
            <v>511060</v>
          </cell>
          <cell r="D567" t="str">
            <v>RO 2.5X9.8</v>
          </cell>
        </row>
        <row r="568">
          <cell r="C568">
            <v>612042</v>
          </cell>
          <cell r="D568" t="str">
            <v>BR.N 3222</v>
          </cell>
        </row>
        <row r="569">
          <cell r="C569">
            <v>913006</v>
          </cell>
          <cell r="D569" t="str">
            <v>Box 50x35x50</v>
          </cell>
        </row>
        <row r="570">
          <cell r="C570">
            <v>410068</v>
          </cell>
          <cell r="D570" t="str">
            <v>BR.K 362226       WITH</v>
          </cell>
        </row>
        <row r="571">
          <cell r="C571">
            <v>104060</v>
          </cell>
          <cell r="D571" t="str">
            <v>BR.IR 3622</v>
          </cell>
        </row>
        <row r="572">
          <cell r="C572">
            <v>208060</v>
          </cell>
          <cell r="D572" t="str">
            <v>BR.OR 3622</v>
          </cell>
        </row>
        <row r="573">
          <cell r="C573">
            <v>309060</v>
          </cell>
          <cell r="D573" t="str">
            <v>BR.NCG 3622</v>
          </cell>
        </row>
        <row r="574">
          <cell r="C574">
            <v>410069</v>
          </cell>
          <cell r="D574" t="str">
            <v>BR.K 3600      WITH R</v>
          </cell>
        </row>
        <row r="575">
          <cell r="C575">
            <v>511060</v>
          </cell>
          <cell r="D575" t="str">
            <v>RO 2.5X9.8</v>
          </cell>
        </row>
        <row r="576">
          <cell r="C576">
            <v>612042</v>
          </cell>
          <cell r="D576" t="str">
            <v>BR.N 3222</v>
          </cell>
        </row>
        <row r="577">
          <cell r="C577">
            <v>913006</v>
          </cell>
          <cell r="D577" t="str">
            <v>Box 50x35x50</v>
          </cell>
        </row>
        <row r="578">
          <cell r="C578">
            <v>104134</v>
          </cell>
          <cell r="D578" t="str">
            <v>BR.IR 3621(20)</v>
          </cell>
        </row>
        <row r="579">
          <cell r="C579">
            <v>208060</v>
          </cell>
          <cell r="D579" t="str">
            <v>BR.OR 3622</v>
          </cell>
        </row>
        <row r="580">
          <cell r="C580">
            <v>309060</v>
          </cell>
          <cell r="D580" t="str">
            <v>BR.NCG 3622</v>
          </cell>
        </row>
        <row r="581">
          <cell r="C581">
            <v>410070</v>
          </cell>
          <cell r="D581" t="str">
            <v>BR.K 3621(20)25</v>
          </cell>
        </row>
        <row r="582">
          <cell r="C582">
            <v>511060</v>
          </cell>
          <cell r="D582" t="str">
            <v>RO 2.5X9.8</v>
          </cell>
        </row>
        <row r="583">
          <cell r="C583">
            <v>612042</v>
          </cell>
          <cell r="D583" t="str">
            <v>BR.N 3222</v>
          </cell>
        </row>
        <row r="584">
          <cell r="C584">
            <v>104074</v>
          </cell>
          <cell r="D584" t="str">
            <v>BR.IR 4022(20)          F</v>
          </cell>
        </row>
        <row r="585">
          <cell r="C585">
            <v>208074</v>
          </cell>
          <cell r="D585" t="str">
            <v>BR.OR 4022(20)          F</v>
          </cell>
        </row>
        <row r="586">
          <cell r="C586">
            <v>309077</v>
          </cell>
          <cell r="D586" t="str">
            <v>BR.NCG 4000</v>
          </cell>
        </row>
        <row r="587">
          <cell r="C587">
            <v>410074.1</v>
          </cell>
          <cell r="D587" t="str">
            <v>BR.K 4022(20) W/O R</v>
          </cell>
        </row>
        <row r="588">
          <cell r="C588">
            <v>511120</v>
          </cell>
          <cell r="D588" t="str">
            <v>RO 3X11.8</v>
          </cell>
        </row>
        <row r="589">
          <cell r="C589">
            <v>612074</v>
          </cell>
          <cell r="D589" t="str">
            <v>BR.N 4022(20)</v>
          </cell>
        </row>
        <row r="590">
          <cell r="C590">
            <v>913006</v>
          </cell>
          <cell r="D590" t="str">
            <v>Box 50x35x50</v>
          </cell>
        </row>
        <row r="591">
          <cell r="C591">
            <v>104075</v>
          </cell>
          <cell r="D591" t="str">
            <v>BR.IR 402424</v>
          </cell>
        </row>
        <row r="592">
          <cell r="C592">
            <v>208075</v>
          </cell>
          <cell r="D592" t="str">
            <v>BR.OR 402424</v>
          </cell>
        </row>
        <row r="593">
          <cell r="C593">
            <v>309077</v>
          </cell>
          <cell r="D593" t="str">
            <v>BR.NCG 4000</v>
          </cell>
        </row>
        <row r="594">
          <cell r="C594">
            <v>410075</v>
          </cell>
          <cell r="D594" t="str">
            <v>BR.K 400024        WITH R</v>
          </cell>
        </row>
        <row r="595">
          <cell r="C595">
            <v>511120</v>
          </cell>
          <cell r="D595" t="str">
            <v>RO 3X11.8</v>
          </cell>
        </row>
        <row r="596">
          <cell r="C596">
            <v>612075</v>
          </cell>
          <cell r="D596" t="str">
            <v>BR.N 4006(24)</v>
          </cell>
        </row>
        <row r="597">
          <cell r="C597">
            <v>913006</v>
          </cell>
          <cell r="D597" t="str">
            <v>Box 50x35x50</v>
          </cell>
        </row>
        <row r="598">
          <cell r="C598">
            <v>410075</v>
          </cell>
          <cell r="D598" t="str">
            <v>BR.K 400024        WITH R</v>
          </cell>
        </row>
        <row r="599">
          <cell r="C599">
            <v>104075</v>
          </cell>
          <cell r="D599" t="str">
            <v>BR.IR 402424</v>
          </cell>
        </row>
        <row r="600">
          <cell r="C600">
            <v>208075</v>
          </cell>
          <cell r="D600" t="str">
            <v>BR.OR 402424</v>
          </cell>
        </row>
        <row r="601">
          <cell r="C601">
            <v>309077</v>
          </cell>
          <cell r="D601" t="str">
            <v>BR.NCG 4000</v>
          </cell>
        </row>
        <row r="602">
          <cell r="C602">
            <v>410076</v>
          </cell>
          <cell r="D602" t="str">
            <v>BR.K 402424        WITH R</v>
          </cell>
        </row>
        <row r="603">
          <cell r="C603">
            <v>511120</v>
          </cell>
          <cell r="D603" t="str">
            <v>RO 3X11.8</v>
          </cell>
        </row>
        <row r="604">
          <cell r="C604">
            <v>612075</v>
          </cell>
          <cell r="D604" t="str">
            <v>BR.N 4006(24)</v>
          </cell>
        </row>
        <row r="605">
          <cell r="C605">
            <v>913006</v>
          </cell>
          <cell r="D605" t="str">
            <v>Box 50x35x50</v>
          </cell>
        </row>
        <row r="606">
          <cell r="C606">
            <v>410076</v>
          </cell>
          <cell r="D606" t="str">
            <v>BR.K 402424        WITH R</v>
          </cell>
        </row>
        <row r="607">
          <cell r="C607">
            <v>309077</v>
          </cell>
          <cell r="D607" t="str">
            <v>BR.NCG 4000</v>
          </cell>
        </row>
        <row r="608">
          <cell r="C608">
            <v>511120</v>
          </cell>
          <cell r="D608" t="str">
            <v>RO 3X11.8</v>
          </cell>
        </row>
        <row r="609">
          <cell r="C609">
            <v>913010</v>
          </cell>
          <cell r="D609" t="str">
            <v>Box 150x40x50</v>
          </cell>
        </row>
        <row r="610">
          <cell r="C610">
            <v>612075</v>
          </cell>
          <cell r="D610" t="str">
            <v>BR.N 4006(24)</v>
          </cell>
        </row>
        <row r="611">
          <cell r="C611">
            <v>104077</v>
          </cell>
          <cell r="D611" t="str">
            <v>BR.IR 4000</v>
          </cell>
        </row>
        <row r="612">
          <cell r="C612">
            <v>208077</v>
          </cell>
          <cell r="D612" t="str">
            <v>BR.OR 4000</v>
          </cell>
        </row>
        <row r="613">
          <cell r="C613">
            <v>309077</v>
          </cell>
          <cell r="D613" t="str">
            <v>BR.NCG 4000</v>
          </cell>
        </row>
        <row r="614">
          <cell r="C614">
            <v>410077</v>
          </cell>
          <cell r="D614" t="str">
            <v>BR.K 4000          WITH R</v>
          </cell>
        </row>
        <row r="615">
          <cell r="C615">
            <v>511120</v>
          </cell>
          <cell r="D615" t="str">
            <v>RO 3X11.8</v>
          </cell>
        </row>
        <row r="616">
          <cell r="C616">
            <v>612075</v>
          </cell>
          <cell r="D616" t="str">
            <v>BR.N 4006(24)</v>
          </cell>
        </row>
        <row r="617">
          <cell r="C617">
            <v>913006</v>
          </cell>
          <cell r="D617" t="str">
            <v>Box 50x35x50</v>
          </cell>
        </row>
        <row r="618">
          <cell r="C618">
            <v>410077.02</v>
          </cell>
          <cell r="D618" t="str">
            <v>BR.K 4000           SKF G</v>
          </cell>
        </row>
        <row r="619">
          <cell r="C619">
            <v>104077</v>
          </cell>
          <cell r="D619" t="str">
            <v>BR.IR 4000</v>
          </cell>
        </row>
        <row r="620">
          <cell r="C620">
            <v>208077</v>
          </cell>
          <cell r="D620" t="str">
            <v>BR.OR 4000</v>
          </cell>
        </row>
        <row r="621">
          <cell r="C621">
            <v>309077</v>
          </cell>
          <cell r="D621" t="str">
            <v>BR.NCG 4000</v>
          </cell>
        </row>
        <row r="622">
          <cell r="C622">
            <v>410078.01</v>
          </cell>
          <cell r="D622" t="str">
            <v>BR.K 4020           W/O R</v>
          </cell>
        </row>
        <row r="623">
          <cell r="C623">
            <v>511120</v>
          </cell>
          <cell r="D623" t="str">
            <v>RO 3X11.8</v>
          </cell>
        </row>
        <row r="624">
          <cell r="C624">
            <v>612075</v>
          </cell>
          <cell r="D624" t="str">
            <v>BR.N 4006(24)</v>
          </cell>
        </row>
        <row r="625">
          <cell r="C625">
            <v>913006</v>
          </cell>
          <cell r="D625" t="str">
            <v>Box 50x35x50</v>
          </cell>
        </row>
        <row r="626">
          <cell r="C626">
            <v>410078.02</v>
          </cell>
          <cell r="D626" t="str">
            <v>BR.K 4020           SKF G</v>
          </cell>
        </row>
        <row r="627">
          <cell r="C627">
            <v>104077</v>
          </cell>
          <cell r="D627" t="str">
            <v>BR.IR 4000</v>
          </cell>
        </row>
        <row r="628">
          <cell r="C628">
            <v>208077</v>
          </cell>
          <cell r="D628" t="str">
            <v>BR.OR 4000</v>
          </cell>
        </row>
        <row r="629">
          <cell r="C629">
            <v>309077</v>
          </cell>
          <cell r="D629" t="str">
            <v>BR.NCG 4000</v>
          </cell>
        </row>
        <row r="630">
          <cell r="C630">
            <v>410079</v>
          </cell>
          <cell r="D630" t="str">
            <v>BR.K 4025          WITH R</v>
          </cell>
        </row>
        <row r="631">
          <cell r="C631">
            <v>511120</v>
          </cell>
          <cell r="D631" t="str">
            <v>RO 3X11.8</v>
          </cell>
        </row>
        <row r="632">
          <cell r="C632">
            <v>612075</v>
          </cell>
          <cell r="D632" t="str">
            <v>BR.N 4006(24)</v>
          </cell>
        </row>
        <row r="633">
          <cell r="C633">
            <v>913006</v>
          </cell>
          <cell r="D633" t="str">
            <v>Box 50x35x50</v>
          </cell>
        </row>
        <row r="634">
          <cell r="C634">
            <v>104080</v>
          </cell>
          <cell r="D634" t="str">
            <v>BR.IR 4225</v>
          </cell>
        </row>
        <row r="635">
          <cell r="C635">
            <v>208080</v>
          </cell>
          <cell r="D635" t="str">
            <v>BR.OR 4225</v>
          </cell>
        </row>
        <row r="636">
          <cell r="C636">
            <v>309080</v>
          </cell>
          <cell r="D636" t="str">
            <v>BR.TCG 4225</v>
          </cell>
        </row>
        <row r="637">
          <cell r="C637">
            <v>410080.01</v>
          </cell>
          <cell r="D637" t="str">
            <v>BR.K 4225           W/O R</v>
          </cell>
        </row>
        <row r="638">
          <cell r="C638">
            <v>511130</v>
          </cell>
          <cell r="D638" t="str">
            <v>RO 2.5X13.8</v>
          </cell>
        </row>
        <row r="639">
          <cell r="C639">
            <v>612080</v>
          </cell>
          <cell r="D639" t="str">
            <v>BR.N 4225</v>
          </cell>
        </row>
        <row r="640">
          <cell r="C640">
            <v>913006</v>
          </cell>
          <cell r="D640" t="str">
            <v>Box 50x35x50</v>
          </cell>
        </row>
        <row r="641">
          <cell r="C641">
            <v>1422081</v>
          </cell>
          <cell r="D641" t="str">
            <v>BR 40222621 FIX MATERIL</v>
          </cell>
        </row>
        <row r="642">
          <cell r="C642">
            <v>104090</v>
          </cell>
          <cell r="D642" t="str">
            <v>BR.IR 2815(06)</v>
          </cell>
        </row>
        <row r="643">
          <cell r="C643">
            <v>208090</v>
          </cell>
          <cell r="D643" t="str">
            <v>BR.OR 2815(06)</v>
          </cell>
        </row>
        <row r="644">
          <cell r="C644">
            <v>309090.01</v>
          </cell>
          <cell r="D644" t="str">
            <v>BR.TCG 2815</v>
          </cell>
        </row>
        <row r="645">
          <cell r="C645">
            <v>410090</v>
          </cell>
          <cell r="D645" t="str">
            <v>BR.K 2815(06)      WITH R</v>
          </cell>
        </row>
        <row r="646">
          <cell r="C646">
            <v>511090</v>
          </cell>
          <cell r="D646" t="str">
            <v>RO 2X7.8</v>
          </cell>
        </row>
        <row r="647">
          <cell r="C647">
            <v>612001</v>
          </cell>
          <cell r="D647" t="str">
            <v>BR.N 2822</v>
          </cell>
        </row>
        <row r="648">
          <cell r="C648">
            <v>913016</v>
          </cell>
          <cell r="D648" t="str">
            <v>Box 250x40x50</v>
          </cell>
        </row>
        <row r="649">
          <cell r="C649">
            <v>309090.01</v>
          </cell>
          <cell r="D649" t="str">
            <v>BR.TCG 2815</v>
          </cell>
        </row>
        <row r="650">
          <cell r="C650">
            <v>511090</v>
          </cell>
          <cell r="D650" t="str">
            <v>RO 2X7.8</v>
          </cell>
        </row>
        <row r="651">
          <cell r="C651">
            <v>913016</v>
          </cell>
          <cell r="D651" t="str">
            <v>Box 250x40x50</v>
          </cell>
        </row>
        <row r="652">
          <cell r="C652">
            <v>612090</v>
          </cell>
          <cell r="D652" t="str">
            <v>BR.N 2815(06)</v>
          </cell>
        </row>
        <row r="653">
          <cell r="C653">
            <v>104091</v>
          </cell>
          <cell r="D653" t="str">
            <v>BR.IR 2814.2(22)</v>
          </cell>
        </row>
        <row r="654">
          <cell r="C654">
            <v>208091</v>
          </cell>
          <cell r="D654" t="str">
            <v>BR.OR 2814.2(22)</v>
          </cell>
        </row>
        <row r="655">
          <cell r="C655">
            <v>309091</v>
          </cell>
          <cell r="D655" t="str">
            <v>BR.NCG 2814.2(22)</v>
          </cell>
        </row>
        <row r="656">
          <cell r="C656">
            <v>410091</v>
          </cell>
          <cell r="D656" t="str">
            <v>BR.K 2814.2(22)    WITH R</v>
          </cell>
        </row>
        <row r="657">
          <cell r="C657">
            <v>511091</v>
          </cell>
          <cell r="D657" t="str">
            <v>RO 2X5.8</v>
          </cell>
        </row>
        <row r="658">
          <cell r="C658">
            <v>612090</v>
          </cell>
          <cell r="D658" t="str">
            <v>BR.N 2815(06)</v>
          </cell>
        </row>
        <row r="659">
          <cell r="C659">
            <v>913016</v>
          </cell>
          <cell r="D659" t="str">
            <v>Box 250x40x50</v>
          </cell>
        </row>
        <row r="660">
          <cell r="C660">
            <v>104090</v>
          </cell>
          <cell r="D660" t="str">
            <v>BR.IR 2815(06)</v>
          </cell>
        </row>
        <row r="661">
          <cell r="C661">
            <v>208006</v>
          </cell>
          <cell r="D661" t="str">
            <v>BR.OR 282223 SPL.</v>
          </cell>
        </row>
        <row r="662">
          <cell r="C662">
            <v>309090.01</v>
          </cell>
          <cell r="D662" t="str">
            <v>BR.TCG 2815</v>
          </cell>
        </row>
        <row r="663">
          <cell r="C663">
            <v>410092</v>
          </cell>
          <cell r="D663" t="str">
            <v>BR.K 2815(24)      WITH R</v>
          </cell>
        </row>
        <row r="664">
          <cell r="C664">
            <v>511090</v>
          </cell>
          <cell r="D664" t="str">
            <v>RO 2X7.8</v>
          </cell>
        </row>
        <row r="665">
          <cell r="C665">
            <v>612090</v>
          </cell>
          <cell r="D665" t="str">
            <v>BR.N 2815(06)</v>
          </cell>
        </row>
        <row r="666">
          <cell r="C666">
            <v>104093</v>
          </cell>
          <cell r="D666" t="str">
            <v>BR.IR 2816.3(06)</v>
          </cell>
        </row>
        <row r="667">
          <cell r="C667">
            <v>208006</v>
          </cell>
          <cell r="D667" t="str">
            <v>BR.OR 282223 SPL.</v>
          </cell>
        </row>
        <row r="668">
          <cell r="C668">
            <v>309001</v>
          </cell>
          <cell r="D668" t="str">
            <v>BR.NCG 2822</v>
          </cell>
        </row>
        <row r="669">
          <cell r="C669">
            <v>410093.02</v>
          </cell>
          <cell r="D669" t="str">
            <v>BR.K 2816.3(06)     SKF G</v>
          </cell>
        </row>
        <row r="670">
          <cell r="C670">
            <v>511001</v>
          </cell>
          <cell r="D670" t="str">
            <v>RO 2X9.8</v>
          </cell>
        </row>
        <row r="671">
          <cell r="C671">
            <v>612001</v>
          </cell>
          <cell r="D671" t="str">
            <v>BR.N 2822</v>
          </cell>
        </row>
        <row r="672">
          <cell r="C672">
            <v>913016</v>
          </cell>
          <cell r="D672" t="str">
            <v>Box 250x40x50</v>
          </cell>
        </row>
        <row r="673">
          <cell r="C673">
            <v>104094</v>
          </cell>
          <cell r="D673" t="str">
            <v>BR.IR 2816(24)1317</v>
          </cell>
        </row>
        <row r="674">
          <cell r="C674">
            <v>208006</v>
          </cell>
          <cell r="D674" t="str">
            <v>BR.OR 282223 SPL.</v>
          </cell>
        </row>
        <row r="675">
          <cell r="C675">
            <v>309090.01</v>
          </cell>
          <cell r="D675" t="str">
            <v>BR.TCG 2815</v>
          </cell>
        </row>
        <row r="676">
          <cell r="C676">
            <v>410094</v>
          </cell>
          <cell r="D676" t="str">
            <v>BR.K 2816(24)1323  WITH R</v>
          </cell>
        </row>
        <row r="677">
          <cell r="C677">
            <v>511090</v>
          </cell>
          <cell r="D677" t="str">
            <v>RO 2X7.8</v>
          </cell>
        </row>
        <row r="678">
          <cell r="C678">
            <v>612001</v>
          </cell>
          <cell r="D678" t="str">
            <v>BR.N 2822</v>
          </cell>
        </row>
        <row r="679">
          <cell r="C679">
            <v>913016</v>
          </cell>
          <cell r="D679" t="str">
            <v>Box 250x40x50</v>
          </cell>
        </row>
        <row r="680">
          <cell r="C680">
            <v>104100</v>
          </cell>
          <cell r="D680" t="str">
            <v>BR.IR 3017(26)</v>
          </cell>
        </row>
        <row r="681">
          <cell r="C681">
            <v>208026</v>
          </cell>
          <cell r="D681" t="str">
            <v>BR.OR 3000</v>
          </cell>
        </row>
        <row r="682">
          <cell r="C682">
            <v>309026</v>
          </cell>
          <cell r="D682" t="str">
            <v>BR.NCG 3000</v>
          </cell>
        </row>
        <row r="683">
          <cell r="C683">
            <v>410100</v>
          </cell>
          <cell r="D683" t="str">
            <v>BR.K 3017(26)      WITH R</v>
          </cell>
        </row>
        <row r="684">
          <cell r="C684">
            <v>511001</v>
          </cell>
          <cell r="D684" t="str">
            <v>RO 2X9.8</v>
          </cell>
        </row>
        <row r="685">
          <cell r="C685">
            <v>612125</v>
          </cell>
          <cell r="D685" t="str">
            <v>BR.N 3218.5(06)</v>
          </cell>
        </row>
        <row r="686">
          <cell r="C686">
            <v>913016</v>
          </cell>
          <cell r="D686" t="str">
            <v>Box 250x40x50</v>
          </cell>
        </row>
        <row r="687">
          <cell r="C687">
            <v>104100</v>
          </cell>
          <cell r="D687" t="str">
            <v>BR.IR 3017(26)</v>
          </cell>
        </row>
        <row r="688">
          <cell r="C688">
            <v>410100.02</v>
          </cell>
          <cell r="D688" t="str">
            <v>BR.K 3017(26)       SKF G</v>
          </cell>
        </row>
        <row r="689">
          <cell r="C689">
            <v>104100</v>
          </cell>
          <cell r="D689" t="str">
            <v>BR.IR 3017(26)</v>
          </cell>
        </row>
        <row r="690">
          <cell r="C690">
            <v>208026</v>
          </cell>
          <cell r="D690" t="str">
            <v>BR.OR 3000</v>
          </cell>
        </row>
        <row r="691">
          <cell r="C691">
            <v>309026</v>
          </cell>
          <cell r="D691" t="str">
            <v>BR.NCG 3000</v>
          </cell>
        </row>
        <row r="692">
          <cell r="C692">
            <v>410100.02</v>
          </cell>
          <cell r="D692" t="str">
            <v>BR.K 3017(26)       SKF G</v>
          </cell>
        </row>
        <row r="693">
          <cell r="C693">
            <v>511001</v>
          </cell>
          <cell r="D693" t="str">
            <v>RO 2X9.8</v>
          </cell>
        </row>
        <row r="694">
          <cell r="C694">
            <v>612125</v>
          </cell>
          <cell r="D694" t="str">
            <v>BR.N 3218.5(06)</v>
          </cell>
        </row>
        <row r="695">
          <cell r="C695">
            <v>913016</v>
          </cell>
          <cell r="D695" t="str">
            <v>Box 250x40x50</v>
          </cell>
        </row>
        <row r="696">
          <cell r="C696">
            <v>104111</v>
          </cell>
          <cell r="D696" t="str">
            <v>BR.IR 3216.3(06)</v>
          </cell>
        </row>
        <row r="697">
          <cell r="C697">
            <v>208111</v>
          </cell>
          <cell r="D697" t="str">
            <v>BR.OR 3216.3(06)</v>
          </cell>
        </row>
        <row r="698">
          <cell r="C698">
            <v>309111.01</v>
          </cell>
          <cell r="D698" t="str">
            <v>BR.NCG 3216.3(06)</v>
          </cell>
        </row>
        <row r="699">
          <cell r="C699">
            <v>410111</v>
          </cell>
          <cell r="D699" t="str">
            <v>BR.K 3216.3(06)    WITH R</v>
          </cell>
        </row>
        <row r="700">
          <cell r="C700">
            <v>511145</v>
          </cell>
          <cell r="D700" t="str">
            <v>RO 3X9.8</v>
          </cell>
        </row>
        <row r="701">
          <cell r="C701">
            <v>612040.4</v>
          </cell>
          <cell r="D701" t="str">
            <v>BR.N 3200 LMW</v>
          </cell>
        </row>
        <row r="702">
          <cell r="C702">
            <v>913016</v>
          </cell>
          <cell r="D702" t="str">
            <v>Box 250x40x50</v>
          </cell>
        </row>
        <row r="703">
          <cell r="C703">
            <v>309111.01</v>
          </cell>
          <cell r="D703" t="str">
            <v>BR.NCG 3216.3(06)</v>
          </cell>
        </row>
        <row r="704">
          <cell r="C704">
            <v>511145</v>
          </cell>
          <cell r="D704" t="str">
            <v>RO 3X9.8</v>
          </cell>
        </row>
        <row r="705">
          <cell r="C705">
            <v>913010</v>
          </cell>
          <cell r="D705" t="str">
            <v>Box 150x40x50</v>
          </cell>
        </row>
        <row r="706">
          <cell r="C706">
            <v>309111</v>
          </cell>
          <cell r="D706" t="str">
            <v>BR.TCG 3216.3</v>
          </cell>
        </row>
        <row r="707">
          <cell r="C707">
            <v>511145</v>
          </cell>
          <cell r="D707" t="str">
            <v>RO 3X9.8</v>
          </cell>
        </row>
        <row r="708">
          <cell r="C708">
            <v>104111</v>
          </cell>
          <cell r="D708" t="str">
            <v>BR.IR 3216.3(06)</v>
          </cell>
        </row>
        <row r="709">
          <cell r="C709">
            <v>208111</v>
          </cell>
          <cell r="D709" t="str">
            <v>BR.OR 3216.3(06)</v>
          </cell>
        </row>
        <row r="710">
          <cell r="C710">
            <v>309111.01</v>
          </cell>
          <cell r="D710" t="str">
            <v>BR.NCG 3216.3(06)</v>
          </cell>
        </row>
        <row r="711">
          <cell r="C711">
            <v>410112</v>
          </cell>
          <cell r="D711" t="str">
            <v>BR.K 3216.3(20)    WITH R</v>
          </cell>
        </row>
        <row r="712">
          <cell r="C712">
            <v>511145</v>
          </cell>
          <cell r="D712" t="str">
            <v>RO 3X9.8</v>
          </cell>
        </row>
        <row r="713">
          <cell r="C713">
            <v>612040.4</v>
          </cell>
          <cell r="D713" t="str">
            <v>BR.N 3200 LMW</v>
          </cell>
        </row>
        <row r="714">
          <cell r="C714">
            <v>913016</v>
          </cell>
          <cell r="D714" t="str">
            <v>Box 250x40x50</v>
          </cell>
        </row>
        <row r="715">
          <cell r="C715">
            <v>104115</v>
          </cell>
          <cell r="D715" t="str">
            <v>BR.IR 3216.5</v>
          </cell>
        </row>
        <row r="716">
          <cell r="C716">
            <v>208040.4</v>
          </cell>
          <cell r="D716" t="str">
            <v>BR.OR 3222 LMW</v>
          </cell>
        </row>
        <row r="717">
          <cell r="C717">
            <v>309115.02</v>
          </cell>
          <cell r="D717" t="str">
            <v>BR.NCG 3216.5  (Import)</v>
          </cell>
        </row>
        <row r="718">
          <cell r="C718">
            <v>410115</v>
          </cell>
          <cell r="D718" t="str">
            <v>BR.K 3216.5        WITH R</v>
          </cell>
        </row>
        <row r="719">
          <cell r="C719">
            <v>511001</v>
          </cell>
          <cell r="D719" t="str">
            <v>RO 2X9.8</v>
          </cell>
        </row>
        <row r="720">
          <cell r="C720">
            <v>612040.4</v>
          </cell>
          <cell r="D720" t="str">
            <v>BR.N 3200 LMW</v>
          </cell>
        </row>
        <row r="721">
          <cell r="C721">
            <v>913016</v>
          </cell>
          <cell r="D721" t="str">
            <v>Box 250x40x50</v>
          </cell>
        </row>
        <row r="722">
          <cell r="C722">
            <v>410115.1</v>
          </cell>
          <cell r="D722" t="str">
            <v>BR.K 3216.5(06)    WITH R</v>
          </cell>
        </row>
        <row r="723">
          <cell r="C723">
            <v>104115</v>
          </cell>
          <cell r="D723" t="str">
            <v>BR.IR 3216.5</v>
          </cell>
        </row>
        <row r="724">
          <cell r="C724">
            <v>208040.4</v>
          </cell>
          <cell r="D724" t="str">
            <v>BR.OR 3222 LMW</v>
          </cell>
        </row>
        <row r="725">
          <cell r="C725">
            <v>309115</v>
          </cell>
          <cell r="D725" t="str">
            <v>BR.NCG 3216.5  (Local)</v>
          </cell>
        </row>
        <row r="726">
          <cell r="C726">
            <v>410116</v>
          </cell>
          <cell r="D726" t="str">
            <v>BR.K 3216.5(22)    WITH R</v>
          </cell>
        </row>
        <row r="727">
          <cell r="C727">
            <v>511001</v>
          </cell>
          <cell r="D727" t="str">
            <v>RO 2X9.8</v>
          </cell>
        </row>
        <row r="728">
          <cell r="C728">
            <v>612040.4</v>
          </cell>
          <cell r="D728" t="str">
            <v>BR.N 3200 LMW</v>
          </cell>
        </row>
        <row r="729">
          <cell r="C729">
            <v>913016</v>
          </cell>
          <cell r="D729" t="str">
            <v>Box 250x40x50</v>
          </cell>
        </row>
        <row r="730">
          <cell r="C730">
            <v>410116</v>
          </cell>
          <cell r="D730" t="str">
            <v>BR.K 3216.5(22)    WITH R</v>
          </cell>
        </row>
        <row r="731">
          <cell r="C731">
            <v>309115</v>
          </cell>
          <cell r="D731" t="str">
            <v>BR.NCG 3216.5  (Local)</v>
          </cell>
        </row>
        <row r="732">
          <cell r="C732">
            <v>511001</v>
          </cell>
          <cell r="D732" t="str">
            <v>RO 2X9.8</v>
          </cell>
        </row>
        <row r="733">
          <cell r="C733">
            <v>913010</v>
          </cell>
          <cell r="D733" t="str">
            <v>Box 150x40x50</v>
          </cell>
        </row>
        <row r="734">
          <cell r="C734">
            <v>104120</v>
          </cell>
          <cell r="D734" t="str">
            <v>BR.IR 3217</v>
          </cell>
        </row>
        <row r="735">
          <cell r="C735">
            <v>208120</v>
          </cell>
          <cell r="D735" t="str">
            <v>BR.OR 3217</v>
          </cell>
        </row>
        <row r="736">
          <cell r="C736">
            <v>309120</v>
          </cell>
          <cell r="D736" t="str">
            <v>BR.NCG 3217</v>
          </cell>
        </row>
        <row r="737">
          <cell r="C737">
            <v>410120</v>
          </cell>
          <cell r="D737" t="str">
            <v>BR.K 3217S         WITH R</v>
          </cell>
        </row>
        <row r="738">
          <cell r="C738">
            <v>511120</v>
          </cell>
          <cell r="D738" t="str">
            <v>RO 3X11.8</v>
          </cell>
        </row>
        <row r="739">
          <cell r="C739">
            <v>612040.4</v>
          </cell>
          <cell r="D739" t="str">
            <v>BR.N 3200 LMW</v>
          </cell>
        </row>
        <row r="740">
          <cell r="C740">
            <v>913016</v>
          </cell>
          <cell r="D740" t="str">
            <v>Box 250x40x50</v>
          </cell>
        </row>
        <row r="741">
          <cell r="C741">
            <v>410120</v>
          </cell>
          <cell r="D741" t="str">
            <v>BR.K 3217S         WITH R</v>
          </cell>
        </row>
        <row r="742">
          <cell r="C742">
            <v>309120</v>
          </cell>
          <cell r="D742" t="str">
            <v>BR.NCG 3217</v>
          </cell>
        </row>
        <row r="743">
          <cell r="C743">
            <v>511120</v>
          </cell>
          <cell r="D743" t="str">
            <v>RO 3X11.8</v>
          </cell>
        </row>
        <row r="744">
          <cell r="C744">
            <v>913010</v>
          </cell>
          <cell r="D744" t="str">
            <v>Box 150x40x50</v>
          </cell>
        </row>
        <row r="745">
          <cell r="C745">
            <v>612040.4</v>
          </cell>
          <cell r="D745" t="str">
            <v>BR.N 3200 LMW</v>
          </cell>
        </row>
        <row r="746">
          <cell r="C746">
            <v>104120</v>
          </cell>
          <cell r="D746" t="str">
            <v>BR.IR 3217</v>
          </cell>
        </row>
        <row r="747">
          <cell r="C747">
            <v>208120</v>
          </cell>
          <cell r="D747" t="str">
            <v>BR.OR 3217</v>
          </cell>
        </row>
        <row r="748">
          <cell r="C748">
            <v>309120</v>
          </cell>
          <cell r="D748" t="str">
            <v>BR.NCG 3217</v>
          </cell>
        </row>
        <row r="749">
          <cell r="C749">
            <v>410121</v>
          </cell>
          <cell r="D749" t="str">
            <v>BR.K 3217L         WITH R</v>
          </cell>
        </row>
        <row r="750">
          <cell r="C750">
            <v>511120</v>
          </cell>
          <cell r="D750" t="str">
            <v>RO 3X11.8</v>
          </cell>
        </row>
        <row r="751">
          <cell r="C751">
            <v>612040.4</v>
          </cell>
          <cell r="D751" t="str">
            <v>BR.N 3200 LMW</v>
          </cell>
        </row>
        <row r="752">
          <cell r="C752">
            <v>913006</v>
          </cell>
          <cell r="D752" t="str">
            <v>Box 50x35x50</v>
          </cell>
        </row>
        <row r="753">
          <cell r="C753">
            <v>410121</v>
          </cell>
          <cell r="D753" t="str">
            <v>BR.K 3217L         WITH R</v>
          </cell>
        </row>
        <row r="754">
          <cell r="C754">
            <v>104123</v>
          </cell>
          <cell r="D754" t="str">
            <v>BR.STADE 4136</v>
          </cell>
        </row>
        <row r="755">
          <cell r="C755">
            <v>208123</v>
          </cell>
          <cell r="D755" t="str">
            <v>BR.OR 4136</v>
          </cell>
        </row>
        <row r="756">
          <cell r="C756">
            <v>208123.01</v>
          </cell>
          <cell r="D756" t="str">
            <v>BR.WASHER 4136</v>
          </cell>
        </row>
        <row r="757">
          <cell r="C757">
            <v>309123</v>
          </cell>
          <cell r="D757" t="str">
            <v>BR.MCG 4136</v>
          </cell>
        </row>
        <row r="758">
          <cell r="C758">
            <v>511434</v>
          </cell>
          <cell r="D758" t="str">
            <v>RO 3.5X11.8</v>
          </cell>
        </row>
        <row r="759">
          <cell r="C759">
            <v>309123</v>
          </cell>
          <cell r="D759" t="str">
            <v>BR.MCG 4136</v>
          </cell>
        </row>
        <row r="760">
          <cell r="C760">
            <v>511434</v>
          </cell>
          <cell r="D760" t="str">
            <v>RO 3.5X11.8</v>
          </cell>
        </row>
        <row r="761">
          <cell r="C761">
            <v>104140</v>
          </cell>
          <cell r="D761" t="str">
            <v>BR.IR 450029</v>
          </cell>
        </row>
        <row r="762">
          <cell r="C762">
            <v>208124</v>
          </cell>
          <cell r="D762" t="str">
            <v>BR.OR 440029            F</v>
          </cell>
        </row>
        <row r="763">
          <cell r="C763">
            <v>309140</v>
          </cell>
          <cell r="D763" t="str">
            <v>BR.NCG 450029</v>
          </cell>
        </row>
        <row r="764">
          <cell r="C764">
            <v>410140</v>
          </cell>
          <cell r="D764" t="str">
            <v>BR.K 450029      WITH R</v>
          </cell>
        </row>
        <row r="765">
          <cell r="C765">
            <v>511141</v>
          </cell>
          <cell r="D765" t="str">
            <v>RO 3.5X12.8</v>
          </cell>
        </row>
        <row r="766">
          <cell r="C766">
            <v>612042</v>
          </cell>
          <cell r="D766" t="str">
            <v>BR.N 3222</v>
          </cell>
        </row>
        <row r="767">
          <cell r="C767">
            <v>913006</v>
          </cell>
          <cell r="D767" t="str">
            <v>Box 50x35x50</v>
          </cell>
        </row>
        <row r="768">
          <cell r="C768">
            <v>104125</v>
          </cell>
          <cell r="D768" t="str">
            <v>BR.IR 3218.5(06)</v>
          </cell>
        </row>
        <row r="769">
          <cell r="C769">
            <v>208125</v>
          </cell>
          <cell r="D769" t="str">
            <v>BR.OR 3218.5(06)</v>
          </cell>
        </row>
        <row r="770">
          <cell r="C770">
            <v>309125.09999999998</v>
          </cell>
          <cell r="D770" t="str">
            <v>BR.NCG 3218.5(06)LOCKTYPE</v>
          </cell>
        </row>
        <row r="771">
          <cell r="C771">
            <v>410125.02</v>
          </cell>
          <cell r="D771" t="str">
            <v>BR.K 3218.5(06)     SKF G</v>
          </cell>
        </row>
        <row r="772">
          <cell r="C772">
            <v>511001</v>
          </cell>
          <cell r="D772" t="str">
            <v>RO 2X9.8</v>
          </cell>
        </row>
        <row r="773">
          <cell r="C773">
            <v>612125</v>
          </cell>
          <cell r="D773" t="str">
            <v>BR.N 3218.5(06)</v>
          </cell>
        </row>
        <row r="774">
          <cell r="C774">
            <v>913016</v>
          </cell>
          <cell r="D774" t="str">
            <v>Box 250x40x50</v>
          </cell>
        </row>
        <row r="775">
          <cell r="C775">
            <v>410125.12</v>
          </cell>
          <cell r="D775" t="str">
            <v>BR.K 3218.5         SKF G</v>
          </cell>
        </row>
        <row r="776">
          <cell r="C776">
            <v>309125.09999999998</v>
          </cell>
          <cell r="D776" t="str">
            <v>BR.NCG 3218.5(06)LOCKTYPE</v>
          </cell>
        </row>
        <row r="777">
          <cell r="C777">
            <v>511001</v>
          </cell>
          <cell r="D777" t="str">
            <v>RO 2X9.8</v>
          </cell>
        </row>
        <row r="778">
          <cell r="C778">
            <v>913010</v>
          </cell>
          <cell r="D778" t="str">
            <v>Box 150x40x50</v>
          </cell>
        </row>
        <row r="779">
          <cell r="C779">
            <v>612125</v>
          </cell>
          <cell r="D779" t="str">
            <v>BR.N 3218.5(06)</v>
          </cell>
        </row>
        <row r="780">
          <cell r="C780">
            <v>104125</v>
          </cell>
          <cell r="D780" t="str">
            <v>BR.IR 3218.5(06)</v>
          </cell>
        </row>
        <row r="781">
          <cell r="C781">
            <v>208125</v>
          </cell>
          <cell r="D781" t="str">
            <v>BR.OR 3218.5(06)</v>
          </cell>
        </row>
        <row r="782">
          <cell r="C782">
            <v>309115</v>
          </cell>
          <cell r="D782" t="str">
            <v>BR.NCG 3216.5  (Local)</v>
          </cell>
        </row>
        <row r="783">
          <cell r="C783">
            <v>410125</v>
          </cell>
          <cell r="D783" t="str">
            <v>BR.K 3218.5(06)    WITH R</v>
          </cell>
        </row>
        <row r="784">
          <cell r="C784">
            <v>511001</v>
          </cell>
          <cell r="D784" t="str">
            <v>RO 2X9.8</v>
          </cell>
        </row>
        <row r="785">
          <cell r="C785">
            <v>612042</v>
          </cell>
          <cell r="D785" t="str">
            <v>BR.N 3222</v>
          </cell>
        </row>
        <row r="786">
          <cell r="C786">
            <v>913016</v>
          </cell>
          <cell r="D786" t="str">
            <v>Box 250x40x50</v>
          </cell>
        </row>
        <row r="787">
          <cell r="C787">
            <v>104126</v>
          </cell>
          <cell r="D787" t="str">
            <v>BR.IR 3221(06)</v>
          </cell>
        </row>
        <row r="788">
          <cell r="C788">
            <v>208126</v>
          </cell>
          <cell r="D788" t="str">
            <v>BR.OR 3221(06)</v>
          </cell>
        </row>
        <row r="789">
          <cell r="C789">
            <v>309125.09999999998</v>
          </cell>
          <cell r="D789" t="str">
            <v>BR.NCG 3218.5(06)LOCKTYPE</v>
          </cell>
        </row>
        <row r="790">
          <cell r="C790">
            <v>410125.02</v>
          </cell>
          <cell r="D790" t="str">
            <v>BR.K 3218.5(06)     SKF G</v>
          </cell>
        </row>
        <row r="791">
          <cell r="C791">
            <v>511001</v>
          </cell>
          <cell r="D791" t="str">
            <v>RO 2X9.8</v>
          </cell>
        </row>
        <row r="792">
          <cell r="C792">
            <v>612125</v>
          </cell>
          <cell r="D792" t="str">
            <v>BR.N 3218.5(06)</v>
          </cell>
        </row>
        <row r="793">
          <cell r="C793">
            <v>913016</v>
          </cell>
          <cell r="D793" t="str">
            <v>Box 250x40x50</v>
          </cell>
        </row>
        <row r="794">
          <cell r="C794">
            <v>309125.09999999998</v>
          </cell>
          <cell r="D794" t="str">
            <v>BR.NCG 3218.5(06)LOCKTYPE</v>
          </cell>
        </row>
        <row r="795">
          <cell r="C795">
            <v>511001</v>
          </cell>
          <cell r="D795" t="str">
            <v>RO 2X9.8</v>
          </cell>
        </row>
        <row r="796">
          <cell r="C796">
            <v>913010</v>
          </cell>
          <cell r="D796" t="str">
            <v>Box 150x40x50</v>
          </cell>
        </row>
        <row r="797">
          <cell r="C797">
            <v>104126</v>
          </cell>
          <cell r="D797" t="str">
            <v>BR.IR 3221(06)</v>
          </cell>
        </row>
        <row r="798">
          <cell r="C798">
            <v>208126</v>
          </cell>
          <cell r="D798" t="str">
            <v>BR.OR 3221(06)</v>
          </cell>
        </row>
        <row r="799">
          <cell r="C799">
            <v>309115.01</v>
          </cell>
          <cell r="D799" t="str">
            <v>BR.TCG 242813</v>
          </cell>
        </row>
        <row r="800">
          <cell r="C800">
            <v>410126</v>
          </cell>
          <cell r="D800" t="str">
            <v>BR.K 3221(06)      WITH R</v>
          </cell>
        </row>
        <row r="801">
          <cell r="C801">
            <v>511001</v>
          </cell>
          <cell r="D801" t="str">
            <v>RO 2X9.8</v>
          </cell>
        </row>
        <row r="802">
          <cell r="C802">
            <v>612040.4</v>
          </cell>
          <cell r="D802" t="str">
            <v>BR.N 3200 LMW</v>
          </cell>
        </row>
        <row r="803">
          <cell r="C803">
            <v>913016</v>
          </cell>
          <cell r="D803" t="str">
            <v>Box 250x40x50</v>
          </cell>
        </row>
        <row r="804">
          <cell r="C804">
            <v>208127</v>
          </cell>
          <cell r="D804" t="str">
            <v>BR.OR 2129P</v>
          </cell>
        </row>
        <row r="805">
          <cell r="C805">
            <v>309404</v>
          </cell>
          <cell r="D805" t="str">
            <v>TCG.TCG 21/17 D</v>
          </cell>
        </row>
        <row r="806">
          <cell r="C806">
            <v>511404</v>
          </cell>
          <cell r="D806" t="str">
            <v>RO 2X13.8</v>
          </cell>
        </row>
        <row r="807">
          <cell r="C807">
            <v>818162</v>
          </cell>
          <cell r="D807" t="str">
            <v>2.5 mm Pin(BR 32[P]18-26)</v>
          </cell>
        </row>
        <row r="808">
          <cell r="C808">
            <v>913016</v>
          </cell>
          <cell r="D808" t="str">
            <v>Box 250x40x50</v>
          </cell>
        </row>
        <row r="809">
          <cell r="C809">
            <v>208128</v>
          </cell>
          <cell r="D809" t="str">
            <v>BR.OR 2140P</v>
          </cell>
        </row>
        <row r="810">
          <cell r="C810">
            <v>309128</v>
          </cell>
          <cell r="D810" t="str">
            <v>BR.TCG 2140P</v>
          </cell>
        </row>
        <row r="811">
          <cell r="C811">
            <v>511130</v>
          </cell>
          <cell r="D811" t="str">
            <v>RO 2.5X13.8</v>
          </cell>
        </row>
        <row r="812">
          <cell r="C812">
            <v>818162</v>
          </cell>
          <cell r="D812" t="str">
            <v>2.5 mm Pin(BR 32[P]18-26)</v>
          </cell>
        </row>
        <row r="813">
          <cell r="C813">
            <v>913016</v>
          </cell>
          <cell r="D813" t="str">
            <v>Box 250x40x50</v>
          </cell>
        </row>
        <row r="814">
          <cell r="C814">
            <v>104129</v>
          </cell>
          <cell r="D814" t="str">
            <v>BR.IR 3420</v>
          </cell>
        </row>
        <row r="815">
          <cell r="C815">
            <v>208129</v>
          </cell>
          <cell r="D815" t="str">
            <v>BR.OR 3420</v>
          </cell>
        </row>
        <row r="816">
          <cell r="C816">
            <v>309167</v>
          </cell>
          <cell r="D816" t="str">
            <v>BR.NCG 34[P]20-26</v>
          </cell>
        </row>
        <row r="817">
          <cell r="C817">
            <v>511120</v>
          </cell>
          <cell r="D817" t="str">
            <v>RO 3X11.8</v>
          </cell>
        </row>
        <row r="818">
          <cell r="C818">
            <v>612042</v>
          </cell>
          <cell r="D818" t="str">
            <v>BR.N 3222</v>
          </cell>
        </row>
        <row r="819">
          <cell r="C819">
            <v>717165.03</v>
          </cell>
          <cell r="D819" t="str">
            <v>Nipple Washer</v>
          </cell>
        </row>
        <row r="820">
          <cell r="C820">
            <v>913006</v>
          </cell>
          <cell r="D820" t="str">
            <v>Box 50x35x50</v>
          </cell>
        </row>
        <row r="821">
          <cell r="C821">
            <v>104130</v>
          </cell>
          <cell r="D821" t="str">
            <v>BR.IR 3422</v>
          </cell>
        </row>
        <row r="822">
          <cell r="C822">
            <v>208130</v>
          </cell>
          <cell r="D822" t="str">
            <v>BR.OR 3422</v>
          </cell>
        </row>
        <row r="823">
          <cell r="C823">
            <v>309060.03000000003</v>
          </cell>
          <cell r="D823" t="str">
            <v>BR.NCG 3624</v>
          </cell>
        </row>
        <row r="824">
          <cell r="C824">
            <v>511270.01</v>
          </cell>
          <cell r="D824" t="str">
            <v>RO 2.5X12.8</v>
          </cell>
        </row>
        <row r="825">
          <cell r="C825">
            <v>612042</v>
          </cell>
          <cell r="D825" t="str">
            <v>BR.N 3222</v>
          </cell>
        </row>
        <row r="826">
          <cell r="C826">
            <v>818130</v>
          </cell>
          <cell r="D826" t="str">
            <v>METAL RETUNER 26 mm.</v>
          </cell>
        </row>
        <row r="827">
          <cell r="C827">
            <v>913006</v>
          </cell>
          <cell r="D827" t="str">
            <v>Box 50x35x50</v>
          </cell>
        </row>
        <row r="828">
          <cell r="C828">
            <v>309060.03000000003</v>
          </cell>
          <cell r="D828" t="str">
            <v>BR.NCG 3624</v>
          </cell>
        </row>
        <row r="829">
          <cell r="C829">
            <v>511270.01</v>
          </cell>
          <cell r="D829" t="str">
            <v>RO 2.5X12.8</v>
          </cell>
        </row>
        <row r="830">
          <cell r="C830">
            <v>913010</v>
          </cell>
          <cell r="D830" t="str">
            <v>Box 150x40x50</v>
          </cell>
        </row>
        <row r="831">
          <cell r="C831">
            <v>104130.15</v>
          </cell>
          <cell r="D831" t="str">
            <v>BR.IR 3422 TCG</v>
          </cell>
        </row>
        <row r="832">
          <cell r="C832">
            <v>208130</v>
          </cell>
          <cell r="D832" t="str">
            <v>BR.OR 3422</v>
          </cell>
        </row>
        <row r="833">
          <cell r="C833">
            <v>309060.01</v>
          </cell>
          <cell r="D833" t="str">
            <v>BR.TCG 3622</v>
          </cell>
        </row>
        <row r="834">
          <cell r="C834">
            <v>511060</v>
          </cell>
          <cell r="D834" t="str">
            <v>RO 2.5X9.8</v>
          </cell>
        </row>
        <row r="835">
          <cell r="C835">
            <v>612042</v>
          </cell>
          <cell r="D835" t="str">
            <v>BR.N 3222</v>
          </cell>
        </row>
        <row r="836">
          <cell r="C836">
            <v>818130</v>
          </cell>
          <cell r="D836" t="str">
            <v>METAL RETUNER 26 mm.</v>
          </cell>
        </row>
        <row r="837">
          <cell r="C837">
            <v>913006</v>
          </cell>
          <cell r="D837" t="str">
            <v>Box 50x35x50</v>
          </cell>
        </row>
        <row r="838">
          <cell r="C838">
            <v>104134</v>
          </cell>
          <cell r="D838" t="str">
            <v>BR.IR 3621(20)</v>
          </cell>
        </row>
        <row r="839">
          <cell r="C839">
            <v>208065</v>
          </cell>
          <cell r="D839" t="str">
            <v>BR.OR 362526</v>
          </cell>
        </row>
        <row r="840">
          <cell r="C840">
            <v>309060</v>
          </cell>
          <cell r="D840" t="str">
            <v>BR.NCG 3622</v>
          </cell>
        </row>
        <row r="841">
          <cell r="C841">
            <v>410131</v>
          </cell>
          <cell r="D841" t="str">
            <v>BR.K 3621(22)      WITH R</v>
          </cell>
        </row>
        <row r="842">
          <cell r="C842">
            <v>511060</v>
          </cell>
          <cell r="D842" t="str">
            <v>RO 2.5X9.8</v>
          </cell>
        </row>
        <row r="843">
          <cell r="C843">
            <v>612042</v>
          </cell>
          <cell r="D843" t="str">
            <v>BR.N 3222</v>
          </cell>
        </row>
        <row r="844">
          <cell r="C844">
            <v>913006</v>
          </cell>
          <cell r="D844" t="str">
            <v>Box 50x35x50</v>
          </cell>
        </row>
        <row r="845">
          <cell r="C845">
            <v>410131</v>
          </cell>
          <cell r="D845" t="str">
            <v>BR.K 3621(22)      WITH R</v>
          </cell>
        </row>
        <row r="846">
          <cell r="C846">
            <v>104134</v>
          </cell>
          <cell r="D846" t="str">
            <v>BR.IR 3621(20)</v>
          </cell>
        </row>
        <row r="847">
          <cell r="C847">
            <v>208065</v>
          </cell>
          <cell r="D847" t="str">
            <v>BR.OR 362526</v>
          </cell>
        </row>
        <row r="848">
          <cell r="C848">
            <v>309060</v>
          </cell>
          <cell r="D848" t="str">
            <v>BR.NCG 3622</v>
          </cell>
        </row>
        <row r="849">
          <cell r="C849">
            <v>410065</v>
          </cell>
          <cell r="D849" t="str">
            <v>BR.K 362526        WITH R</v>
          </cell>
        </row>
        <row r="850">
          <cell r="C850">
            <v>511060</v>
          </cell>
          <cell r="D850" t="str">
            <v>RO 2.5X9.8</v>
          </cell>
        </row>
        <row r="851">
          <cell r="C851">
            <v>612042</v>
          </cell>
          <cell r="D851" t="str">
            <v>BR.N 3222</v>
          </cell>
        </row>
        <row r="852">
          <cell r="C852">
            <v>913006</v>
          </cell>
          <cell r="D852" t="str">
            <v>Box 50x35x50</v>
          </cell>
        </row>
        <row r="853">
          <cell r="C853">
            <v>104133</v>
          </cell>
          <cell r="D853" t="str">
            <v>BR.IR 3618.5(06)</v>
          </cell>
        </row>
        <row r="854">
          <cell r="C854">
            <v>208133</v>
          </cell>
          <cell r="D854" t="str">
            <v>BR.OR 3618.5</v>
          </cell>
        </row>
        <row r="855">
          <cell r="C855">
            <v>309060</v>
          </cell>
          <cell r="D855" t="str">
            <v>BR.NCG 3622</v>
          </cell>
        </row>
        <row r="856">
          <cell r="C856">
            <v>410133.12</v>
          </cell>
          <cell r="D856" t="str">
            <v>BR.K 3618.5(06)     SKF G</v>
          </cell>
        </row>
        <row r="857">
          <cell r="C857">
            <v>511060</v>
          </cell>
          <cell r="D857" t="str">
            <v>RO 2.5X9.8</v>
          </cell>
        </row>
        <row r="858">
          <cell r="C858">
            <v>612042</v>
          </cell>
          <cell r="D858" t="str">
            <v>BR.N 3222</v>
          </cell>
        </row>
        <row r="859">
          <cell r="C859">
            <v>913006</v>
          </cell>
          <cell r="D859" t="str">
            <v>Box 50x35x50</v>
          </cell>
        </row>
        <row r="860">
          <cell r="C860">
            <v>410133.12</v>
          </cell>
          <cell r="D860" t="str">
            <v>BR.K 3618.5(06)     SKF G</v>
          </cell>
        </row>
        <row r="861">
          <cell r="C861">
            <v>309060</v>
          </cell>
          <cell r="D861" t="str">
            <v>BR.NCG 3622</v>
          </cell>
        </row>
        <row r="862">
          <cell r="C862">
            <v>511060</v>
          </cell>
          <cell r="D862" t="str">
            <v>RO 2.5X9.8</v>
          </cell>
        </row>
        <row r="863">
          <cell r="C863">
            <v>104133</v>
          </cell>
          <cell r="D863" t="str">
            <v>BR.IR 3618.5(06)</v>
          </cell>
        </row>
        <row r="864">
          <cell r="C864">
            <v>208133</v>
          </cell>
          <cell r="D864" t="str">
            <v>BR.OR 3618.5</v>
          </cell>
        </row>
        <row r="865">
          <cell r="C865">
            <v>309060</v>
          </cell>
          <cell r="D865" t="str">
            <v>BR.NCG 3622</v>
          </cell>
        </row>
        <row r="866">
          <cell r="C866">
            <v>410133.1</v>
          </cell>
          <cell r="D866" t="str">
            <v>BR.K 3618.5(06)    WITH R</v>
          </cell>
        </row>
        <row r="867">
          <cell r="C867">
            <v>511060</v>
          </cell>
          <cell r="D867" t="str">
            <v>RO 2.5X9.8</v>
          </cell>
        </row>
        <row r="868">
          <cell r="C868">
            <v>612042</v>
          </cell>
          <cell r="D868" t="str">
            <v>BR.N 3222</v>
          </cell>
        </row>
        <row r="869">
          <cell r="C869">
            <v>104134</v>
          </cell>
          <cell r="D869" t="str">
            <v>BR.IR 3621(20)</v>
          </cell>
        </row>
        <row r="870">
          <cell r="C870">
            <v>208065</v>
          </cell>
          <cell r="D870" t="str">
            <v>BR.OR 362526</v>
          </cell>
        </row>
        <row r="871">
          <cell r="C871">
            <v>309060</v>
          </cell>
          <cell r="D871" t="str">
            <v>BR.NCG 3622</v>
          </cell>
        </row>
        <row r="872">
          <cell r="C872">
            <v>410134</v>
          </cell>
          <cell r="D872" t="str">
            <v>BR.K 3621(06)      WITH R</v>
          </cell>
        </row>
        <row r="873">
          <cell r="C873">
            <v>511060</v>
          </cell>
          <cell r="D873" t="str">
            <v>RO 2.5X9.8</v>
          </cell>
        </row>
        <row r="874">
          <cell r="C874">
            <v>612042</v>
          </cell>
          <cell r="D874" t="str">
            <v>BR.N 3222</v>
          </cell>
        </row>
        <row r="875">
          <cell r="C875">
            <v>913006</v>
          </cell>
          <cell r="D875" t="str">
            <v>Box 50x35x50</v>
          </cell>
        </row>
        <row r="876">
          <cell r="C876">
            <v>104134</v>
          </cell>
          <cell r="D876" t="str">
            <v>BR.IR 3621(20)</v>
          </cell>
        </row>
        <row r="877">
          <cell r="C877">
            <v>208065</v>
          </cell>
          <cell r="D877" t="str">
            <v>BR.OR 362526</v>
          </cell>
        </row>
        <row r="878">
          <cell r="C878">
            <v>309060</v>
          </cell>
          <cell r="D878" t="str">
            <v>BR.NCG 3622</v>
          </cell>
        </row>
        <row r="879">
          <cell r="C879">
            <v>410135</v>
          </cell>
          <cell r="D879" t="str">
            <v>BR.K 3621(20)      WITH R</v>
          </cell>
        </row>
        <row r="880">
          <cell r="C880">
            <v>511060</v>
          </cell>
          <cell r="D880" t="str">
            <v>RO 2.5X9.8</v>
          </cell>
        </row>
        <row r="881">
          <cell r="C881">
            <v>612042</v>
          </cell>
          <cell r="D881" t="str">
            <v>BR.N 3222</v>
          </cell>
        </row>
        <row r="882">
          <cell r="C882">
            <v>913006</v>
          </cell>
          <cell r="D882" t="str">
            <v>Box 50x35x50</v>
          </cell>
        </row>
        <row r="883">
          <cell r="C883">
            <v>410135</v>
          </cell>
          <cell r="D883" t="str">
            <v>BR.K 3621(20)      WITH R</v>
          </cell>
        </row>
        <row r="884">
          <cell r="C884">
            <v>104140</v>
          </cell>
          <cell r="D884" t="str">
            <v>BR.IR 450029</v>
          </cell>
        </row>
        <row r="885">
          <cell r="C885">
            <v>208140</v>
          </cell>
          <cell r="D885" t="str">
            <v>BR.OR 450029</v>
          </cell>
        </row>
        <row r="886">
          <cell r="C886">
            <v>309140</v>
          </cell>
          <cell r="D886" t="str">
            <v>BR.NCG 450029</v>
          </cell>
        </row>
        <row r="887">
          <cell r="C887">
            <v>410136.02</v>
          </cell>
          <cell r="D887" t="str">
            <v>BR.K 452529         SKF G</v>
          </cell>
        </row>
        <row r="888">
          <cell r="C888">
            <v>511141</v>
          </cell>
          <cell r="D888" t="str">
            <v>RO 3.5X12.8</v>
          </cell>
        </row>
        <row r="889">
          <cell r="C889">
            <v>612075</v>
          </cell>
          <cell r="D889" t="str">
            <v>BR.N 4006(24)</v>
          </cell>
        </row>
        <row r="890">
          <cell r="C890">
            <v>913006</v>
          </cell>
          <cell r="D890" t="str">
            <v>Box 50x35x50</v>
          </cell>
        </row>
        <row r="891">
          <cell r="C891">
            <v>104060</v>
          </cell>
          <cell r="D891" t="str">
            <v>BR.IR 3622</v>
          </cell>
        </row>
        <row r="892">
          <cell r="C892">
            <v>208137</v>
          </cell>
          <cell r="D892" t="str">
            <v>BR.OR 3719(22)</v>
          </cell>
        </row>
        <row r="893">
          <cell r="C893">
            <v>309060</v>
          </cell>
          <cell r="D893" t="str">
            <v>BR.NCG 3622</v>
          </cell>
        </row>
        <row r="894">
          <cell r="C894">
            <v>410137</v>
          </cell>
          <cell r="D894" t="str">
            <v>BR.K 3719(22)      WITH R</v>
          </cell>
        </row>
        <row r="895">
          <cell r="C895">
            <v>511060</v>
          </cell>
          <cell r="D895" t="str">
            <v>RO 2.5X9.8</v>
          </cell>
        </row>
        <row r="896">
          <cell r="C896">
            <v>612042</v>
          </cell>
          <cell r="D896" t="str">
            <v>BR.N 3222</v>
          </cell>
        </row>
        <row r="897">
          <cell r="C897">
            <v>913006</v>
          </cell>
          <cell r="D897" t="str">
            <v>Box 50x35x50</v>
          </cell>
        </row>
        <row r="898">
          <cell r="C898">
            <v>104138</v>
          </cell>
          <cell r="D898" t="str">
            <v>BR.IR 4019(06)</v>
          </cell>
        </row>
        <row r="899">
          <cell r="C899">
            <v>208075</v>
          </cell>
          <cell r="D899" t="str">
            <v>BR.OR 402424</v>
          </cell>
        </row>
        <row r="900">
          <cell r="C900">
            <v>309077</v>
          </cell>
          <cell r="D900" t="str">
            <v>BR.NCG 4000</v>
          </cell>
        </row>
        <row r="901">
          <cell r="C901">
            <v>410138</v>
          </cell>
          <cell r="D901" t="str">
            <v>BR.K 4019(06)      WITH R</v>
          </cell>
        </row>
        <row r="902">
          <cell r="C902">
            <v>511120</v>
          </cell>
          <cell r="D902" t="str">
            <v>RO 3X11.8</v>
          </cell>
        </row>
        <row r="903">
          <cell r="C903">
            <v>612075</v>
          </cell>
          <cell r="D903" t="str">
            <v>BR.N 4006(24)</v>
          </cell>
        </row>
        <row r="904">
          <cell r="C904">
            <v>913006</v>
          </cell>
          <cell r="D904" t="str">
            <v>Box 50x35x50</v>
          </cell>
        </row>
        <row r="905">
          <cell r="C905">
            <v>104140</v>
          </cell>
          <cell r="D905" t="str">
            <v>BR.IR 450029</v>
          </cell>
        </row>
        <row r="906">
          <cell r="C906">
            <v>208140</v>
          </cell>
          <cell r="D906" t="str">
            <v>BR.OR 450029</v>
          </cell>
        </row>
        <row r="907">
          <cell r="C907">
            <v>309140</v>
          </cell>
          <cell r="D907" t="str">
            <v>BR.NCG 450029</v>
          </cell>
        </row>
        <row r="908">
          <cell r="C908">
            <v>410139.02</v>
          </cell>
          <cell r="D908" t="str">
            <v>BR.K 452429         SKF G</v>
          </cell>
        </row>
        <row r="909">
          <cell r="C909">
            <v>511141</v>
          </cell>
          <cell r="D909" t="str">
            <v>RO 3.5X12.8</v>
          </cell>
        </row>
        <row r="910">
          <cell r="C910">
            <v>612042</v>
          </cell>
          <cell r="D910" t="str">
            <v>BR.N 3222</v>
          </cell>
        </row>
        <row r="911">
          <cell r="C911">
            <v>913006</v>
          </cell>
          <cell r="D911" t="str">
            <v>Box 50x35x50</v>
          </cell>
        </row>
        <row r="912">
          <cell r="C912">
            <v>410139.02</v>
          </cell>
          <cell r="D912" t="str">
            <v>BR.K 452429         SKF G</v>
          </cell>
        </row>
        <row r="913">
          <cell r="C913">
            <v>104140</v>
          </cell>
          <cell r="D913" t="str">
            <v>BR.IR 450029</v>
          </cell>
        </row>
        <row r="914">
          <cell r="C914">
            <v>208140</v>
          </cell>
          <cell r="D914" t="str">
            <v>BR.OR 450029</v>
          </cell>
        </row>
        <row r="915">
          <cell r="C915">
            <v>309140</v>
          </cell>
          <cell r="D915" t="str">
            <v>BR.NCG 450029</v>
          </cell>
        </row>
        <row r="916">
          <cell r="C916">
            <v>410140</v>
          </cell>
          <cell r="D916" t="str">
            <v>BR.K 450029      WITH R</v>
          </cell>
        </row>
        <row r="917">
          <cell r="C917">
            <v>511141</v>
          </cell>
          <cell r="D917" t="str">
            <v>RO 3.5X12.8</v>
          </cell>
        </row>
        <row r="918">
          <cell r="C918">
            <v>612075</v>
          </cell>
          <cell r="D918" t="str">
            <v>BR.N 4006(24)</v>
          </cell>
        </row>
        <row r="919">
          <cell r="C919">
            <v>913006</v>
          </cell>
          <cell r="D919" t="str">
            <v>Box 50x35x50</v>
          </cell>
        </row>
        <row r="920">
          <cell r="C920">
            <v>410136.02</v>
          </cell>
          <cell r="D920" t="str">
            <v>BR.K 452529         SKF G</v>
          </cell>
        </row>
        <row r="921">
          <cell r="C921">
            <v>208141</v>
          </cell>
          <cell r="D921" t="str">
            <v>BR.OR 2134(25)</v>
          </cell>
        </row>
        <row r="922">
          <cell r="C922">
            <v>309167</v>
          </cell>
          <cell r="D922" t="str">
            <v>BR.NCG 34[P]20-26</v>
          </cell>
        </row>
        <row r="923">
          <cell r="C923">
            <v>410141</v>
          </cell>
          <cell r="D923" t="str">
            <v>BR.K 2134(25)    WITH R</v>
          </cell>
        </row>
        <row r="924">
          <cell r="C924">
            <v>511270.01</v>
          </cell>
          <cell r="D924" t="str">
            <v>RO 2.5X12.8</v>
          </cell>
        </row>
        <row r="925">
          <cell r="C925">
            <v>612042</v>
          </cell>
          <cell r="D925" t="str">
            <v>BR.N 3222</v>
          </cell>
        </row>
        <row r="926">
          <cell r="C926">
            <v>913006</v>
          </cell>
          <cell r="D926" t="str">
            <v>Box 50x35x50</v>
          </cell>
        </row>
        <row r="927">
          <cell r="C927">
            <v>208060</v>
          </cell>
          <cell r="D927" t="str">
            <v>BR.OR 3622</v>
          </cell>
        </row>
        <row r="928">
          <cell r="C928">
            <v>309060</v>
          </cell>
          <cell r="D928" t="str">
            <v>BR.NCG 3622</v>
          </cell>
        </row>
        <row r="929">
          <cell r="C929">
            <v>410142</v>
          </cell>
          <cell r="D929" t="str">
            <v>BR.K 2136(20)      WITH R</v>
          </cell>
        </row>
        <row r="930">
          <cell r="C930">
            <v>511060</v>
          </cell>
          <cell r="D930" t="str">
            <v>RO 2.5X9.8</v>
          </cell>
        </row>
        <row r="931">
          <cell r="C931">
            <v>612042</v>
          </cell>
          <cell r="D931" t="str">
            <v>BR.N 3222</v>
          </cell>
        </row>
        <row r="932">
          <cell r="C932">
            <v>913006</v>
          </cell>
          <cell r="D932" t="str">
            <v>Box 50x35x50</v>
          </cell>
        </row>
        <row r="933">
          <cell r="C933">
            <v>208075</v>
          </cell>
          <cell r="D933" t="str">
            <v>BR.OR 402424</v>
          </cell>
        </row>
        <row r="934">
          <cell r="C934">
            <v>309077</v>
          </cell>
          <cell r="D934" t="str">
            <v>BR.NCG 4000</v>
          </cell>
        </row>
        <row r="935">
          <cell r="C935">
            <v>410143</v>
          </cell>
          <cell r="D935" t="str">
            <v>BR.K 2140(20)      WITH R</v>
          </cell>
        </row>
        <row r="936">
          <cell r="C936">
            <v>511120</v>
          </cell>
          <cell r="D936" t="str">
            <v>RO 3X11.8</v>
          </cell>
        </row>
        <row r="937">
          <cell r="C937">
            <v>612075</v>
          </cell>
          <cell r="D937" t="str">
            <v>BR.N 4006(24)</v>
          </cell>
        </row>
        <row r="938">
          <cell r="C938">
            <v>913006</v>
          </cell>
          <cell r="D938" t="str">
            <v>Box 50x35x50</v>
          </cell>
        </row>
        <row r="939">
          <cell r="C939">
            <v>208040.4</v>
          </cell>
          <cell r="D939" t="str">
            <v>BR.OR 3222 LMW</v>
          </cell>
        </row>
        <row r="940">
          <cell r="C940">
            <v>309040</v>
          </cell>
          <cell r="D940" t="str">
            <v>BR.NCG 3222</v>
          </cell>
        </row>
        <row r="941">
          <cell r="C941">
            <v>410144</v>
          </cell>
          <cell r="D941" t="str">
            <v>BR.K 2132(20)</v>
          </cell>
        </row>
        <row r="942">
          <cell r="C942">
            <v>511040</v>
          </cell>
          <cell r="D942" t="str">
            <v>RO 2X11.8</v>
          </cell>
        </row>
        <row r="943">
          <cell r="C943">
            <v>612040.4</v>
          </cell>
          <cell r="D943" t="str">
            <v>BR.N 3200 LMW</v>
          </cell>
        </row>
        <row r="944">
          <cell r="C944">
            <v>913016</v>
          </cell>
          <cell r="D944" t="str">
            <v>Box 250x40x50</v>
          </cell>
        </row>
        <row r="945">
          <cell r="C945">
            <v>208145</v>
          </cell>
          <cell r="D945" t="str">
            <v>BR.OR 2130(20)</v>
          </cell>
        </row>
        <row r="946">
          <cell r="C946">
            <v>309145</v>
          </cell>
          <cell r="D946" t="str">
            <v>BR.TCG 2130(20)</v>
          </cell>
        </row>
        <row r="947">
          <cell r="C947">
            <v>410145</v>
          </cell>
          <cell r="D947" t="str">
            <v>BR.K 2130(20)      WITH R</v>
          </cell>
        </row>
        <row r="948">
          <cell r="C948">
            <v>511145</v>
          </cell>
          <cell r="D948" t="str">
            <v>RO 3X9.8</v>
          </cell>
        </row>
        <row r="949">
          <cell r="C949">
            <v>612001</v>
          </cell>
          <cell r="D949" t="str">
            <v>BR.N 2822</v>
          </cell>
        </row>
        <row r="950">
          <cell r="C950">
            <v>913016</v>
          </cell>
          <cell r="D950" t="str">
            <v>Box 250x40x50</v>
          </cell>
        </row>
        <row r="951">
          <cell r="C951">
            <v>309145</v>
          </cell>
          <cell r="D951" t="str">
            <v>BR.TCG 2130(20)</v>
          </cell>
        </row>
        <row r="952">
          <cell r="C952">
            <v>511145</v>
          </cell>
          <cell r="D952" t="str">
            <v>RO 3X9.8</v>
          </cell>
        </row>
        <row r="953">
          <cell r="C953">
            <v>104146</v>
          </cell>
          <cell r="D953" t="str">
            <v>BR.IR 20-3P</v>
          </cell>
        </row>
        <row r="954">
          <cell r="C954">
            <v>208146</v>
          </cell>
          <cell r="D954" t="str">
            <v>BR.OR 20-3P</v>
          </cell>
        </row>
        <row r="955">
          <cell r="C955">
            <v>309758</v>
          </cell>
          <cell r="D955" t="str">
            <v>BR.TCG 32[P]17</v>
          </cell>
        </row>
        <row r="956">
          <cell r="C956">
            <v>612001</v>
          </cell>
          <cell r="D956" t="str">
            <v>BR.N 2822</v>
          </cell>
        </row>
        <row r="957">
          <cell r="C957">
            <v>913016</v>
          </cell>
          <cell r="D957" t="str">
            <v>Box 250x40x50</v>
          </cell>
        </row>
        <row r="958">
          <cell r="C958">
            <v>104134</v>
          </cell>
          <cell r="D958" t="str">
            <v>BR.IR 3621(20)</v>
          </cell>
        </row>
        <row r="959">
          <cell r="C959">
            <v>208060</v>
          </cell>
          <cell r="D959" t="str">
            <v>BR.OR 3622</v>
          </cell>
        </row>
        <row r="960">
          <cell r="C960">
            <v>309060</v>
          </cell>
          <cell r="D960" t="str">
            <v>BR.NCG 3622</v>
          </cell>
        </row>
        <row r="961">
          <cell r="C961">
            <v>410147</v>
          </cell>
          <cell r="D961" t="str">
            <v>BR.K 3621(24)25    WITH R</v>
          </cell>
        </row>
        <row r="962">
          <cell r="C962">
            <v>511060</v>
          </cell>
          <cell r="D962" t="str">
            <v>RO 2.5X9.8</v>
          </cell>
        </row>
        <row r="963">
          <cell r="C963">
            <v>612042</v>
          </cell>
          <cell r="D963" t="str">
            <v>BR.N 3222</v>
          </cell>
        </row>
        <row r="964">
          <cell r="C964">
            <v>913006</v>
          </cell>
          <cell r="D964" t="str">
            <v>Box 50x35x50</v>
          </cell>
        </row>
        <row r="965">
          <cell r="C965">
            <v>104148</v>
          </cell>
          <cell r="D965" t="str">
            <v>SPL.IR S 20</v>
          </cell>
        </row>
        <row r="966">
          <cell r="C966">
            <v>104148.01</v>
          </cell>
          <cell r="D966" t="str">
            <v>SPL.IR S 20 SPL         F</v>
          </cell>
        </row>
        <row r="967">
          <cell r="C967">
            <v>104148.02</v>
          </cell>
          <cell r="D967" t="str">
            <v>SPL.IR S 36             F</v>
          </cell>
        </row>
        <row r="968">
          <cell r="C968">
            <v>104148.01</v>
          </cell>
          <cell r="D968" t="str">
            <v>SPL.IR S 20 SPL         F</v>
          </cell>
        </row>
        <row r="969">
          <cell r="C969">
            <v>208326.01</v>
          </cell>
          <cell r="D969" t="str">
            <v>NA/RNA.OR 6902</v>
          </cell>
        </row>
        <row r="970">
          <cell r="C970">
            <v>309326.01</v>
          </cell>
          <cell r="D970" t="str">
            <v>NA/RNA.MCG 6902</v>
          </cell>
        </row>
        <row r="971">
          <cell r="C971">
            <v>511325.01</v>
          </cell>
          <cell r="D971" t="str">
            <v>RO 2.5X17.8</v>
          </cell>
        </row>
        <row r="972">
          <cell r="C972">
            <v>104148</v>
          </cell>
          <cell r="D972" t="str">
            <v>SPL.IR S 20</v>
          </cell>
        </row>
        <row r="973">
          <cell r="C973">
            <v>208326.01</v>
          </cell>
          <cell r="D973" t="str">
            <v>NA/RNA.OR 6902</v>
          </cell>
        </row>
        <row r="974">
          <cell r="C974">
            <v>309326.01</v>
          </cell>
          <cell r="D974" t="str">
            <v>NA/RNA.MCG 6902</v>
          </cell>
        </row>
        <row r="975">
          <cell r="C975">
            <v>511325.01</v>
          </cell>
          <cell r="D975" t="str">
            <v>RO 2.5X17.8</v>
          </cell>
        </row>
        <row r="976">
          <cell r="C976">
            <v>104148.01</v>
          </cell>
          <cell r="D976" t="str">
            <v>SPL.IR S 20 SPL         F</v>
          </cell>
        </row>
        <row r="977">
          <cell r="C977">
            <v>208326.01</v>
          </cell>
          <cell r="D977" t="str">
            <v>NA/RNA.OR 6902</v>
          </cell>
        </row>
        <row r="978">
          <cell r="C978">
            <v>309326.01</v>
          </cell>
          <cell r="D978" t="str">
            <v>NA/RNA.MCG 6902</v>
          </cell>
        </row>
        <row r="979">
          <cell r="C979">
            <v>511325.01</v>
          </cell>
          <cell r="D979" t="str">
            <v>RO 2.5X17.8</v>
          </cell>
        </row>
        <row r="980">
          <cell r="C980">
            <v>104148.01</v>
          </cell>
          <cell r="D980" t="str">
            <v>SPL.IR S 20 SPL         F</v>
          </cell>
        </row>
        <row r="981">
          <cell r="C981">
            <v>208145</v>
          </cell>
          <cell r="D981" t="str">
            <v>BR.OR 2130(20)</v>
          </cell>
        </row>
        <row r="982">
          <cell r="C982">
            <v>309145</v>
          </cell>
          <cell r="D982" t="str">
            <v>BR.TCG 2130(20)</v>
          </cell>
        </row>
        <row r="983">
          <cell r="C983">
            <v>410145</v>
          </cell>
          <cell r="D983" t="str">
            <v>BR.K 2130(20)      WITH R</v>
          </cell>
        </row>
        <row r="984">
          <cell r="C984">
            <v>511145</v>
          </cell>
          <cell r="D984" t="str">
            <v>RO 3X9.8</v>
          </cell>
        </row>
        <row r="985">
          <cell r="C985">
            <v>612001</v>
          </cell>
          <cell r="D985" t="str">
            <v>BR.N 2822</v>
          </cell>
        </row>
        <row r="986">
          <cell r="C986">
            <v>913016</v>
          </cell>
          <cell r="D986" t="str">
            <v>Box 250x40x50</v>
          </cell>
        </row>
        <row r="987">
          <cell r="C987">
            <v>913016</v>
          </cell>
          <cell r="D987" t="str">
            <v>Box 250x40x50</v>
          </cell>
        </row>
        <row r="988">
          <cell r="C988">
            <v>104150</v>
          </cell>
          <cell r="D988" t="str">
            <v>BR.IR 28[P]16</v>
          </cell>
        </row>
        <row r="989">
          <cell r="C989">
            <v>208150</v>
          </cell>
          <cell r="D989" t="str">
            <v>BR.OR 28[P]16</v>
          </cell>
        </row>
        <row r="990">
          <cell r="C990">
            <v>309001</v>
          </cell>
          <cell r="D990" t="str">
            <v>BR.NCG 2822</v>
          </cell>
        </row>
        <row r="991">
          <cell r="C991">
            <v>511001</v>
          </cell>
          <cell r="D991" t="str">
            <v>RO 2X9.8</v>
          </cell>
        </row>
        <row r="992">
          <cell r="C992">
            <v>612001</v>
          </cell>
          <cell r="D992" t="str">
            <v>BR.N 2822</v>
          </cell>
        </row>
        <row r="993">
          <cell r="C993">
            <v>717165.03</v>
          </cell>
          <cell r="D993" t="str">
            <v>Nipple Washer</v>
          </cell>
        </row>
        <row r="994">
          <cell r="C994">
            <v>818150</v>
          </cell>
          <cell r="D994" t="str">
            <v>3 mm Pin (BR 28[P]16)</v>
          </cell>
        </row>
        <row r="995">
          <cell r="C995">
            <v>913016</v>
          </cell>
          <cell r="D995" t="str">
            <v>Box 250x40x50</v>
          </cell>
        </row>
        <row r="996">
          <cell r="C996">
            <v>104150</v>
          </cell>
          <cell r="D996" t="str">
            <v>BR.IR 28[P]16</v>
          </cell>
        </row>
        <row r="997">
          <cell r="C997">
            <v>208150</v>
          </cell>
          <cell r="D997" t="str">
            <v>BR.OR 28[P]16</v>
          </cell>
        </row>
        <row r="998">
          <cell r="C998">
            <v>309001</v>
          </cell>
          <cell r="D998" t="str">
            <v>BR.NCG 2822</v>
          </cell>
        </row>
        <row r="999">
          <cell r="C999">
            <v>511001</v>
          </cell>
          <cell r="D999" t="str">
            <v>RO 2X9.8</v>
          </cell>
        </row>
        <row r="1000">
          <cell r="C1000">
            <v>612001</v>
          </cell>
          <cell r="D1000" t="str">
            <v>BR.N 2822</v>
          </cell>
        </row>
        <row r="1001">
          <cell r="C1001">
            <v>818255</v>
          </cell>
          <cell r="D1001" t="str">
            <v>METAL RETUNER 23.5 mm.</v>
          </cell>
        </row>
        <row r="1002">
          <cell r="C1002">
            <v>913016</v>
          </cell>
          <cell r="D1002" t="str">
            <v>Box 250x40x50</v>
          </cell>
        </row>
        <row r="1003">
          <cell r="C1003">
            <v>104151</v>
          </cell>
          <cell r="D1003" t="str">
            <v>BR.IR 28[P]16.5</v>
          </cell>
        </row>
        <row r="1004">
          <cell r="C1004">
            <v>208150</v>
          </cell>
          <cell r="D1004" t="str">
            <v>BR.OR 28[P]16</v>
          </cell>
        </row>
        <row r="1005">
          <cell r="C1005">
            <v>309006</v>
          </cell>
          <cell r="D1005" t="str">
            <v>BR.NCG 282223</v>
          </cell>
        </row>
        <row r="1006">
          <cell r="C1006">
            <v>511003</v>
          </cell>
          <cell r="D1006" t="str">
            <v>RO 2.3X9.8</v>
          </cell>
        </row>
        <row r="1007">
          <cell r="C1007">
            <v>612042</v>
          </cell>
          <cell r="D1007" t="str">
            <v>BR.N 3222</v>
          </cell>
        </row>
        <row r="1008">
          <cell r="C1008">
            <v>717165.03</v>
          </cell>
          <cell r="D1008" t="str">
            <v>Nipple Washer</v>
          </cell>
        </row>
        <row r="1009">
          <cell r="C1009">
            <v>818150</v>
          </cell>
          <cell r="D1009" t="str">
            <v>3 mm Pin (BR 28[P]16)</v>
          </cell>
        </row>
        <row r="1010">
          <cell r="C1010">
            <v>913016</v>
          </cell>
          <cell r="D1010" t="str">
            <v>Box 250x40x50</v>
          </cell>
        </row>
        <row r="1011">
          <cell r="C1011">
            <v>104009</v>
          </cell>
          <cell r="D1011" t="str">
            <v>BR.IR 282423X</v>
          </cell>
        </row>
        <row r="1012">
          <cell r="C1012">
            <v>208152</v>
          </cell>
          <cell r="D1012" t="str">
            <v>BR.OR 28[P]16.5(23</v>
          </cell>
        </row>
        <row r="1013">
          <cell r="C1013">
            <v>309006</v>
          </cell>
          <cell r="D1013" t="str">
            <v>BR.NCG 282223</v>
          </cell>
        </row>
        <row r="1014">
          <cell r="C1014">
            <v>511003</v>
          </cell>
          <cell r="D1014" t="str">
            <v>RO 2.3X9.8</v>
          </cell>
        </row>
        <row r="1015">
          <cell r="C1015">
            <v>612001</v>
          </cell>
          <cell r="D1015" t="str">
            <v>BR.N 2822</v>
          </cell>
        </row>
        <row r="1016">
          <cell r="C1016">
            <v>717165.03</v>
          </cell>
          <cell r="D1016" t="str">
            <v>Nipple Washer</v>
          </cell>
        </row>
        <row r="1017">
          <cell r="C1017">
            <v>818150</v>
          </cell>
          <cell r="D1017" t="str">
            <v>3 mm Pin (BR 28[P]16)</v>
          </cell>
        </row>
        <row r="1018">
          <cell r="C1018">
            <v>913016</v>
          </cell>
          <cell r="D1018" t="str">
            <v>Box 250x40x50</v>
          </cell>
        </row>
        <row r="1019">
          <cell r="C1019">
            <v>104153</v>
          </cell>
          <cell r="D1019" t="str">
            <v>BR.IR 28[P]16.5-27</v>
          </cell>
        </row>
        <row r="1020">
          <cell r="C1020">
            <v>208153</v>
          </cell>
          <cell r="D1020" t="str">
            <v>BR.OR 28[P]16.5-27</v>
          </cell>
        </row>
        <row r="1021">
          <cell r="C1021">
            <v>309006</v>
          </cell>
          <cell r="D1021" t="str">
            <v>BR.NCG 282223</v>
          </cell>
        </row>
        <row r="1022">
          <cell r="C1022">
            <v>511003</v>
          </cell>
          <cell r="D1022" t="str">
            <v>RO 2.3X9.8</v>
          </cell>
        </row>
        <row r="1023">
          <cell r="C1023">
            <v>612001</v>
          </cell>
          <cell r="D1023" t="str">
            <v>BR.N 2822</v>
          </cell>
        </row>
        <row r="1024">
          <cell r="C1024">
            <v>717165.03</v>
          </cell>
          <cell r="D1024" t="str">
            <v>Nipple Washer</v>
          </cell>
        </row>
        <row r="1025">
          <cell r="C1025">
            <v>818162</v>
          </cell>
          <cell r="D1025" t="str">
            <v>2.5 mm Pin(BR 32[P]18-26)</v>
          </cell>
        </row>
        <row r="1026">
          <cell r="C1026">
            <v>913016</v>
          </cell>
          <cell r="D1026" t="str">
            <v>Box 250x40x50</v>
          </cell>
        </row>
        <row r="1027">
          <cell r="C1027">
            <v>1422154</v>
          </cell>
          <cell r="D1027" t="str">
            <v>BR 36202621 FIX MATERIAL</v>
          </cell>
        </row>
        <row r="1028">
          <cell r="C1028">
            <v>104155</v>
          </cell>
          <cell r="D1028" t="str">
            <v>BR.IR 30[P]15.875</v>
          </cell>
        </row>
        <row r="1029">
          <cell r="C1029">
            <v>208155</v>
          </cell>
          <cell r="D1029" t="str">
            <v>BR.OR 30[P]15.875</v>
          </cell>
        </row>
        <row r="1030">
          <cell r="C1030">
            <v>309001</v>
          </cell>
          <cell r="D1030" t="str">
            <v>BR.NCG 2822</v>
          </cell>
        </row>
        <row r="1031">
          <cell r="C1031">
            <v>511001</v>
          </cell>
          <cell r="D1031" t="str">
            <v>RO 2X9.8</v>
          </cell>
        </row>
        <row r="1032">
          <cell r="C1032">
            <v>612042</v>
          </cell>
          <cell r="D1032" t="str">
            <v>BR.N 3222</v>
          </cell>
        </row>
        <row r="1033">
          <cell r="C1033">
            <v>717165.03</v>
          </cell>
          <cell r="D1033" t="str">
            <v>Nipple Washer</v>
          </cell>
        </row>
        <row r="1034">
          <cell r="C1034">
            <v>818162</v>
          </cell>
          <cell r="D1034" t="str">
            <v>2.5 mm Pin(BR 32[P]18-26)</v>
          </cell>
        </row>
        <row r="1035">
          <cell r="C1035">
            <v>913016</v>
          </cell>
          <cell r="D1035" t="str">
            <v>Box 250x40x50</v>
          </cell>
        </row>
        <row r="1036">
          <cell r="C1036">
            <v>104156</v>
          </cell>
          <cell r="D1036" t="str">
            <v>BR.IR 3016</v>
          </cell>
        </row>
        <row r="1037">
          <cell r="C1037">
            <v>208156</v>
          </cell>
          <cell r="D1037" t="str">
            <v>BR.OR 3016</v>
          </cell>
        </row>
        <row r="1038">
          <cell r="C1038">
            <v>309001</v>
          </cell>
          <cell r="D1038" t="str">
            <v>BR.NCG 2822</v>
          </cell>
        </row>
        <row r="1039">
          <cell r="C1039">
            <v>410992</v>
          </cell>
          <cell r="D1039" t="str">
            <v>BR.K FRIS 162822   WITH R</v>
          </cell>
        </row>
        <row r="1040">
          <cell r="C1040">
            <v>511001</v>
          </cell>
          <cell r="D1040" t="str">
            <v>RO 2X9.8</v>
          </cell>
        </row>
        <row r="1041">
          <cell r="C1041">
            <v>612001</v>
          </cell>
          <cell r="D1041" t="str">
            <v>BR.N 2822</v>
          </cell>
        </row>
        <row r="1042">
          <cell r="C1042">
            <v>913016</v>
          </cell>
          <cell r="D1042" t="str">
            <v>Box 250x40x50</v>
          </cell>
        </row>
        <row r="1043">
          <cell r="C1043">
            <v>104156</v>
          </cell>
          <cell r="D1043" t="str">
            <v>BR.IR 3016</v>
          </cell>
        </row>
        <row r="1044">
          <cell r="C1044">
            <v>208156</v>
          </cell>
          <cell r="D1044" t="str">
            <v>BR.OR 3016</v>
          </cell>
        </row>
        <row r="1045">
          <cell r="C1045">
            <v>309001</v>
          </cell>
          <cell r="D1045" t="str">
            <v>BR.NCG 2822</v>
          </cell>
        </row>
        <row r="1046">
          <cell r="C1046">
            <v>410027.01</v>
          </cell>
          <cell r="D1046" t="str">
            <v>BR.K 3020           W/O R</v>
          </cell>
        </row>
        <row r="1047">
          <cell r="C1047">
            <v>511001</v>
          </cell>
          <cell r="D1047" t="str">
            <v>RO 2X9.8</v>
          </cell>
        </row>
        <row r="1048">
          <cell r="C1048">
            <v>612001</v>
          </cell>
          <cell r="D1048" t="str">
            <v>BR.N 2822</v>
          </cell>
        </row>
        <row r="1049">
          <cell r="C1049">
            <v>104156</v>
          </cell>
          <cell r="D1049" t="str">
            <v>BR.IR 3016</v>
          </cell>
        </row>
        <row r="1050">
          <cell r="C1050">
            <v>208157</v>
          </cell>
          <cell r="D1050" t="str">
            <v>BR.OR 3016(22)</v>
          </cell>
        </row>
        <row r="1051">
          <cell r="C1051">
            <v>309001</v>
          </cell>
          <cell r="D1051" t="str">
            <v>BR.NCG 2822</v>
          </cell>
        </row>
        <row r="1052">
          <cell r="C1052">
            <v>410157</v>
          </cell>
          <cell r="D1052" t="str">
            <v>BR.K 3016(22)      WITH R</v>
          </cell>
        </row>
        <row r="1053">
          <cell r="C1053">
            <v>511001</v>
          </cell>
          <cell r="D1053" t="str">
            <v>RO 2X9.8</v>
          </cell>
        </row>
        <row r="1054">
          <cell r="C1054">
            <v>612001</v>
          </cell>
          <cell r="D1054" t="str">
            <v>BR.N 2822</v>
          </cell>
        </row>
        <row r="1055">
          <cell r="C1055">
            <v>913016</v>
          </cell>
          <cell r="D1055" t="str">
            <v>Box 250x40x50</v>
          </cell>
        </row>
        <row r="1056">
          <cell r="C1056">
            <v>104030</v>
          </cell>
          <cell r="D1056" t="str">
            <v>BR.IR 301725.420</v>
          </cell>
        </row>
        <row r="1057">
          <cell r="C1057">
            <v>208156</v>
          </cell>
          <cell r="D1057" t="str">
            <v>BR.OR 3016</v>
          </cell>
        </row>
        <row r="1058">
          <cell r="C1058">
            <v>309001</v>
          </cell>
          <cell r="D1058" t="str">
            <v>BR.NCG 2822</v>
          </cell>
        </row>
        <row r="1059">
          <cell r="C1059">
            <v>511001</v>
          </cell>
          <cell r="D1059" t="str">
            <v>RO 2X9.8</v>
          </cell>
        </row>
        <row r="1060">
          <cell r="C1060">
            <v>612001</v>
          </cell>
          <cell r="D1060" t="str">
            <v>BR.N 2822</v>
          </cell>
        </row>
        <row r="1061">
          <cell r="C1061">
            <v>818255</v>
          </cell>
          <cell r="D1061" t="str">
            <v>METAL RETUNER 23.5 mm.</v>
          </cell>
        </row>
        <row r="1062">
          <cell r="C1062">
            <v>913016</v>
          </cell>
          <cell r="D1062" t="str">
            <v>Box 250x40x50</v>
          </cell>
        </row>
        <row r="1063">
          <cell r="C1063">
            <v>104134</v>
          </cell>
          <cell r="D1063" t="str">
            <v>BR.IR 3621(20)</v>
          </cell>
        </row>
        <row r="1064">
          <cell r="C1064">
            <v>208065</v>
          </cell>
          <cell r="D1064" t="str">
            <v>BR.OR 362526</v>
          </cell>
        </row>
        <row r="1065">
          <cell r="C1065">
            <v>309060</v>
          </cell>
          <cell r="D1065" t="str">
            <v>BR.NCG 3622</v>
          </cell>
        </row>
        <row r="1066">
          <cell r="C1066">
            <v>410066.02</v>
          </cell>
          <cell r="D1066" t="str">
            <v>BR.K 362426         SKF G</v>
          </cell>
        </row>
        <row r="1067">
          <cell r="C1067">
            <v>511060</v>
          </cell>
          <cell r="D1067" t="str">
            <v>RO 2.5X9.8</v>
          </cell>
        </row>
        <row r="1068">
          <cell r="C1068">
            <v>612042</v>
          </cell>
          <cell r="D1068" t="str">
            <v>BR.N 3222</v>
          </cell>
        </row>
        <row r="1069">
          <cell r="C1069">
            <v>913006</v>
          </cell>
          <cell r="D1069" t="str">
            <v>Box 50x35x50</v>
          </cell>
        </row>
        <row r="1070">
          <cell r="C1070">
            <v>104161</v>
          </cell>
          <cell r="D1070" t="str">
            <v>BR.IR 32[P]18-24</v>
          </cell>
        </row>
        <row r="1071">
          <cell r="C1071">
            <v>309040</v>
          </cell>
          <cell r="D1071" t="str">
            <v>BR.NCG 3222</v>
          </cell>
        </row>
        <row r="1072">
          <cell r="C1072">
            <v>511040</v>
          </cell>
          <cell r="D1072" t="str">
            <v>RO 2X11.8</v>
          </cell>
        </row>
        <row r="1073">
          <cell r="C1073">
            <v>612042</v>
          </cell>
          <cell r="D1073" t="str">
            <v>BR.N 3222</v>
          </cell>
        </row>
        <row r="1074">
          <cell r="C1074">
            <v>913016</v>
          </cell>
          <cell r="D1074" t="str">
            <v>Box 250x40x50</v>
          </cell>
        </row>
        <row r="1075">
          <cell r="C1075">
            <v>104161</v>
          </cell>
          <cell r="D1075" t="str">
            <v>BR.IR 32[P]18-24</v>
          </cell>
        </row>
        <row r="1076">
          <cell r="C1076">
            <v>208161</v>
          </cell>
          <cell r="D1076" t="str">
            <v>BR.OR 32[P]19</v>
          </cell>
        </row>
        <row r="1077">
          <cell r="C1077">
            <v>309040</v>
          </cell>
          <cell r="D1077" t="str">
            <v>BR.NCG 3222</v>
          </cell>
        </row>
        <row r="1078">
          <cell r="C1078">
            <v>511040</v>
          </cell>
          <cell r="D1078" t="str">
            <v>RO 2X11.8</v>
          </cell>
        </row>
        <row r="1079">
          <cell r="C1079">
            <v>612040.4</v>
          </cell>
          <cell r="D1079" t="str">
            <v>BR.N 3200 LMW</v>
          </cell>
        </row>
        <row r="1080">
          <cell r="C1080">
            <v>818162</v>
          </cell>
          <cell r="D1080" t="str">
            <v>2.5 mm Pin(BR 32[P]18-26)</v>
          </cell>
        </row>
        <row r="1081">
          <cell r="C1081">
            <v>818254</v>
          </cell>
          <cell r="D1081" t="str">
            <v>METAL RETUNER 24 mm.</v>
          </cell>
        </row>
        <row r="1082">
          <cell r="C1082">
            <v>913016</v>
          </cell>
          <cell r="D1082" t="str">
            <v>Box 250x40x50</v>
          </cell>
        </row>
        <row r="1083">
          <cell r="C1083">
            <v>104162</v>
          </cell>
          <cell r="D1083" t="str">
            <v>BR.IR 32[P]18-26</v>
          </cell>
        </row>
        <row r="1084">
          <cell r="C1084">
            <v>208161</v>
          </cell>
          <cell r="D1084" t="str">
            <v>BR.OR 32[P]19</v>
          </cell>
        </row>
        <row r="1085">
          <cell r="C1085">
            <v>309040</v>
          </cell>
          <cell r="D1085" t="str">
            <v>BR.NCG 3222</v>
          </cell>
        </row>
        <row r="1086">
          <cell r="C1086">
            <v>511040</v>
          </cell>
          <cell r="D1086" t="str">
            <v>RO 2X11.8</v>
          </cell>
        </row>
        <row r="1087">
          <cell r="C1087">
            <v>612040.4</v>
          </cell>
          <cell r="D1087" t="str">
            <v>BR.N 3200 LMW</v>
          </cell>
        </row>
        <row r="1088">
          <cell r="C1088">
            <v>818162</v>
          </cell>
          <cell r="D1088" t="str">
            <v>2.5 mm Pin(BR 32[P]18-26)</v>
          </cell>
        </row>
        <row r="1089">
          <cell r="C1089">
            <v>818255</v>
          </cell>
          <cell r="D1089" t="str">
            <v>METAL RETUNER 23.5 mm.</v>
          </cell>
        </row>
        <row r="1090">
          <cell r="C1090">
            <v>913016</v>
          </cell>
          <cell r="D1090" t="str">
            <v>Box 250x40x50</v>
          </cell>
        </row>
        <row r="1091">
          <cell r="C1091">
            <v>818254</v>
          </cell>
          <cell r="D1091" t="str">
            <v>METAL RETUNER 24 mm.</v>
          </cell>
        </row>
        <row r="1092">
          <cell r="C1092">
            <v>104162</v>
          </cell>
          <cell r="D1092" t="str">
            <v>BR.IR 32[P]18-26</v>
          </cell>
        </row>
        <row r="1093">
          <cell r="C1093">
            <v>208161</v>
          </cell>
          <cell r="D1093" t="str">
            <v>BR.OR 32[P]19</v>
          </cell>
        </row>
        <row r="1094">
          <cell r="C1094">
            <v>309040</v>
          </cell>
          <cell r="D1094" t="str">
            <v>BR.NCG 3222</v>
          </cell>
        </row>
        <row r="1095">
          <cell r="C1095">
            <v>511040</v>
          </cell>
          <cell r="D1095" t="str">
            <v>RO 2X11.8</v>
          </cell>
        </row>
        <row r="1096">
          <cell r="C1096">
            <v>612042</v>
          </cell>
          <cell r="D1096" t="str">
            <v>BR.N 3222</v>
          </cell>
        </row>
        <row r="1097">
          <cell r="C1097">
            <v>818254</v>
          </cell>
          <cell r="D1097" t="str">
            <v>METAL RETUNER 24 mm.</v>
          </cell>
        </row>
        <row r="1098">
          <cell r="C1098">
            <v>913016</v>
          </cell>
          <cell r="D1098" t="str">
            <v>Box 250x40x50</v>
          </cell>
        </row>
        <row r="1099">
          <cell r="C1099">
            <v>104040</v>
          </cell>
          <cell r="D1099" t="str">
            <v>BR.IR 3222</v>
          </cell>
        </row>
        <row r="1100">
          <cell r="C1100">
            <v>208161</v>
          </cell>
          <cell r="D1100" t="str">
            <v>BR.OR 32[P]19</v>
          </cell>
        </row>
        <row r="1101">
          <cell r="C1101">
            <v>309040</v>
          </cell>
          <cell r="D1101" t="str">
            <v>BR.NCG 3222</v>
          </cell>
        </row>
        <row r="1102">
          <cell r="C1102">
            <v>511040</v>
          </cell>
          <cell r="D1102" t="str">
            <v>RO 2X11.8</v>
          </cell>
        </row>
        <row r="1103">
          <cell r="C1103">
            <v>612040.4</v>
          </cell>
          <cell r="D1103" t="str">
            <v>BR.N 3200 LMW</v>
          </cell>
        </row>
        <row r="1104">
          <cell r="C1104">
            <v>818162</v>
          </cell>
          <cell r="D1104" t="str">
            <v>2.5 mm Pin(BR 32[P]18-26)</v>
          </cell>
        </row>
        <row r="1105">
          <cell r="C1105">
            <v>913016</v>
          </cell>
          <cell r="D1105" t="str">
            <v>Box 250x40x50</v>
          </cell>
        </row>
        <row r="1106">
          <cell r="C1106">
            <v>104040</v>
          </cell>
          <cell r="D1106" t="str">
            <v>BR.IR 3222</v>
          </cell>
        </row>
        <row r="1107">
          <cell r="C1107">
            <v>208161</v>
          </cell>
          <cell r="D1107" t="str">
            <v>BR.OR 32[P]19</v>
          </cell>
        </row>
        <row r="1108">
          <cell r="C1108">
            <v>309040</v>
          </cell>
          <cell r="D1108" t="str">
            <v>BR.NCG 3222</v>
          </cell>
        </row>
        <row r="1109">
          <cell r="C1109">
            <v>511040</v>
          </cell>
          <cell r="D1109" t="str">
            <v>RO 2X11.8</v>
          </cell>
        </row>
        <row r="1110">
          <cell r="C1110">
            <v>612040.4</v>
          </cell>
          <cell r="D1110" t="str">
            <v>BR.N 3200 LMW</v>
          </cell>
        </row>
        <row r="1111">
          <cell r="C1111">
            <v>818162</v>
          </cell>
          <cell r="D1111" t="str">
            <v>2.5 mm Pin(BR 32[P]18-26)</v>
          </cell>
        </row>
        <row r="1112">
          <cell r="C1112">
            <v>104164</v>
          </cell>
          <cell r="D1112" t="str">
            <v>BR.IR 32[P]19(26)</v>
          </cell>
        </row>
        <row r="1113">
          <cell r="C1113">
            <v>208161</v>
          </cell>
          <cell r="D1113" t="str">
            <v>BR.OR 32[P]19</v>
          </cell>
        </row>
        <row r="1114">
          <cell r="C1114">
            <v>309040</v>
          </cell>
          <cell r="D1114" t="str">
            <v>BR.NCG 3222</v>
          </cell>
        </row>
        <row r="1115">
          <cell r="C1115">
            <v>511040</v>
          </cell>
          <cell r="D1115" t="str">
            <v>RO 2X11.8</v>
          </cell>
        </row>
        <row r="1116">
          <cell r="C1116">
            <v>612040.4</v>
          </cell>
          <cell r="D1116" t="str">
            <v>BR.N 3200 LMW</v>
          </cell>
        </row>
        <row r="1117">
          <cell r="C1117">
            <v>818162</v>
          </cell>
          <cell r="D1117" t="str">
            <v>2.5 mm Pin(BR 32[P]18-26)</v>
          </cell>
        </row>
        <row r="1118">
          <cell r="C1118">
            <v>913016</v>
          </cell>
          <cell r="D1118" t="str">
            <v>Box 250x40x50</v>
          </cell>
        </row>
        <row r="1119">
          <cell r="C1119">
            <v>208165</v>
          </cell>
          <cell r="D1119" t="str">
            <v>BR.OR 32[P]22</v>
          </cell>
        </row>
        <row r="1120">
          <cell r="C1120">
            <v>309165</v>
          </cell>
          <cell r="D1120" t="str">
            <v>BR.MCG 32[P]22</v>
          </cell>
        </row>
        <row r="1121">
          <cell r="C1121">
            <v>511001</v>
          </cell>
          <cell r="D1121" t="str">
            <v>RO 2X9.8</v>
          </cell>
        </row>
        <row r="1122">
          <cell r="C1122">
            <v>612125</v>
          </cell>
          <cell r="D1122" t="str">
            <v>BR.N 3218.5(06)</v>
          </cell>
        </row>
        <row r="1123">
          <cell r="C1123">
            <v>717165.02</v>
          </cell>
          <cell r="D1123" t="str">
            <v>Metal Washer</v>
          </cell>
        </row>
        <row r="1124">
          <cell r="C1124">
            <v>717165.03</v>
          </cell>
          <cell r="D1124" t="str">
            <v>Nipple Washer</v>
          </cell>
        </row>
        <row r="1125">
          <cell r="C1125">
            <v>717165.04</v>
          </cell>
          <cell r="D1125" t="str">
            <v>End Cap</v>
          </cell>
        </row>
        <row r="1126">
          <cell r="C1126">
            <v>717165.05</v>
          </cell>
          <cell r="D1126" t="str">
            <v>NYLON WASHER (BR 32[P]22)</v>
          </cell>
        </row>
        <row r="1127">
          <cell r="C1127">
            <v>818162</v>
          </cell>
          <cell r="D1127" t="str">
            <v>2.5 mm Pin(BR 32[P]18-26)</v>
          </cell>
        </row>
        <row r="1128">
          <cell r="C1128">
            <v>913016</v>
          </cell>
          <cell r="D1128" t="str">
            <v>Box 250x40x50</v>
          </cell>
        </row>
        <row r="1129">
          <cell r="C1129">
            <v>818162</v>
          </cell>
          <cell r="D1129" t="str">
            <v>2.5 mm Pin(BR 32[P]18-26)</v>
          </cell>
        </row>
        <row r="1130">
          <cell r="C1130">
            <v>104167</v>
          </cell>
          <cell r="D1130" t="str">
            <v>BR.IR 34[P]20(26)</v>
          </cell>
        </row>
        <row r="1131">
          <cell r="C1131">
            <v>208167</v>
          </cell>
          <cell r="D1131" t="str">
            <v>BR.OR 34[P]20(26)</v>
          </cell>
        </row>
        <row r="1132">
          <cell r="C1132">
            <v>309167</v>
          </cell>
          <cell r="D1132" t="str">
            <v>BR.NCG 34[P]20-26</v>
          </cell>
        </row>
        <row r="1133">
          <cell r="C1133">
            <v>511120</v>
          </cell>
          <cell r="D1133" t="str">
            <v>RO 3X11.8</v>
          </cell>
        </row>
        <row r="1134">
          <cell r="C1134">
            <v>612042</v>
          </cell>
          <cell r="D1134" t="str">
            <v>BR.N 3222</v>
          </cell>
        </row>
        <row r="1135">
          <cell r="C1135">
            <v>818150</v>
          </cell>
          <cell r="D1135" t="str">
            <v>3 mm Pin (BR 28[P]16)</v>
          </cell>
        </row>
        <row r="1136">
          <cell r="C1136">
            <v>913016</v>
          </cell>
          <cell r="D1136" t="str">
            <v>Box 250x40x50</v>
          </cell>
        </row>
        <row r="1137">
          <cell r="C1137">
            <v>104168</v>
          </cell>
          <cell r="D1137" t="str">
            <v>BR.IR 42[P]25</v>
          </cell>
        </row>
        <row r="1138">
          <cell r="C1138">
            <v>208168</v>
          </cell>
          <cell r="D1138" t="str">
            <v>BR.OR 42[P]25</v>
          </cell>
        </row>
        <row r="1139">
          <cell r="C1139">
            <v>309168</v>
          </cell>
          <cell r="D1139" t="str">
            <v>BR.TCG 42[P]25</v>
          </cell>
        </row>
        <row r="1140">
          <cell r="C1140">
            <v>511130</v>
          </cell>
          <cell r="D1140" t="str">
            <v>RO 2.5X13.8</v>
          </cell>
        </row>
        <row r="1141">
          <cell r="C1141">
            <v>612075</v>
          </cell>
          <cell r="D1141" t="str">
            <v>BR.N 4006(24)</v>
          </cell>
        </row>
        <row r="1142">
          <cell r="C1142">
            <v>818163</v>
          </cell>
          <cell r="D1142" t="str">
            <v>4x4 mm Pin (BR 42[P]25)</v>
          </cell>
        </row>
        <row r="1143">
          <cell r="C1143">
            <v>913006</v>
          </cell>
          <cell r="D1143" t="str">
            <v>Box 50x35x50</v>
          </cell>
        </row>
        <row r="1144">
          <cell r="C1144">
            <v>104169</v>
          </cell>
          <cell r="D1144" t="str">
            <v>BR.IR 40[P]22(26)</v>
          </cell>
        </row>
        <row r="1145">
          <cell r="C1145">
            <v>208169</v>
          </cell>
          <cell r="D1145" t="str">
            <v>BR.OR 40[P]22(26)</v>
          </cell>
        </row>
        <row r="1146">
          <cell r="C1146">
            <v>309077</v>
          </cell>
          <cell r="D1146" t="str">
            <v>BR.NCG 4000</v>
          </cell>
        </row>
        <row r="1147">
          <cell r="C1147">
            <v>511120</v>
          </cell>
          <cell r="D1147" t="str">
            <v>RO 3X11.8</v>
          </cell>
        </row>
        <row r="1148">
          <cell r="C1148">
            <v>612075</v>
          </cell>
          <cell r="D1148" t="str">
            <v>BR.N 4006(24)</v>
          </cell>
        </row>
        <row r="1149">
          <cell r="C1149">
            <v>818150</v>
          </cell>
          <cell r="D1149" t="str">
            <v>3 mm Pin (BR 28[P]16)</v>
          </cell>
        </row>
        <row r="1150">
          <cell r="C1150">
            <v>913006</v>
          </cell>
          <cell r="D1150" t="str">
            <v>Box 50x35x50</v>
          </cell>
        </row>
        <row r="1151">
          <cell r="C1151">
            <v>104170</v>
          </cell>
          <cell r="D1151" t="str">
            <v>BR.IR 35[P]17BB</v>
          </cell>
        </row>
        <row r="1152">
          <cell r="C1152">
            <v>208170</v>
          </cell>
          <cell r="D1152" t="str">
            <v>BR.OR 35[P]17BB</v>
          </cell>
        </row>
        <row r="1153">
          <cell r="C1153">
            <v>309170</v>
          </cell>
          <cell r="D1153" t="str">
            <v>BR.NCG 35[P]17BB</v>
          </cell>
        </row>
        <row r="1154">
          <cell r="C1154">
            <v>511170</v>
          </cell>
          <cell r="D1154" t="str">
            <v>BALL 3/16" (IS:2898-1976)</v>
          </cell>
        </row>
        <row r="1155">
          <cell r="C1155">
            <v>612171</v>
          </cell>
          <cell r="D1155" t="str">
            <v>BR.N 47[P]17 BB</v>
          </cell>
        </row>
        <row r="1156">
          <cell r="C1156">
            <v>717170</v>
          </cell>
          <cell r="D1156" t="str">
            <v>WASHER FOR 35[P]17 BB</v>
          </cell>
        </row>
        <row r="1157">
          <cell r="C1157">
            <v>717170.01</v>
          </cell>
          <cell r="D1157" t="str">
            <v>BRASS SLEEVE BR 35[P]17BB</v>
          </cell>
        </row>
        <row r="1158">
          <cell r="C1158">
            <v>913016</v>
          </cell>
          <cell r="D1158" t="str">
            <v>Box 250x40x50</v>
          </cell>
        </row>
        <row r="1159">
          <cell r="C1159">
            <v>104171</v>
          </cell>
          <cell r="D1159" t="str">
            <v>BR.IR 47[P]17BB</v>
          </cell>
        </row>
        <row r="1160">
          <cell r="C1160">
            <v>208171</v>
          </cell>
          <cell r="D1160" t="str">
            <v>BR.OR 47[P]17BB</v>
          </cell>
        </row>
        <row r="1161">
          <cell r="C1161">
            <v>309171</v>
          </cell>
          <cell r="D1161" t="str">
            <v>BR.NCG 47[P]17BB</v>
          </cell>
        </row>
        <row r="1162">
          <cell r="C1162">
            <v>511993</v>
          </cell>
          <cell r="D1162" t="str">
            <v>BALL 5/16"(IS:2898-1976)</v>
          </cell>
        </row>
        <row r="1163">
          <cell r="C1163">
            <v>612171</v>
          </cell>
          <cell r="D1163" t="str">
            <v>BR.N 47[P]17 BB</v>
          </cell>
        </row>
        <row r="1164">
          <cell r="C1164">
            <v>717170.01</v>
          </cell>
          <cell r="D1164" t="str">
            <v>BRASS SLEEVE BR 35[P]17BB</v>
          </cell>
        </row>
        <row r="1165">
          <cell r="C1165">
            <v>717171</v>
          </cell>
          <cell r="D1165" t="str">
            <v>WASHER FOR 47[P]17 BB</v>
          </cell>
        </row>
        <row r="1166">
          <cell r="C1166">
            <v>717171.01</v>
          </cell>
          <cell r="D1166" t="str">
            <v>GREASE LOCK 47[P]17BB</v>
          </cell>
        </row>
        <row r="1167">
          <cell r="C1167">
            <v>913006</v>
          </cell>
          <cell r="D1167" t="str">
            <v>Box 50x35x50</v>
          </cell>
        </row>
        <row r="1168">
          <cell r="C1168">
            <v>104161</v>
          </cell>
          <cell r="D1168" t="str">
            <v>BR.IR 32[P]18-24</v>
          </cell>
        </row>
        <row r="1169">
          <cell r="C1169">
            <v>208172</v>
          </cell>
          <cell r="D1169" t="str">
            <v>BR.OR 31.750[P]18</v>
          </cell>
        </row>
        <row r="1170">
          <cell r="C1170">
            <v>309040</v>
          </cell>
          <cell r="D1170" t="str">
            <v>BR.NCG 3222</v>
          </cell>
        </row>
        <row r="1171">
          <cell r="C1171">
            <v>511040</v>
          </cell>
          <cell r="D1171" t="str">
            <v>RO 2X11.8</v>
          </cell>
        </row>
        <row r="1172">
          <cell r="C1172">
            <v>612040.4</v>
          </cell>
          <cell r="D1172" t="str">
            <v>BR.N 3200 LMW</v>
          </cell>
        </row>
        <row r="1173">
          <cell r="C1173">
            <v>818162</v>
          </cell>
          <cell r="D1173" t="str">
            <v>2.5 mm Pin(BR 32[P]18-26)</v>
          </cell>
        </row>
        <row r="1174">
          <cell r="C1174">
            <v>818254</v>
          </cell>
          <cell r="D1174" t="str">
            <v>METAL RETUNER 24 mm.</v>
          </cell>
        </row>
        <row r="1175">
          <cell r="C1175">
            <v>913016</v>
          </cell>
          <cell r="D1175" t="str">
            <v>Box 250x40x50</v>
          </cell>
        </row>
        <row r="1176">
          <cell r="C1176">
            <v>104173</v>
          </cell>
          <cell r="D1176" t="str">
            <v>BR.IR 34[P]18</v>
          </cell>
        </row>
        <row r="1177">
          <cell r="C1177">
            <v>208173</v>
          </cell>
          <cell r="D1177" t="str">
            <v>BR.OR 34[P]18</v>
          </cell>
        </row>
        <row r="1178">
          <cell r="C1178">
            <v>309760</v>
          </cell>
          <cell r="D1178" t="str">
            <v>BR.NCG 34[P]19-25.4</v>
          </cell>
        </row>
        <row r="1179">
          <cell r="C1179">
            <v>511995</v>
          </cell>
          <cell r="D1179" t="str">
            <v>RO 3X13.8  BR</v>
          </cell>
        </row>
        <row r="1180">
          <cell r="C1180">
            <v>612042</v>
          </cell>
          <cell r="D1180" t="str">
            <v>BR.N 3222</v>
          </cell>
        </row>
        <row r="1181">
          <cell r="C1181">
            <v>818162</v>
          </cell>
          <cell r="D1181" t="str">
            <v>2.5 mm Pin(BR 32[P]18-26)</v>
          </cell>
        </row>
        <row r="1182">
          <cell r="C1182">
            <v>818252</v>
          </cell>
          <cell r="D1182" t="str">
            <v>NYLON RETUNER 23 mm.</v>
          </cell>
        </row>
        <row r="1183">
          <cell r="C1183">
            <v>913006</v>
          </cell>
          <cell r="D1183" t="str">
            <v>Box 50x35x50</v>
          </cell>
        </row>
        <row r="1184">
          <cell r="C1184">
            <v>104174</v>
          </cell>
          <cell r="D1184" t="str">
            <v>IR BUSH 25.15X32.15X25</v>
          </cell>
        </row>
        <row r="1185">
          <cell r="C1185">
            <v>104175</v>
          </cell>
          <cell r="D1185" t="str">
            <v>BR.IR 20[P]47</v>
          </cell>
        </row>
        <row r="1186">
          <cell r="C1186">
            <v>208175</v>
          </cell>
          <cell r="D1186" t="str">
            <v>BR.OR 20[P]47</v>
          </cell>
        </row>
        <row r="1187">
          <cell r="C1187">
            <v>309175</v>
          </cell>
          <cell r="D1187" t="str">
            <v>BR.MCG 20[P]47</v>
          </cell>
        </row>
        <row r="1188">
          <cell r="C1188">
            <v>913006</v>
          </cell>
          <cell r="D1188" t="str">
            <v>Box 50x35x50</v>
          </cell>
        </row>
        <row r="1189">
          <cell r="C1189">
            <v>104176</v>
          </cell>
          <cell r="D1189" t="str">
            <v>BR.IR 17[P]34</v>
          </cell>
        </row>
        <row r="1190">
          <cell r="C1190">
            <v>208176</v>
          </cell>
          <cell r="D1190" t="str">
            <v>BR.OR 17[P]34</v>
          </cell>
        </row>
        <row r="1191">
          <cell r="C1191">
            <v>309176</v>
          </cell>
          <cell r="D1191" t="str">
            <v>BR.MCG 17[P]34</v>
          </cell>
        </row>
        <row r="1192">
          <cell r="C1192">
            <v>511264.01</v>
          </cell>
          <cell r="D1192" t="str">
            <v>RO 3X19.8 BR</v>
          </cell>
        </row>
        <row r="1193">
          <cell r="C1193">
            <v>913006</v>
          </cell>
          <cell r="D1193" t="str">
            <v>Box 50x35x50</v>
          </cell>
        </row>
        <row r="1194">
          <cell r="C1194">
            <v>104177</v>
          </cell>
          <cell r="D1194" t="str">
            <v>BR.IR 25[P]52</v>
          </cell>
        </row>
        <row r="1195">
          <cell r="C1195">
            <v>208177</v>
          </cell>
          <cell r="D1195" t="str">
            <v>BR.OR 25[P]52</v>
          </cell>
        </row>
        <row r="1196">
          <cell r="C1196">
            <v>309177</v>
          </cell>
          <cell r="D1196" t="str">
            <v>BR.MCG 25[P]52</v>
          </cell>
        </row>
        <row r="1197">
          <cell r="C1197">
            <v>511177</v>
          </cell>
          <cell r="D1197" t="str">
            <v>RO 4X13.8</v>
          </cell>
        </row>
        <row r="1198">
          <cell r="C1198">
            <v>717177</v>
          </cell>
          <cell r="D1198" t="str">
            <v>NYLON WASHER(BR 25[P]52)</v>
          </cell>
        </row>
        <row r="1199">
          <cell r="C1199">
            <v>818177</v>
          </cell>
          <cell r="D1199" t="str">
            <v>4x1.33 Pin (BR 25[P]52)</v>
          </cell>
        </row>
        <row r="1200">
          <cell r="C1200">
            <v>913006</v>
          </cell>
          <cell r="D1200" t="str">
            <v>Box 50x35x50</v>
          </cell>
        </row>
        <row r="1201">
          <cell r="C1201">
            <v>208177</v>
          </cell>
          <cell r="D1201" t="str">
            <v>BR.OR 25[P]52</v>
          </cell>
        </row>
        <row r="1202">
          <cell r="C1202">
            <v>309177</v>
          </cell>
          <cell r="D1202" t="str">
            <v>BR.MCG 25[P]52</v>
          </cell>
        </row>
        <row r="1203">
          <cell r="C1203">
            <v>511177</v>
          </cell>
          <cell r="D1203" t="str">
            <v>RO 4X13.8</v>
          </cell>
        </row>
        <row r="1204">
          <cell r="C1204">
            <v>717177</v>
          </cell>
          <cell r="D1204" t="str">
            <v>NYLON WASHER(BR 25[P]52)</v>
          </cell>
        </row>
        <row r="1205">
          <cell r="C1205">
            <v>818177</v>
          </cell>
          <cell r="D1205" t="str">
            <v>4x1.33 Pin (BR 25[P]52)</v>
          </cell>
        </row>
        <row r="1206">
          <cell r="C1206">
            <v>104177</v>
          </cell>
          <cell r="D1206" t="str">
            <v>BR.IR 25[P]52</v>
          </cell>
        </row>
        <row r="1207">
          <cell r="C1207">
            <v>104178</v>
          </cell>
          <cell r="D1207" t="str">
            <v>BR.IR 2814.216.623(22)</v>
          </cell>
        </row>
        <row r="1208">
          <cell r="C1208">
            <v>208006</v>
          </cell>
          <cell r="D1208" t="str">
            <v>BR.OR 282223 SPL.</v>
          </cell>
        </row>
        <row r="1209">
          <cell r="C1209">
            <v>309011</v>
          </cell>
          <cell r="D1209" t="str">
            <v>BR.NCG 28161620</v>
          </cell>
        </row>
        <row r="1210">
          <cell r="C1210">
            <v>410091.1</v>
          </cell>
          <cell r="D1210" t="str">
            <v>BR.K 2814.216.623(22) W R</v>
          </cell>
        </row>
        <row r="1211">
          <cell r="C1211">
            <v>511090</v>
          </cell>
          <cell r="D1211" t="str">
            <v>RO 2X7.8</v>
          </cell>
        </row>
        <row r="1212">
          <cell r="C1212">
            <v>612001</v>
          </cell>
          <cell r="D1212" t="str">
            <v>BR.N 2822</v>
          </cell>
        </row>
        <row r="1213">
          <cell r="C1213">
            <v>913016</v>
          </cell>
          <cell r="D1213" t="str">
            <v>Box 250x40x50</v>
          </cell>
        </row>
        <row r="1214">
          <cell r="C1214">
            <v>309091</v>
          </cell>
          <cell r="D1214" t="str">
            <v>BR.NCG 2814.2(22)</v>
          </cell>
        </row>
        <row r="1215">
          <cell r="C1215">
            <v>511090</v>
          </cell>
          <cell r="D1215" t="str">
            <v>RO 2X7.8</v>
          </cell>
        </row>
        <row r="1216">
          <cell r="C1216">
            <v>913010</v>
          </cell>
          <cell r="D1216" t="str">
            <v>Box 150x40x50</v>
          </cell>
        </row>
        <row r="1217">
          <cell r="C1217">
            <v>104179</v>
          </cell>
          <cell r="D1217" t="str">
            <v>J.IR 179                F</v>
          </cell>
        </row>
        <row r="1218">
          <cell r="C1218">
            <v>208179</v>
          </cell>
          <cell r="D1218" t="str">
            <v>J.OR 179                F</v>
          </cell>
        </row>
        <row r="1219">
          <cell r="C1219">
            <v>309192</v>
          </cell>
          <cell r="D1219" t="str">
            <v>CAGE 45 NPPB</v>
          </cell>
        </row>
        <row r="1220">
          <cell r="C1220">
            <v>511192</v>
          </cell>
          <cell r="D1220" t="str">
            <v>BALL 1/2" (IS:2898-1976)</v>
          </cell>
        </row>
        <row r="1221">
          <cell r="C1221">
            <v>612179</v>
          </cell>
          <cell r="D1221" t="str">
            <v>G.SCREW 179(M10X1.5X10)</v>
          </cell>
        </row>
        <row r="1222">
          <cell r="C1222">
            <v>717179.01</v>
          </cell>
          <cell r="D1222" t="str">
            <v>ECCENTRIC COLLAR J 179</v>
          </cell>
        </row>
        <row r="1223">
          <cell r="C1223">
            <v>717192.03</v>
          </cell>
          <cell r="D1223" t="str">
            <v>SEAL 45 NPPB LMW</v>
          </cell>
        </row>
        <row r="1224">
          <cell r="C1224">
            <v>104180</v>
          </cell>
          <cell r="D1224" t="str">
            <v>BT.IR 2015</v>
          </cell>
        </row>
        <row r="1225">
          <cell r="C1225">
            <v>208180</v>
          </cell>
          <cell r="D1225" t="str">
            <v>BT.OR 2015</v>
          </cell>
        </row>
        <row r="1226">
          <cell r="C1226">
            <v>309180</v>
          </cell>
          <cell r="D1226" t="str">
            <v>CAGE RIVET 2015</v>
          </cell>
        </row>
        <row r="1227">
          <cell r="C1227">
            <v>511180</v>
          </cell>
          <cell r="D1227" t="str">
            <v>BALL 3/8"(IS:2898-1976)</v>
          </cell>
        </row>
        <row r="1228">
          <cell r="C1228">
            <v>717180.01</v>
          </cell>
          <cell r="D1228" t="str">
            <v>ECCENTRIC COLLAR 2015</v>
          </cell>
        </row>
        <row r="1229">
          <cell r="C1229">
            <v>717180.02</v>
          </cell>
          <cell r="D1229" t="str">
            <v>ALLENKEY BOLT 2015</v>
          </cell>
        </row>
        <row r="1230">
          <cell r="C1230">
            <v>913006</v>
          </cell>
          <cell r="D1230" t="str">
            <v>Box 50x35x50</v>
          </cell>
        </row>
        <row r="1231">
          <cell r="C1231">
            <v>104181</v>
          </cell>
          <cell r="D1231" t="str">
            <v>BT.IR 2019</v>
          </cell>
        </row>
        <row r="1232">
          <cell r="C1232">
            <v>208181</v>
          </cell>
          <cell r="D1232" t="str">
            <v>BT.OR 2019</v>
          </cell>
        </row>
        <row r="1233">
          <cell r="C1233">
            <v>309181</v>
          </cell>
          <cell r="D1233" t="str">
            <v>CAGE RIVET 2019</v>
          </cell>
        </row>
        <row r="1234">
          <cell r="C1234">
            <v>511181</v>
          </cell>
          <cell r="D1234" t="str">
            <v>BALL 15/32"(IS:2898-1976)</v>
          </cell>
        </row>
        <row r="1235">
          <cell r="C1235">
            <v>612204</v>
          </cell>
          <cell r="D1235" t="str">
            <v>BOLT M6X1X6</v>
          </cell>
        </row>
        <row r="1236">
          <cell r="C1236">
            <v>717181</v>
          </cell>
          <cell r="D1236" t="str">
            <v>SEAL 2019</v>
          </cell>
        </row>
        <row r="1237">
          <cell r="C1237">
            <v>717181.01</v>
          </cell>
          <cell r="D1237" t="str">
            <v>ECCENTRIC COLLAR 2019</v>
          </cell>
        </row>
        <row r="1238">
          <cell r="C1238">
            <v>913002</v>
          </cell>
          <cell r="D1238" t="str">
            <v>Box 75x30x75</v>
          </cell>
        </row>
        <row r="1239">
          <cell r="C1239">
            <v>104182</v>
          </cell>
          <cell r="D1239" t="str">
            <v>IR 393106</v>
          </cell>
        </row>
        <row r="1240">
          <cell r="C1240">
            <v>208182</v>
          </cell>
          <cell r="D1240" t="str">
            <v>OR 393106</v>
          </cell>
        </row>
        <row r="1241">
          <cell r="C1241">
            <v>309182</v>
          </cell>
          <cell r="D1241" t="str">
            <v>CAGE RIVET 393106</v>
          </cell>
        </row>
        <row r="1242">
          <cell r="C1242">
            <v>511182</v>
          </cell>
          <cell r="D1242" t="str">
            <v>BALL 1/4" (IS:2898-1976)</v>
          </cell>
        </row>
        <row r="1243">
          <cell r="C1243">
            <v>612182</v>
          </cell>
          <cell r="D1243" t="str">
            <v>BR.N 393106</v>
          </cell>
        </row>
        <row r="1244">
          <cell r="C1244">
            <v>717182</v>
          </cell>
          <cell r="D1244" t="str">
            <v>SEAL 393106</v>
          </cell>
        </row>
        <row r="1245">
          <cell r="C1245">
            <v>717182.01</v>
          </cell>
          <cell r="D1245" t="str">
            <v>RIVET (1.2X3.1) 393106</v>
          </cell>
        </row>
        <row r="1246">
          <cell r="C1246">
            <v>913006</v>
          </cell>
          <cell r="D1246" t="str">
            <v>Box 50x35x50</v>
          </cell>
        </row>
        <row r="1247">
          <cell r="C1247">
            <v>104183</v>
          </cell>
          <cell r="D1247" t="str">
            <v>SF.IR 24</v>
          </cell>
        </row>
        <row r="1248">
          <cell r="C1248">
            <v>208183</v>
          </cell>
          <cell r="D1248" t="str">
            <v>SF.OR 24</v>
          </cell>
        </row>
        <row r="1249">
          <cell r="C1249">
            <v>309183</v>
          </cell>
          <cell r="D1249" t="str">
            <v>SF.MCG 24</v>
          </cell>
        </row>
        <row r="1250">
          <cell r="C1250">
            <v>309183.08</v>
          </cell>
          <cell r="D1250" t="str">
            <v>SF.MCGB 24</v>
          </cell>
        </row>
        <row r="1251">
          <cell r="C1251">
            <v>511183</v>
          </cell>
          <cell r="D1251" t="str">
            <v>BALL 1/8" (IS:2898-1976)</v>
          </cell>
        </row>
        <row r="1252">
          <cell r="C1252">
            <v>717183</v>
          </cell>
          <cell r="D1252" t="str">
            <v>WASHER COPPER (SF 24)</v>
          </cell>
        </row>
        <row r="1253">
          <cell r="C1253">
            <v>717183.01</v>
          </cell>
          <cell r="D1253" t="str">
            <v>SURCLIP  (SF 24)</v>
          </cell>
        </row>
        <row r="1254">
          <cell r="C1254">
            <v>913016</v>
          </cell>
          <cell r="D1254" t="str">
            <v>Box 250x40x50</v>
          </cell>
        </row>
        <row r="1255">
          <cell r="C1255">
            <v>104183</v>
          </cell>
          <cell r="D1255" t="str">
            <v>SF.IR 24</v>
          </cell>
        </row>
        <row r="1256">
          <cell r="C1256">
            <v>208183.11</v>
          </cell>
          <cell r="D1256" t="str">
            <v>SF.OR 24 SPL</v>
          </cell>
        </row>
        <row r="1257">
          <cell r="C1257">
            <v>309183</v>
          </cell>
          <cell r="D1257" t="str">
            <v>SF.MCG 24</v>
          </cell>
        </row>
        <row r="1258">
          <cell r="C1258">
            <v>511183</v>
          </cell>
          <cell r="D1258" t="str">
            <v>BALL 1/8" (IS:2898-1976)</v>
          </cell>
        </row>
        <row r="1259">
          <cell r="C1259">
            <v>717183</v>
          </cell>
          <cell r="D1259" t="str">
            <v>WASHER COPPER (SF 24)</v>
          </cell>
        </row>
        <row r="1260">
          <cell r="C1260">
            <v>717183.01</v>
          </cell>
          <cell r="D1260" t="str">
            <v>SURCLIP  (SF 24)</v>
          </cell>
        </row>
        <row r="1261">
          <cell r="C1261">
            <v>208183.11</v>
          </cell>
          <cell r="D1261" t="str">
            <v>SF.OR 24 SPL</v>
          </cell>
        </row>
        <row r="1262">
          <cell r="C1262">
            <v>309183</v>
          </cell>
          <cell r="D1262" t="str">
            <v>SF.MCG 24</v>
          </cell>
        </row>
        <row r="1263">
          <cell r="C1263">
            <v>511183</v>
          </cell>
          <cell r="D1263" t="str">
            <v>BALL 1/8" (IS:2898-1976)</v>
          </cell>
        </row>
        <row r="1264">
          <cell r="C1264">
            <v>717183</v>
          </cell>
          <cell r="D1264" t="str">
            <v>WASHER COPPER (SF 24)</v>
          </cell>
        </row>
        <row r="1265">
          <cell r="C1265">
            <v>717183.01</v>
          </cell>
          <cell r="D1265" t="str">
            <v>SURCLIP  (SF 24)</v>
          </cell>
        </row>
        <row r="1266">
          <cell r="C1266">
            <v>104183</v>
          </cell>
          <cell r="D1266" t="str">
            <v>SF.IR 24</v>
          </cell>
        </row>
        <row r="1267">
          <cell r="C1267">
            <v>104184</v>
          </cell>
          <cell r="D1267" t="str">
            <v>SF.IR 24 R</v>
          </cell>
        </row>
        <row r="1268">
          <cell r="C1268">
            <v>208184</v>
          </cell>
          <cell r="D1268" t="str">
            <v>SF.OR 24 R</v>
          </cell>
        </row>
        <row r="1269">
          <cell r="C1269">
            <v>309183</v>
          </cell>
          <cell r="D1269" t="str">
            <v>SF.MCG 24</v>
          </cell>
        </row>
        <row r="1270">
          <cell r="C1270">
            <v>511183</v>
          </cell>
          <cell r="D1270" t="str">
            <v>BALL 1/8" (IS:2898-1976)</v>
          </cell>
        </row>
        <row r="1271">
          <cell r="C1271">
            <v>717183</v>
          </cell>
          <cell r="D1271" t="str">
            <v>WASHER COPPER (SF 24)</v>
          </cell>
        </row>
        <row r="1272">
          <cell r="C1272">
            <v>717183.01</v>
          </cell>
          <cell r="D1272" t="str">
            <v>SURCLIP  (SF 24)</v>
          </cell>
        </row>
        <row r="1273">
          <cell r="C1273">
            <v>717184</v>
          </cell>
          <cell r="D1273" t="str">
            <v>SF 24 R O RING</v>
          </cell>
        </row>
        <row r="1274">
          <cell r="C1274">
            <v>913016</v>
          </cell>
          <cell r="D1274" t="str">
            <v>Box 250x40x50</v>
          </cell>
        </row>
        <row r="1275">
          <cell r="C1275">
            <v>309183</v>
          </cell>
          <cell r="D1275" t="str">
            <v>SF.MCG 24</v>
          </cell>
        </row>
        <row r="1276">
          <cell r="C1276">
            <v>511183</v>
          </cell>
          <cell r="D1276" t="str">
            <v>BALL 1/8" (IS:2898-1976)</v>
          </cell>
        </row>
        <row r="1277">
          <cell r="C1277">
            <v>104184</v>
          </cell>
          <cell r="D1277" t="str">
            <v>SF.IR 24 R</v>
          </cell>
        </row>
        <row r="1278">
          <cell r="C1278">
            <v>208184</v>
          </cell>
          <cell r="D1278" t="str">
            <v>SF.OR 24 R</v>
          </cell>
        </row>
        <row r="1279">
          <cell r="C1279">
            <v>309183</v>
          </cell>
          <cell r="D1279" t="str">
            <v>SF.MCG 24</v>
          </cell>
        </row>
        <row r="1280">
          <cell r="C1280">
            <v>511183</v>
          </cell>
          <cell r="D1280" t="str">
            <v>BALL 1/8" (IS:2898-1976)</v>
          </cell>
        </row>
        <row r="1281">
          <cell r="C1281">
            <v>717183</v>
          </cell>
          <cell r="D1281" t="str">
            <v>WASHER COPPER (SF 24)</v>
          </cell>
        </row>
        <row r="1282">
          <cell r="C1282">
            <v>717183.01</v>
          </cell>
          <cell r="D1282" t="str">
            <v>SURCLIP  (SF 24)</v>
          </cell>
        </row>
        <row r="1283">
          <cell r="C1283">
            <v>717184</v>
          </cell>
          <cell r="D1283" t="str">
            <v>SF 24 R O RING</v>
          </cell>
        </row>
        <row r="1284">
          <cell r="C1284">
            <v>208184</v>
          </cell>
          <cell r="D1284" t="str">
            <v>SF.OR 24 R</v>
          </cell>
        </row>
        <row r="1285">
          <cell r="C1285">
            <v>309183</v>
          </cell>
          <cell r="D1285" t="str">
            <v>SF.MCG 24</v>
          </cell>
        </row>
        <row r="1286">
          <cell r="C1286">
            <v>511183</v>
          </cell>
          <cell r="D1286" t="str">
            <v>BALL 1/8" (IS:2898-1976)</v>
          </cell>
        </row>
        <row r="1287">
          <cell r="C1287">
            <v>717183</v>
          </cell>
          <cell r="D1287" t="str">
            <v>WASHER COPPER (SF 24)</v>
          </cell>
        </row>
        <row r="1288">
          <cell r="C1288">
            <v>717183.01</v>
          </cell>
          <cell r="D1288" t="str">
            <v>SURCLIP  (SF 24)</v>
          </cell>
        </row>
        <row r="1289">
          <cell r="C1289">
            <v>717184</v>
          </cell>
          <cell r="D1289" t="str">
            <v>SF 24 R O RING</v>
          </cell>
        </row>
        <row r="1290">
          <cell r="C1290">
            <v>104184</v>
          </cell>
          <cell r="D1290" t="str">
            <v>SF.IR 24 R</v>
          </cell>
        </row>
        <row r="1291">
          <cell r="C1291">
            <v>100184.2</v>
          </cell>
          <cell r="D1291" t="str">
            <v>IR.IR 25X30X100 PLAIN</v>
          </cell>
        </row>
        <row r="1292">
          <cell r="C1292">
            <v>100184.3</v>
          </cell>
          <cell r="D1292" t="str">
            <v>IR.IR 25X30X100 Eccentric</v>
          </cell>
        </row>
        <row r="1293">
          <cell r="C1293">
            <v>1422185</v>
          </cell>
          <cell r="D1293" t="str">
            <v>3000 2RS         Material</v>
          </cell>
        </row>
        <row r="1294">
          <cell r="C1294">
            <v>913016</v>
          </cell>
          <cell r="D1294" t="str">
            <v>Box 250x40x50</v>
          </cell>
        </row>
        <row r="1295">
          <cell r="C1295">
            <v>1422185.01</v>
          </cell>
          <cell r="D1295" t="str">
            <v>3810 2RS MAT.OR/IR/BALL</v>
          </cell>
        </row>
        <row r="1296">
          <cell r="C1296">
            <v>309185.01</v>
          </cell>
          <cell r="D1296" t="str">
            <v>NCG.3810 2RS</v>
          </cell>
        </row>
        <row r="1297">
          <cell r="C1297">
            <v>511185.01</v>
          </cell>
          <cell r="D1297" t="str">
            <v>BALL 3.5 MM(IS:2898-1976)</v>
          </cell>
        </row>
        <row r="1298">
          <cell r="C1298">
            <v>5221301</v>
          </cell>
        </row>
        <row r="1299">
          <cell r="C1299">
            <v>717185.01</v>
          </cell>
          <cell r="D1299" t="str">
            <v>SEAL.3810 2RS</v>
          </cell>
        </row>
        <row r="1300">
          <cell r="C1300">
            <v>104185.02</v>
          </cell>
          <cell r="D1300" t="str">
            <v>IR.3812 2RS             F</v>
          </cell>
        </row>
        <row r="1301">
          <cell r="C1301">
            <v>208185.02</v>
          </cell>
          <cell r="D1301" t="str">
            <v>OR.3812 2RS             F</v>
          </cell>
        </row>
        <row r="1302">
          <cell r="C1302">
            <v>309185.02</v>
          </cell>
          <cell r="D1302" t="str">
            <v>NCG.3812 2RS</v>
          </cell>
        </row>
        <row r="1303">
          <cell r="C1303">
            <v>511170</v>
          </cell>
          <cell r="D1303" t="str">
            <v>BALL 3/16" (IS:2898-1976)</v>
          </cell>
        </row>
        <row r="1304">
          <cell r="C1304">
            <v>717185.02</v>
          </cell>
          <cell r="D1304" t="str">
            <v>SEAL.3812 2RS</v>
          </cell>
        </row>
        <row r="1305">
          <cell r="C1305">
            <v>1422186</v>
          </cell>
          <cell r="D1305" t="str">
            <v>F 295540-01   Materia</v>
          </cell>
        </row>
        <row r="1306">
          <cell r="C1306">
            <v>511210.01</v>
          </cell>
          <cell r="D1306" t="str">
            <v>RO 4X5.6BPM</v>
          </cell>
        </row>
        <row r="1307">
          <cell r="C1307">
            <v>913006</v>
          </cell>
          <cell r="D1307" t="str">
            <v>Box 50x35x50</v>
          </cell>
        </row>
        <row r="1308">
          <cell r="C1308">
            <v>1422186.01</v>
          </cell>
          <cell r="D1308" t="str">
            <v>J 186.01(F 29535401)mater</v>
          </cell>
        </row>
        <row r="1309">
          <cell r="C1309">
            <v>104187</v>
          </cell>
          <cell r="D1309" t="str">
            <v>IR 101.3303</v>
          </cell>
        </row>
        <row r="1310">
          <cell r="C1310">
            <v>208187</v>
          </cell>
          <cell r="D1310" t="str">
            <v>OR 101.3303</v>
          </cell>
        </row>
        <row r="1311">
          <cell r="C1311">
            <v>309187</v>
          </cell>
          <cell r="D1311" t="str">
            <v>NCG 101.3303</v>
          </cell>
        </row>
        <row r="1312">
          <cell r="C1312">
            <v>511187</v>
          </cell>
          <cell r="D1312" t="str">
            <v>BALL 05/32"(IS:2898-1976)</v>
          </cell>
        </row>
        <row r="1313">
          <cell r="C1313">
            <v>717187</v>
          </cell>
          <cell r="D1313" t="str">
            <v>COPPER WASHER 101.3303</v>
          </cell>
        </row>
        <row r="1314">
          <cell r="C1314">
            <v>717187.01</v>
          </cell>
          <cell r="D1314" t="str">
            <v>SURCLIP 101.3303</v>
          </cell>
        </row>
        <row r="1315">
          <cell r="C1315">
            <v>913016</v>
          </cell>
          <cell r="D1315" t="str">
            <v>Box 250x40x50</v>
          </cell>
        </row>
        <row r="1316">
          <cell r="C1316">
            <v>104187.01</v>
          </cell>
          <cell r="D1316" t="str">
            <v>IR 101.3303</v>
          </cell>
        </row>
        <row r="1317">
          <cell r="C1317">
            <v>208187.01</v>
          </cell>
          <cell r="D1317" t="str">
            <v>OR 101.3303 SPL</v>
          </cell>
        </row>
        <row r="1318">
          <cell r="C1318">
            <v>309187</v>
          </cell>
          <cell r="D1318" t="str">
            <v>NCG 101.3303</v>
          </cell>
        </row>
        <row r="1319">
          <cell r="C1319">
            <v>511187</v>
          </cell>
          <cell r="D1319" t="str">
            <v>BALL 05/32"(IS:2898-1976)</v>
          </cell>
        </row>
        <row r="1320">
          <cell r="C1320">
            <v>717187</v>
          </cell>
          <cell r="D1320" t="str">
            <v>COPPER WASHER 101.3303</v>
          </cell>
        </row>
        <row r="1321">
          <cell r="C1321">
            <v>717187.01</v>
          </cell>
          <cell r="D1321" t="str">
            <v>SURCLIP 101.3303</v>
          </cell>
        </row>
        <row r="1322">
          <cell r="C1322">
            <v>913016</v>
          </cell>
          <cell r="D1322" t="str">
            <v>Box 250x40x50</v>
          </cell>
        </row>
        <row r="1323">
          <cell r="C1323">
            <v>208187</v>
          </cell>
          <cell r="D1323" t="str">
            <v>OR 101.3303</v>
          </cell>
        </row>
        <row r="1324">
          <cell r="C1324">
            <v>309187</v>
          </cell>
          <cell r="D1324" t="str">
            <v>NCG 101.3303</v>
          </cell>
        </row>
        <row r="1325">
          <cell r="C1325">
            <v>511187</v>
          </cell>
          <cell r="D1325" t="str">
            <v>BALL 05/32"(IS:2898-1976)</v>
          </cell>
        </row>
        <row r="1326">
          <cell r="C1326">
            <v>717187</v>
          </cell>
          <cell r="D1326" t="str">
            <v>COPPER WASHER 101.3303</v>
          </cell>
        </row>
        <row r="1327">
          <cell r="C1327">
            <v>717187.01</v>
          </cell>
          <cell r="D1327" t="str">
            <v>SURCLIP 101.3303</v>
          </cell>
        </row>
        <row r="1328">
          <cell r="C1328">
            <v>208187</v>
          </cell>
          <cell r="D1328" t="str">
            <v>OR 101.3303</v>
          </cell>
        </row>
        <row r="1329">
          <cell r="C1329">
            <v>100187.3</v>
          </cell>
          <cell r="D1329" t="str">
            <v>IR.IR 25X30X94 PLAIN</v>
          </cell>
        </row>
        <row r="1330">
          <cell r="C1330">
            <v>309187</v>
          </cell>
          <cell r="D1330" t="str">
            <v>NCG 101.3303</v>
          </cell>
        </row>
        <row r="1331">
          <cell r="C1331">
            <v>511187</v>
          </cell>
          <cell r="D1331" t="str">
            <v>BALL 05/32"(IS:2898-1976)</v>
          </cell>
        </row>
        <row r="1332">
          <cell r="C1332">
            <v>717187</v>
          </cell>
          <cell r="D1332" t="str">
            <v>COPPER WASHER 101.3303</v>
          </cell>
        </row>
        <row r="1333">
          <cell r="C1333">
            <v>717187.01</v>
          </cell>
          <cell r="D1333" t="str">
            <v>SURCLIP 101.3303</v>
          </cell>
        </row>
        <row r="1334">
          <cell r="C1334">
            <v>1422188</v>
          </cell>
          <cell r="D1334" t="str">
            <v>JUO-6           Materials</v>
          </cell>
        </row>
        <row r="1335">
          <cell r="C1335">
            <v>104189</v>
          </cell>
          <cell r="D1335" t="str">
            <v>F.IR 92529              T</v>
          </cell>
        </row>
        <row r="1336">
          <cell r="C1336">
            <v>208189</v>
          </cell>
          <cell r="D1336" t="str">
            <v>F.OR 92529              T</v>
          </cell>
        </row>
        <row r="1337">
          <cell r="C1337">
            <v>309189</v>
          </cell>
          <cell r="D1337" t="str">
            <v>F.NCG 92529</v>
          </cell>
        </row>
        <row r="1338">
          <cell r="C1338">
            <v>511189</v>
          </cell>
          <cell r="D1338" t="str">
            <v>BALL 4.5mm(IS:2898-1976)</v>
          </cell>
        </row>
        <row r="1339">
          <cell r="C1339">
            <v>913004</v>
          </cell>
          <cell r="D1339" t="str">
            <v>Box 108x35x108</v>
          </cell>
        </row>
        <row r="1340">
          <cell r="C1340">
            <v>104190</v>
          </cell>
          <cell r="D1340" t="str">
            <v>F.IR 18374506</v>
          </cell>
        </row>
        <row r="1341">
          <cell r="C1341">
            <v>208190</v>
          </cell>
          <cell r="D1341" t="str">
            <v>F.OR 18374506</v>
          </cell>
        </row>
        <row r="1342">
          <cell r="C1342">
            <v>309190</v>
          </cell>
          <cell r="D1342" t="str">
            <v>F.NCG 18374506</v>
          </cell>
        </row>
        <row r="1343">
          <cell r="C1343">
            <v>511190</v>
          </cell>
          <cell r="D1343" t="str">
            <v>BALL 15/64"(IS:2898-1976</v>
          </cell>
        </row>
        <row r="1344">
          <cell r="C1344">
            <v>717480</v>
          </cell>
          <cell r="D1344" t="str">
            <v>WASHER F 18374506</v>
          </cell>
        </row>
        <row r="1345">
          <cell r="C1345">
            <v>913011</v>
          </cell>
          <cell r="D1345" t="str">
            <v>Box 150x40x150</v>
          </cell>
        </row>
        <row r="1346">
          <cell r="C1346">
            <v>1422191</v>
          </cell>
          <cell r="D1346" t="str">
            <v>TOP ROLLERS     Material</v>
          </cell>
        </row>
        <row r="1347">
          <cell r="C1347">
            <v>104192.01</v>
          </cell>
          <cell r="D1347" t="str">
            <v>IR 45 NPPB LMW          F</v>
          </cell>
        </row>
        <row r="1348">
          <cell r="C1348">
            <v>208192.01</v>
          </cell>
          <cell r="D1348" t="str">
            <v>OR 45 NPPB LMW          F</v>
          </cell>
        </row>
        <row r="1349">
          <cell r="C1349">
            <v>309247</v>
          </cell>
          <cell r="D1349" t="str">
            <v>NCG 209 YY</v>
          </cell>
        </row>
        <row r="1350">
          <cell r="C1350">
            <v>511192</v>
          </cell>
          <cell r="D1350" t="str">
            <v>BALL 1/2" (IS:2898-1976)</v>
          </cell>
        </row>
        <row r="1351">
          <cell r="C1351">
            <v>5221208.0199999996</v>
          </cell>
          <cell r="D1351" t="str">
            <v>O Centoplex BE41 103BH</v>
          </cell>
        </row>
        <row r="1352">
          <cell r="C1352">
            <v>612192</v>
          </cell>
          <cell r="D1352" t="str">
            <v>G.SCREW45NPPB(M10X1.25X8)</v>
          </cell>
        </row>
        <row r="1353">
          <cell r="C1353">
            <v>717192.01</v>
          </cell>
          <cell r="D1353" t="str">
            <v>ECCENTRIC COLLAR 45 NPPB</v>
          </cell>
        </row>
        <row r="1354">
          <cell r="C1354">
            <v>717192.03</v>
          </cell>
          <cell r="D1354" t="str">
            <v>SEAL 45 NPPB LMW</v>
          </cell>
        </row>
        <row r="1355">
          <cell r="C1355">
            <v>913008</v>
          </cell>
          <cell r="D1355" t="str">
            <v>Box 95x50x95</v>
          </cell>
        </row>
        <row r="1356">
          <cell r="C1356">
            <v>104192.01</v>
          </cell>
          <cell r="D1356" t="str">
            <v>IR 45 NPPB LMW          F</v>
          </cell>
        </row>
        <row r="1357">
          <cell r="C1357">
            <v>208192.01</v>
          </cell>
          <cell r="D1357" t="str">
            <v>OR 45 NPPB LMW          F</v>
          </cell>
        </row>
        <row r="1358">
          <cell r="C1358">
            <v>309247</v>
          </cell>
          <cell r="D1358" t="str">
            <v>NCG 209 YY</v>
          </cell>
        </row>
        <row r="1359">
          <cell r="C1359">
            <v>511192</v>
          </cell>
          <cell r="D1359" t="str">
            <v>BALL 1/2" (IS:2898-1976)</v>
          </cell>
        </row>
        <row r="1360">
          <cell r="C1360">
            <v>5221208.0199999996</v>
          </cell>
          <cell r="D1360" t="str">
            <v>O Centoplex BE41 103BH</v>
          </cell>
        </row>
        <row r="1361">
          <cell r="C1361">
            <v>612192</v>
          </cell>
          <cell r="D1361" t="str">
            <v>G.SCREW45NPPB(M10X1.25X8)</v>
          </cell>
        </row>
        <row r="1362">
          <cell r="C1362">
            <v>717192.01</v>
          </cell>
          <cell r="D1362" t="str">
            <v>ECCENTRIC COLLAR 45 NPPB</v>
          </cell>
        </row>
        <row r="1363">
          <cell r="C1363">
            <v>717192.03</v>
          </cell>
          <cell r="D1363" t="str">
            <v>SEAL 45 NPPB LMW</v>
          </cell>
        </row>
        <row r="1364">
          <cell r="C1364">
            <v>913008</v>
          </cell>
          <cell r="D1364" t="str">
            <v>Box 95x50x95</v>
          </cell>
        </row>
        <row r="1365">
          <cell r="C1365">
            <v>104192</v>
          </cell>
          <cell r="D1365" t="str">
            <v>IR 45 NPPB</v>
          </cell>
        </row>
        <row r="1366">
          <cell r="C1366">
            <v>208192</v>
          </cell>
          <cell r="D1366" t="str">
            <v>OR 45 NPPB</v>
          </cell>
        </row>
        <row r="1367">
          <cell r="C1367">
            <v>309192</v>
          </cell>
          <cell r="D1367" t="str">
            <v>CAGE 45 NPPB</v>
          </cell>
        </row>
        <row r="1368">
          <cell r="C1368">
            <v>511192</v>
          </cell>
          <cell r="D1368" t="str">
            <v>BALL 1/2" (IS:2898-1976)</v>
          </cell>
        </row>
        <row r="1369">
          <cell r="C1369">
            <v>5221208.0199999996</v>
          </cell>
          <cell r="D1369" t="str">
            <v>O Centoplex BE41 103BH</v>
          </cell>
        </row>
        <row r="1370">
          <cell r="C1370">
            <v>612192</v>
          </cell>
          <cell r="D1370" t="str">
            <v>G.SCREW45NPPB(M10X1.25X8)</v>
          </cell>
        </row>
        <row r="1371">
          <cell r="C1371">
            <v>717192</v>
          </cell>
          <cell r="D1371" t="str">
            <v>SEAL 45 NPPB</v>
          </cell>
        </row>
        <row r="1372">
          <cell r="C1372">
            <v>717192.02</v>
          </cell>
          <cell r="D1372" t="str">
            <v>ECCENTRICCOLLAR45NPPBSPL</v>
          </cell>
        </row>
        <row r="1373">
          <cell r="C1373">
            <v>913008</v>
          </cell>
          <cell r="D1373" t="str">
            <v>Box 95x50x95</v>
          </cell>
        </row>
        <row r="1374">
          <cell r="C1374">
            <v>818192.03</v>
          </cell>
          <cell r="D1374" t="str">
            <v>EBS RING FOR 45 NPPB</v>
          </cell>
        </row>
        <row r="1375">
          <cell r="C1375">
            <v>612192</v>
          </cell>
          <cell r="D1375" t="str">
            <v>G.SCREW45NPPB(M10X1.25X8)</v>
          </cell>
        </row>
        <row r="1376">
          <cell r="C1376">
            <v>717192.01</v>
          </cell>
          <cell r="D1376" t="str">
            <v>ECCENTRIC COLLAR 45 NPPB</v>
          </cell>
        </row>
        <row r="1377">
          <cell r="C1377">
            <v>104193</v>
          </cell>
          <cell r="D1377" t="str">
            <v>J.IR 193(BAHB 636035A)</v>
          </cell>
        </row>
        <row r="1378">
          <cell r="C1378">
            <v>208193</v>
          </cell>
          <cell r="D1378" t="str">
            <v>J.OR 193(BAHB 636035A)</v>
          </cell>
        </row>
        <row r="1379">
          <cell r="C1379">
            <v>22193</v>
          </cell>
        </row>
        <row r="1380">
          <cell r="C1380">
            <v>309193</v>
          </cell>
          <cell r="D1380" t="str">
            <v>J.NCG (BAHB 636035A)</v>
          </cell>
        </row>
        <row r="1381">
          <cell r="C1381">
            <v>511193</v>
          </cell>
          <cell r="D1381" t="str">
            <v>BALL 7/16"(IS:2898-1976)</v>
          </cell>
        </row>
        <row r="1382">
          <cell r="C1382">
            <v>5221208.0199999996</v>
          </cell>
          <cell r="D1382" t="str">
            <v>O Centoplex BE41 103BH</v>
          </cell>
        </row>
        <row r="1383">
          <cell r="C1383">
            <v>717193</v>
          </cell>
          <cell r="D1383" t="str">
            <v>RUBBER SEAL J 193 BIG</v>
          </cell>
        </row>
        <row r="1384">
          <cell r="C1384">
            <v>717193.01</v>
          </cell>
          <cell r="D1384" t="str">
            <v>RUBBER SEAL J 193 SMALL</v>
          </cell>
        </row>
        <row r="1385">
          <cell r="C1385">
            <v>913015</v>
          </cell>
          <cell r="D1385" t="str">
            <v>Box 75X40X75</v>
          </cell>
        </row>
        <row r="1386">
          <cell r="C1386">
            <v>1422194</v>
          </cell>
          <cell r="D1386" t="str">
            <v>2B12Z 1CT       Materia</v>
          </cell>
        </row>
        <row r="1387">
          <cell r="C1387">
            <v>913016</v>
          </cell>
          <cell r="D1387" t="str">
            <v>Box 250x40x50</v>
          </cell>
        </row>
        <row r="1388">
          <cell r="C1388">
            <v>1422195</v>
          </cell>
          <cell r="D1388" t="str">
            <v>2B12Z 2CT       Materia</v>
          </cell>
        </row>
        <row r="1389">
          <cell r="C1389">
            <v>913016</v>
          </cell>
          <cell r="D1389" t="str">
            <v>Box 250x40x50</v>
          </cell>
        </row>
        <row r="1390">
          <cell r="C1390">
            <v>104196</v>
          </cell>
          <cell r="D1390" t="str">
            <v>J.IR 196                F</v>
          </cell>
        </row>
        <row r="1391">
          <cell r="C1391">
            <v>208196</v>
          </cell>
          <cell r="D1391" t="str">
            <v>J.OR 196                F</v>
          </cell>
        </row>
        <row r="1392">
          <cell r="C1392">
            <v>208196</v>
          </cell>
          <cell r="D1392" t="str">
            <v>J.OR 196                F</v>
          </cell>
        </row>
        <row r="1393">
          <cell r="C1393">
            <v>104196</v>
          </cell>
          <cell r="D1393" t="str">
            <v>J.IR 196                F</v>
          </cell>
        </row>
        <row r="1394">
          <cell r="C1394">
            <v>104197</v>
          </cell>
          <cell r="D1394" t="str">
            <v>J.IR 197</v>
          </cell>
        </row>
        <row r="1395">
          <cell r="C1395">
            <v>208197</v>
          </cell>
          <cell r="D1395" t="str">
            <v>J.OR 197</v>
          </cell>
        </row>
        <row r="1396">
          <cell r="C1396">
            <v>309197</v>
          </cell>
          <cell r="D1396" t="str">
            <v>J.NCG 197</v>
          </cell>
        </row>
        <row r="1397">
          <cell r="C1397">
            <v>511197</v>
          </cell>
          <cell r="D1397" t="str">
            <v>BALL 9/32"</v>
          </cell>
        </row>
        <row r="1398">
          <cell r="C1398">
            <v>104198.02</v>
          </cell>
          <cell r="D1398" t="str">
            <v>J.IR 198                F</v>
          </cell>
        </row>
        <row r="1399">
          <cell r="C1399">
            <v>208198.01</v>
          </cell>
          <cell r="D1399" t="str">
            <v>J.OR 198                F</v>
          </cell>
        </row>
        <row r="1400">
          <cell r="C1400">
            <v>208198.01</v>
          </cell>
          <cell r="D1400" t="str">
            <v>J.OR 198                F</v>
          </cell>
        </row>
        <row r="1401">
          <cell r="C1401">
            <v>104198.02</v>
          </cell>
          <cell r="D1401" t="str">
            <v>J.IR 198                F</v>
          </cell>
        </row>
        <row r="1402">
          <cell r="C1402">
            <v>208199</v>
          </cell>
          <cell r="D1402" t="str">
            <v>J.OR 199                F</v>
          </cell>
        </row>
        <row r="1403">
          <cell r="C1403">
            <v>104199</v>
          </cell>
          <cell r="D1403" t="str">
            <v>J.IR 199                F</v>
          </cell>
        </row>
        <row r="1404">
          <cell r="C1404">
            <v>104199</v>
          </cell>
          <cell r="D1404" t="str">
            <v>J.IR 199                F</v>
          </cell>
        </row>
        <row r="1405">
          <cell r="C1405">
            <v>104200</v>
          </cell>
          <cell r="D1405" t="str">
            <v>J.IR 200</v>
          </cell>
        </row>
        <row r="1406">
          <cell r="C1406">
            <v>208200</v>
          </cell>
          <cell r="D1406" t="str">
            <v>J.OR 200</v>
          </cell>
        </row>
        <row r="1407">
          <cell r="C1407">
            <v>309200</v>
          </cell>
          <cell r="D1407" t="str">
            <v>J.MCG 200</v>
          </cell>
        </row>
        <row r="1408">
          <cell r="C1408">
            <v>511464</v>
          </cell>
          <cell r="D1408" t="str">
            <v>BALL 7/32"(IS:2898-1976)</v>
          </cell>
        </row>
        <row r="1409">
          <cell r="C1409">
            <v>913010</v>
          </cell>
          <cell r="D1409" t="str">
            <v>Box 150x40x50</v>
          </cell>
        </row>
        <row r="1410">
          <cell r="C1410">
            <v>104201</v>
          </cell>
          <cell r="D1410" t="str">
            <v>J.IR 201</v>
          </cell>
        </row>
        <row r="1411">
          <cell r="C1411">
            <v>208201</v>
          </cell>
          <cell r="D1411" t="str">
            <v>J.OR 201</v>
          </cell>
        </row>
        <row r="1412">
          <cell r="C1412">
            <v>309201</v>
          </cell>
          <cell r="D1412" t="str">
            <v>J.MCG 201</v>
          </cell>
        </row>
        <row r="1413">
          <cell r="C1413">
            <v>511993</v>
          </cell>
          <cell r="D1413" t="str">
            <v>BALL 5/16"(IS:2898-1976)</v>
          </cell>
        </row>
        <row r="1414">
          <cell r="C1414">
            <v>913021</v>
          </cell>
          <cell r="D1414" t="str">
            <v>Box 55X20X55</v>
          </cell>
        </row>
        <row r="1415">
          <cell r="C1415">
            <v>104202</v>
          </cell>
          <cell r="D1415" t="str">
            <v>J.IR 202(42MM BEARINGS) F</v>
          </cell>
        </row>
        <row r="1416">
          <cell r="C1416">
            <v>208202</v>
          </cell>
          <cell r="D1416" t="str">
            <v>J.OR 202(42MM BEARINGS) F</v>
          </cell>
        </row>
        <row r="1417">
          <cell r="C1417">
            <v>309202</v>
          </cell>
          <cell r="D1417" t="str">
            <v>J.MCG 202(42MM BEARINGS)</v>
          </cell>
        </row>
        <row r="1418">
          <cell r="C1418">
            <v>511183</v>
          </cell>
          <cell r="D1418" t="str">
            <v>BALL 1/8" (IS:2898-1976)</v>
          </cell>
        </row>
        <row r="1419">
          <cell r="C1419">
            <v>717202</v>
          </cell>
          <cell r="D1419" t="str">
            <v>WASHER J 202(42MM)</v>
          </cell>
        </row>
        <row r="1420">
          <cell r="C1420">
            <v>104203</v>
          </cell>
          <cell r="D1420" t="str">
            <v>J.IR 203                F</v>
          </cell>
        </row>
        <row r="1421">
          <cell r="C1421">
            <v>208203</v>
          </cell>
          <cell r="D1421" t="str">
            <v>J.OR 203                F</v>
          </cell>
        </row>
        <row r="1422">
          <cell r="C1422">
            <v>309203</v>
          </cell>
          <cell r="D1422" t="str">
            <v>J.NCG 203</v>
          </cell>
        </row>
        <row r="1423">
          <cell r="C1423">
            <v>511403</v>
          </cell>
          <cell r="D1423" t="str">
            <v>BALL 31/64"(IS:2898-1976)</v>
          </cell>
        </row>
        <row r="1424">
          <cell r="C1424">
            <v>612179</v>
          </cell>
          <cell r="D1424" t="str">
            <v>G.SCREW 179(M10X1.5X10)</v>
          </cell>
        </row>
        <row r="1425">
          <cell r="C1425">
            <v>717203</v>
          </cell>
          <cell r="D1425" t="str">
            <v>SEAL J 203</v>
          </cell>
        </row>
        <row r="1426">
          <cell r="C1426">
            <v>717203.01</v>
          </cell>
          <cell r="D1426" t="str">
            <v>ECCENTRIC COLLAR J 203</v>
          </cell>
        </row>
        <row r="1427">
          <cell r="C1427">
            <v>104204</v>
          </cell>
          <cell r="D1427" t="str">
            <v>J.IR 204                F</v>
          </cell>
        </row>
        <row r="1428">
          <cell r="C1428">
            <v>208204</v>
          </cell>
          <cell r="D1428" t="str">
            <v>J.OR 204                F</v>
          </cell>
        </row>
        <row r="1429">
          <cell r="C1429">
            <v>309204</v>
          </cell>
          <cell r="D1429" t="str">
            <v>J.NCG 204</v>
          </cell>
        </row>
        <row r="1430">
          <cell r="C1430">
            <v>511993</v>
          </cell>
          <cell r="D1430" t="str">
            <v>BALL 5/16"(IS:2898-1976)</v>
          </cell>
        </row>
        <row r="1431">
          <cell r="C1431">
            <v>612204</v>
          </cell>
          <cell r="D1431" t="str">
            <v>BOLT M6X1X6</v>
          </cell>
        </row>
        <row r="1432">
          <cell r="C1432">
            <v>717204</v>
          </cell>
          <cell r="D1432" t="str">
            <v>CUT WASHER J 204</v>
          </cell>
        </row>
        <row r="1433">
          <cell r="C1433">
            <v>717204.01</v>
          </cell>
          <cell r="D1433" t="str">
            <v>FELT J 204</v>
          </cell>
        </row>
        <row r="1434">
          <cell r="C1434">
            <v>104205</v>
          </cell>
          <cell r="D1434" t="str">
            <v>J.IR 205                F</v>
          </cell>
        </row>
        <row r="1435">
          <cell r="C1435">
            <v>208205</v>
          </cell>
          <cell r="D1435" t="str">
            <v>J.OR 205                F</v>
          </cell>
        </row>
        <row r="1436">
          <cell r="C1436">
            <v>309205</v>
          </cell>
          <cell r="D1436" t="str">
            <v>J.NCG 205</v>
          </cell>
        </row>
        <row r="1437">
          <cell r="C1437">
            <v>511205</v>
          </cell>
          <cell r="D1437" t="str">
            <v>BALL 11/32"(IS:2898-1976)</v>
          </cell>
        </row>
        <row r="1438">
          <cell r="C1438">
            <v>612921</v>
          </cell>
          <cell r="D1438" t="str">
            <v>G.SCREW 30 (M08X1.25X08)</v>
          </cell>
        </row>
        <row r="1439">
          <cell r="C1439">
            <v>717205</v>
          </cell>
          <cell r="D1439" t="str">
            <v>CUT WASHER J 205</v>
          </cell>
        </row>
        <row r="1440">
          <cell r="C1440">
            <v>717205.01</v>
          </cell>
          <cell r="D1440" t="str">
            <v>FELT J 205</v>
          </cell>
        </row>
        <row r="1441">
          <cell r="C1441">
            <v>104205</v>
          </cell>
          <cell r="D1441" t="str">
            <v>J.IR 205                F</v>
          </cell>
        </row>
        <row r="1442">
          <cell r="C1442">
            <v>208205</v>
          </cell>
          <cell r="D1442" t="str">
            <v>J.OR 205                F</v>
          </cell>
        </row>
        <row r="1443">
          <cell r="C1443">
            <v>309205</v>
          </cell>
          <cell r="D1443" t="str">
            <v>J.NCG 205</v>
          </cell>
        </row>
        <row r="1444">
          <cell r="C1444">
            <v>511205</v>
          </cell>
          <cell r="D1444" t="str">
            <v>BALL 11/32"(IS:2898-1976)</v>
          </cell>
        </row>
        <row r="1445">
          <cell r="C1445">
            <v>612921</v>
          </cell>
          <cell r="D1445" t="str">
            <v>G.SCREW 30 (M08X1.25X08)</v>
          </cell>
        </row>
        <row r="1446">
          <cell r="C1446">
            <v>717205</v>
          </cell>
          <cell r="D1446" t="str">
            <v>CUT WASHER J 205</v>
          </cell>
        </row>
        <row r="1447">
          <cell r="C1447">
            <v>717205.01</v>
          </cell>
          <cell r="D1447" t="str">
            <v>FELT J 205</v>
          </cell>
        </row>
        <row r="1448">
          <cell r="C1448">
            <v>104206</v>
          </cell>
          <cell r="D1448" t="str">
            <v>J.IR 206                F</v>
          </cell>
        </row>
        <row r="1449">
          <cell r="C1449">
            <v>208206</v>
          </cell>
          <cell r="D1449" t="str">
            <v>J.OR 206                F</v>
          </cell>
        </row>
        <row r="1450">
          <cell r="C1450">
            <v>309245</v>
          </cell>
          <cell r="D1450" t="str">
            <v>NCG.207 YY2</v>
          </cell>
        </row>
        <row r="1451">
          <cell r="C1451">
            <v>511193</v>
          </cell>
          <cell r="D1451" t="str">
            <v>BALL 7/16"(IS:2898-1976)</v>
          </cell>
        </row>
        <row r="1452">
          <cell r="C1452">
            <v>612921</v>
          </cell>
          <cell r="D1452" t="str">
            <v>G.SCREW 30 (M08X1.25X08)</v>
          </cell>
        </row>
        <row r="1453">
          <cell r="C1453">
            <v>717206</v>
          </cell>
          <cell r="D1453" t="str">
            <v>CUT WASHER J 206</v>
          </cell>
        </row>
        <row r="1454">
          <cell r="C1454">
            <v>717206.01</v>
          </cell>
          <cell r="D1454" t="str">
            <v>FELT J 206</v>
          </cell>
        </row>
        <row r="1455">
          <cell r="C1455">
            <v>104206</v>
          </cell>
          <cell r="D1455" t="str">
            <v>J.IR 206                F</v>
          </cell>
        </row>
        <row r="1456">
          <cell r="C1456">
            <v>208206</v>
          </cell>
          <cell r="D1456" t="str">
            <v>J.OR 206                F</v>
          </cell>
        </row>
        <row r="1457">
          <cell r="C1457">
            <v>309206</v>
          </cell>
          <cell r="D1457" t="str">
            <v>J.NCG 206</v>
          </cell>
        </row>
        <row r="1458">
          <cell r="C1458">
            <v>511193</v>
          </cell>
          <cell r="D1458" t="str">
            <v>BALL 7/16"(IS:2898-1976)</v>
          </cell>
        </row>
        <row r="1459">
          <cell r="C1459">
            <v>612921</v>
          </cell>
          <cell r="D1459" t="str">
            <v>G.SCREW 30 (M08X1.25X08)</v>
          </cell>
        </row>
        <row r="1460">
          <cell r="C1460">
            <v>717206</v>
          </cell>
          <cell r="D1460" t="str">
            <v>CUT WASHER J 206</v>
          </cell>
        </row>
        <row r="1461">
          <cell r="C1461">
            <v>717206.01</v>
          </cell>
          <cell r="D1461" t="str">
            <v>FELT J 206</v>
          </cell>
        </row>
        <row r="1462">
          <cell r="C1462">
            <v>104207</v>
          </cell>
          <cell r="D1462" t="str">
            <v>CF.STADE 20</v>
          </cell>
        </row>
        <row r="1463">
          <cell r="C1463">
            <v>208207</v>
          </cell>
          <cell r="D1463" t="str">
            <v>CF.OR 20                F</v>
          </cell>
        </row>
        <row r="1464">
          <cell r="C1464">
            <v>309207</v>
          </cell>
          <cell r="D1464" t="str">
            <v>CF.MCG 20</v>
          </cell>
        </row>
        <row r="1465">
          <cell r="C1465">
            <v>511481</v>
          </cell>
          <cell r="D1465" t="str">
            <v>RO 2.5X14.8</v>
          </cell>
        </row>
        <row r="1466">
          <cell r="C1466">
            <v>717207</v>
          </cell>
          <cell r="D1466" t="str">
            <v>CF.NUT 20</v>
          </cell>
        </row>
        <row r="1467">
          <cell r="C1467">
            <v>717207.01</v>
          </cell>
          <cell r="D1467" t="str">
            <v>CF.WASHER 20</v>
          </cell>
        </row>
        <row r="1468">
          <cell r="C1468">
            <v>717207.02</v>
          </cell>
          <cell r="D1468" t="str">
            <v>CF.RUBBER RING 20</v>
          </cell>
        </row>
        <row r="1469">
          <cell r="C1469">
            <v>104208</v>
          </cell>
          <cell r="D1469" t="str">
            <v>CF.STADE 5/8 SB         F</v>
          </cell>
        </row>
        <row r="1470">
          <cell r="C1470">
            <v>208208</v>
          </cell>
          <cell r="D1470" t="str">
            <v>CF.OR 5/8 SB            F</v>
          </cell>
        </row>
        <row r="1471">
          <cell r="C1471">
            <v>511208</v>
          </cell>
          <cell r="D1471" t="str">
            <v>RO 1.3X8.3 BR</v>
          </cell>
        </row>
        <row r="1472">
          <cell r="C1472">
            <v>717208</v>
          </cell>
          <cell r="D1472" t="str">
            <v>CF.METAL WASHER 5/8 SB</v>
          </cell>
        </row>
        <row r="1473">
          <cell r="C1473">
            <v>717208.01</v>
          </cell>
          <cell r="D1473" t="str">
            <v>CF.NYLONE WASHER 5/8 SB</v>
          </cell>
        </row>
        <row r="1474">
          <cell r="C1474">
            <v>1422209</v>
          </cell>
          <cell r="D1474" t="str">
            <v>FC 3019          Material</v>
          </cell>
        </row>
        <row r="1475">
          <cell r="C1475">
            <v>511209</v>
          </cell>
          <cell r="D1475" t="str">
            <v>RO 3X8</v>
          </cell>
        </row>
        <row r="1476">
          <cell r="C1476">
            <v>913010</v>
          </cell>
          <cell r="D1476" t="str">
            <v>Box 150x40x50</v>
          </cell>
        </row>
        <row r="1477">
          <cell r="C1477">
            <v>104210</v>
          </cell>
          <cell r="D1477" t="str">
            <v>FC.IR 16644 SPL</v>
          </cell>
        </row>
        <row r="1478">
          <cell r="C1478">
            <v>208210</v>
          </cell>
          <cell r="D1478" t="str">
            <v>FC.OR 16644 SPL</v>
          </cell>
        </row>
        <row r="1479">
          <cell r="C1479">
            <v>511210</v>
          </cell>
          <cell r="D1479" t="str">
            <v>RO 4X5</v>
          </cell>
        </row>
        <row r="1480">
          <cell r="C1480">
            <v>9210</v>
          </cell>
        </row>
        <row r="1481">
          <cell r="C1481">
            <v>104211</v>
          </cell>
          <cell r="D1481" t="str">
            <v>FC.IR 1506</v>
          </cell>
        </row>
        <row r="1482">
          <cell r="C1482">
            <v>1422211</v>
          </cell>
          <cell r="D1482" t="str">
            <v>FC 1506     material</v>
          </cell>
        </row>
        <row r="1483">
          <cell r="C1483">
            <v>208211</v>
          </cell>
          <cell r="D1483" t="str">
            <v>FC.OR 1506</v>
          </cell>
        </row>
        <row r="1484">
          <cell r="C1484">
            <v>309211</v>
          </cell>
          <cell r="D1484" t="str">
            <v>FC.NCG 1506</v>
          </cell>
        </row>
        <row r="1485">
          <cell r="C1485">
            <v>511211</v>
          </cell>
        </row>
        <row r="1486">
          <cell r="C1486">
            <v>511927</v>
          </cell>
          <cell r="D1486" t="str">
            <v>RO 2X4</v>
          </cell>
        </row>
        <row r="1487">
          <cell r="C1487">
            <v>913011</v>
          </cell>
          <cell r="D1487" t="str">
            <v>Box 150x40x150</v>
          </cell>
        </row>
        <row r="1488">
          <cell r="C1488">
            <v>1422211.01</v>
          </cell>
          <cell r="D1488" t="str">
            <v>FC 1506 STADELENTH 15 R.M</v>
          </cell>
        </row>
        <row r="1489">
          <cell r="C1489">
            <v>104212</v>
          </cell>
          <cell r="D1489" t="str">
            <v>FC.IR 401507 SPL</v>
          </cell>
        </row>
        <row r="1490">
          <cell r="C1490">
            <v>208212</v>
          </cell>
          <cell r="D1490" t="str">
            <v>FC.OR 401507 SPL</v>
          </cell>
        </row>
        <row r="1491">
          <cell r="C1491">
            <v>511212</v>
          </cell>
          <cell r="D1491" t="str">
            <v>RO 4X4</v>
          </cell>
        </row>
        <row r="1492">
          <cell r="C1492">
            <v>9212</v>
          </cell>
        </row>
        <row r="1493">
          <cell r="C1493">
            <v>104213.01</v>
          </cell>
          <cell r="D1493" t="str">
            <v>NAST.IR 50</v>
          </cell>
        </row>
        <row r="1494">
          <cell r="C1494">
            <v>208213.01</v>
          </cell>
          <cell r="D1494" t="str">
            <v>NAST.OR 50 (RNAST 50)</v>
          </cell>
        </row>
        <row r="1495">
          <cell r="C1495">
            <v>309213.01</v>
          </cell>
          <cell r="D1495" t="str">
            <v>NAST.MCG 50 (RNAST 50)</v>
          </cell>
        </row>
        <row r="1496">
          <cell r="C1496">
            <v>511436</v>
          </cell>
          <cell r="D1496" t="str">
            <v>RO 4X15.8 (CRA)</v>
          </cell>
        </row>
        <row r="1497">
          <cell r="C1497">
            <v>913017</v>
          </cell>
          <cell r="D1497" t="str">
            <v>Box 83X83X105</v>
          </cell>
        </row>
        <row r="1498">
          <cell r="C1498">
            <v>208213.01</v>
          </cell>
          <cell r="D1498" t="str">
            <v>NAST.OR 50 (RNAST 50)</v>
          </cell>
        </row>
        <row r="1499">
          <cell r="C1499">
            <v>309213.01</v>
          </cell>
          <cell r="D1499" t="str">
            <v>NAST.MCG 50 (RNAST 50)</v>
          </cell>
        </row>
        <row r="1500">
          <cell r="C1500">
            <v>511436</v>
          </cell>
          <cell r="D1500" t="str">
            <v>RO 4X15.8 (CRA)</v>
          </cell>
        </row>
        <row r="1501">
          <cell r="C1501">
            <v>104213.01</v>
          </cell>
          <cell r="D1501" t="str">
            <v>NAST.IR 50</v>
          </cell>
        </row>
        <row r="1502">
          <cell r="C1502">
            <v>104214</v>
          </cell>
          <cell r="D1502" t="str">
            <v>J.IR 214                F</v>
          </cell>
        </row>
        <row r="1503">
          <cell r="C1503">
            <v>208214</v>
          </cell>
          <cell r="D1503" t="str">
            <v>R.OR 214                F</v>
          </cell>
        </row>
        <row r="1504">
          <cell r="C1504">
            <v>309214</v>
          </cell>
          <cell r="D1504" t="str">
            <v>J.NCG 214</v>
          </cell>
        </row>
        <row r="1505">
          <cell r="C1505">
            <v>511180</v>
          </cell>
          <cell r="D1505" t="str">
            <v>BALL 3/8"(IS:2898-1976)</v>
          </cell>
        </row>
        <row r="1506">
          <cell r="C1506">
            <v>717214</v>
          </cell>
          <cell r="D1506" t="str">
            <v>J.SEAL 214</v>
          </cell>
        </row>
        <row r="1507">
          <cell r="C1507">
            <v>913023</v>
          </cell>
          <cell r="D1507" t="str">
            <v>Box 75X25X75</v>
          </cell>
        </row>
        <row r="1508">
          <cell r="C1508">
            <v>104215</v>
          </cell>
          <cell r="D1508" t="str">
            <v>CF.STADE 6              F</v>
          </cell>
        </row>
        <row r="1509">
          <cell r="C1509">
            <v>208215</v>
          </cell>
          <cell r="D1509" t="str">
            <v>CF.OR 06                F</v>
          </cell>
        </row>
        <row r="1510">
          <cell r="C1510">
            <v>309215</v>
          </cell>
          <cell r="D1510" t="str">
            <v>CF.MCG 06</v>
          </cell>
        </row>
        <row r="1511">
          <cell r="C1511">
            <v>511699</v>
          </cell>
          <cell r="D1511" t="str">
            <v>RO 1.5X5.8</v>
          </cell>
        </row>
        <row r="1512">
          <cell r="C1512">
            <v>717215</v>
          </cell>
          <cell r="D1512" t="str">
            <v>CF.NUT 06(M6)</v>
          </cell>
        </row>
        <row r="1513">
          <cell r="C1513">
            <v>717215.01</v>
          </cell>
          <cell r="D1513" t="str">
            <v>CF.WASHER 06</v>
          </cell>
        </row>
        <row r="1514">
          <cell r="C1514">
            <v>717215.02</v>
          </cell>
          <cell r="D1514" t="str">
            <v>CF.RUBBER WAWSHER 06</v>
          </cell>
        </row>
        <row r="1515">
          <cell r="C1515">
            <v>104216</v>
          </cell>
          <cell r="D1515" t="str">
            <v>CF.STADE 8              F</v>
          </cell>
        </row>
        <row r="1516">
          <cell r="C1516">
            <v>208216</v>
          </cell>
          <cell r="D1516" t="str">
            <v>CF.OR 08                F</v>
          </cell>
        </row>
        <row r="1517">
          <cell r="C1517">
            <v>309216</v>
          </cell>
          <cell r="D1517" t="str">
            <v>CF.MCG 08</v>
          </cell>
        </row>
        <row r="1518">
          <cell r="C1518">
            <v>511699</v>
          </cell>
          <cell r="D1518" t="str">
            <v>RO 1.5X5.8</v>
          </cell>
        </row>
        <row r="1519">
          <cell r="C1519">
            <v>717216</v>
          </cell>
          <cell r="D1519" t="str">
            <v>CF.NUT 08(M8)</v>
          </cell>
        </row>
        <row r="1520">
          <cell r="C1520">
            <v>717216.01</v>
          </cell>
          <cell r="D1520" t="str">
            <v>CF.WASHER 08</v>
          </cell>
        </row>
        <row r="1521">
          <cell r="C1521">
            <v>717216.02</v>
          </cell>
          <cell r="D1521" t="str">
            <v>CF.RUBBER WASHER 08</v>
          </cell>
        </row>
        <row r="1522">
          <cell r="C1522">
            <v>104217</v>
          </cell>
          <cell r="D1522" t="str">
            <v>CF.STADE 10             F</v>
          </cell>
        </row>
        <row r="1523">
          <cell r="C1523">
            <v>208217</v>
          </cell>
          <cell r="D1523" t="str">
            <v>CF.OR 10                F</v>
          </cell>
        </row>
        <row r="1524">
          <cell r="C1524">
            <v>309217</v>
          </cell>
          <cell r="D1524" t="str">
            <v>CF.MCG 10</v>
          </cell>
        </row>
        <row r="1525">
          <cell r="C1525">
            <v>511217</v>
          </cell>
          <cell r="D1525" t="str">
            <v>RO 1.5X6.8</v>
          </cell>
        </row>
        <row r="1526">
          <cell r="C1526">
            <v>717217</v>
          </cell>
          <cell r="D1526" t="str">
            <v>CF.NUT 10(M10)</v>
          </cell>
        </row>
        <row r="1527">
          <cell r="C1527">
            <v>717217.01</v>
          </cell>
          <cell r="D1527" t="str">
            <v>CF.WASHER 10</v>
          </cell>
        </row>
        <row r="1528">
          <cell r="C1528">
            <v>717217.02</v>
          </cell>
          <cell r="D1528" t="str">
            <v>CF.RUBBER WASHER 10</v>
          </cell>
        </row>
        <row r="1529">
          <cell r="C1529">
            <v>104217</v>
          </cell>
          <cell r="D1529" t="str">
            <v>CF.STADE 10             F</v>
          </cell>
        </row>
        <row r="1530">
          <cell r="C1530">
            <v>208218</v>
          </cell>
          <cell r="D1530" t="str">
            <v>CF.OR 10-1              F</v>
          </cell>
        </row>
        <row r="1531">
          <cell r="C1531">
            <v>309217</v>
          </cell>
          <cell r="D1531" t="str">
            <v>CF.MCG 10</v>
          </cell>
        </row>
        <row r="1532">
          <cell r="C1532">
            <v>511217</v>
          </cell>
          <cell r="D1532" t="str">
            <v>RO 1.5X6.8</v>
          </cell>
        </row>
        <row r="1533">
          <cell r="C1533">
            <v>717217</v>
          </cell>
          <cell r="D1533" t="str">
            <v>CF.NUT 10(M10)</v>
          </cell>
        </row>
        <row r="1534">
          <cell r="C1534">
            <v>717217.01</v>
          </cell>
          <cell r="D1534" t="str">
            <v>CF.WASHER 10</v>
          </cell>
        </row>
        <row r="1535">
          <cell r="C1535">
            <v>717217.02</v>
          </cell>
          <cell r="D1535" t="str">
            <v>CF.RUBBER WASHER 10</v>
          </cell>
        </row>
        <row r="1536">
          <cell r="C1536">
            <v>104219</v>
          </cell>
          <cell r="D1536" t="str">
            <v>CF.STADE 12             F</v>
          </cell>
        </row>
        <row r="1537">
          <cell r="C1537">
            <v>208219</v>
          </cell>
          <cell r="D1537" t="str">
            <v>CF.OR 12                F</v>
          </cell>
        </row>
        <row r="1538">
          <cell r="C1538">
            <v>309219</v>
          </cell>
          <cell r="D1538" t="str">
            <v>CF.MCG 12</v>
          </cell>
        </row>
        <row r="1539">
          <cell r="C1539">
            <v>511090</v>
          </cell>
          <cell r="D1539" t="str">
            <v>RO 2X7.8</v>
          </cell>
        </row>
        <row r="1540">
          <cell r="C1540">
            <v>717219</v>
          </cell>
          <cell r="D1540" t="str">
            <v>CF.NUT 12(M12)</v>
          </cell>
        </row>
        <row r="1541">
          <cell r="C1541">
            <v>717219.01</v>
          </cell>
          <cell r="D1541" t="str">
            <v>CF.WASHER 12</v>
          </cell>
        </row>
        <row r="1542">
          <cell r="C1542">
            <v>717219.02</v>
          </cell>
          <cell r="D1542" t="str">
            <v>CF.RUBBER WASHER 12</v>
          </cell>
        </row>
        <row r="1543">
          <cell r="C1543">
            <v>104219</v>
          </cell>
          <cell r="D1543" t="str">
            <v>CF.STADE 12             F</v>
          </cell>
        </row>
        <row r="1544">
          <cell r="C1544">
            <v>208220</v>
          </cell>
          <cell r="D1544" t="str">
            <v>CF.OR 12-1              F</v>
          </cell>
        </row>
        <row r="1545">
          <cell r="C1545">
            <v>309219</v>
          </cell>
          <cell r="D1545" t="str">
            <v>CF.MCG 12</v>
          </cell>
        </row>
        <row r="1546">
          <cell r="C1546">
            <v>511090</v>
          </cell>
          <cell r="D1546" t="str">
            <v>RO 2X7.8</v>
          </cell>
        </row>
        <row r="1547">
          <cell r="C1547">
            <v>717219</v>
          </cell>
          <cell r="D1547" t="str">
            <v>CF.NUT 12(M12)</v>
          </cell>
        </row>
        <row r="1548">
          <cell r="C1548">
            <v>717219.01</v>
          </cell>
          <cell r="D1548" t="str">
            <v>CF.WASHER 12</v>
          </cell>
        </row>
        <row r="1549">
          <cell r="C1549">
            <v>717219.02</v>
          </cell>
          <cell r="D1549" t="str">
            <v>CF.RUBBER WASHER 12</v>
          </cell>
        </row>
        <row r="1550">
          <cell r="C1550">
            <v>104221</v>
          </cell>
          <cell r="D1550" t="str">
            <v>CF.STADE 16             F</v>
          </cell>
        </row>
        <row r="1551">
          <cell r="C1551">
            <v>208221</v>
          </cell>
          <cell r="D1551" t="str">
            <v>CF.OR 16                F</v>
          </cell>
        </row>
        <row r="1552">
          <cell r="C1552">
            <v>309221</v>
          </cell>
          <cell r="D1552" t="str">
            <v>CF.MCG 16</v>
          </cell>
        </row>
        <row r="1553">
          <cell r="C1553">
            <v>511221</v>
          </cell>
          <cell r="D1553" t="str">
            <v>RO 2X10.8</v>
          </cell>
        </row>
        <row r="1554">
          <cell r="C1554">
            <v>717221</v>
          </cell>
          <cell r="D1554" t="str">
            <v>CF.NUT 16(M16)</v>
          </cell>
        </row>
        <row r="1555">
          <cell r="C1555">
            <v>717221.01</v>
          </cell>
          <cell r="D1555" t="str">
            <v>CF.WASHER 16</v>
          </cell>
        </row>
        <row r="1556">
          <cell r="C1556">
            <v>717221.02</v>
          </cell>
          <cell r="D1556" t="str">
            <v>CF.RUBBER WASHER 16</v>
          </cell>
        </row>
        <row r="1557">
          <cell r="C1557">
            <v>104222</v>
          </cell>
          <cell r="D1557" t="str">
            <v>CF.STADE 18             F</v>
          </cell>
        </row>
        <row r="1558">
          <cell r="C1558">
            <v>208222</v>
          </cell>
          <cell r="D1558" t="str">
            <v>CF.OR 18                F</v>
          </cell>
        </row>
        <row r="1559">
          <cell r="C1559">
            <v>309222</v>
          </cell>
          <cell r="D1559" t="str">
            <v>CF.MCG 18</v>
          </cell>
        </row>
        <row r="1560">
          <cell r="C1560">
            <v>511807.01</v>
          </cell>
          <cell r="D1560" t="str">
            <v>RO 2X12.8</v>
          </cell>
        </row>
        <row r="1561">
          <cell r="C1561">
            <v>717222</v>
          </cell>
          <cell r="D1561" t="str">
            <v>CF.NUT 18(M18)</v>
          </cell>
        </row>
        <row r="1562">
          <cell r="C1562">
            <v>717222.01</v>
          </cell>
          <cell r="D1562" t="str">
            <v>CF.WASHER 18</v>
          </cell>
        </row>
        <row r="1563">
          <cell r="C1563">
            <v>717222.02</v>
          </cell>
          <cell r="D1563" t="str">
            <v>CF.RUBBER WASHER 18</v>
          </cell>
        </row>
        <row r="1564">
          <cell r="C1564">
            <v>1422223</v>
          </cell>
          <cell r="D1564" t="str">
            <v>SR90JOCKEYPULLOY material</v>
          </cell>
        </row>
        <row r="1565">
          <cell r="C1565">
            <v>1422223.01</v>
          </cell>
          <cell r="D1565" t="str">
            <v>SR90 BEARING material</v>
          </cell>
        </row>
        <row r="1566">
          <cell r="C1566">
            <v>1422223.02</v>
          </cell>
          <cell r="D1566" t="str">
            <v>SR90 BEARING WITH CUP mat</v>
          </cell>
        </row>
        <row r="1567">
          <cell r="C1567">
            <v>1422224</v>
          </cell>
          <cell r="D1567" t="str">
            <v>SR 6JOCKEYPULLOY material</v>
          </cell>
        </row>
        <row r="1568">
          <cell r="C1568">
            <v>1422225</v>
          </cell>
          <cell r="D1568" t="str">
            <v>SR 7JOCKEYPULLOY material</v>
          </cell>
        </row>
        <row r="1569">
          <cell r="C1569">
            <v>913015</v>
          </cell>
          <cell r="D1569" t="str">
            <v>Box 75X40X75</v>
          </cell>
        </row>
        <row r="1570">
          <cell r="C1570">
            <v>717225.01</v>
          </cell>
          <cell r="D1570" t="str">
            <v>SR 7 FORK BOLT/WASHER</v>
          </cell>
        </row>
        <row r="1571">
          <cell r="C1571">
            <v>717225.02</v>
          </cell>
          <cell r="D1571" t="str">
            <v>SR 7 FORK NUT</v>
          </cell>
        </row>
        <row r="1572">
          <cell r="C1572">
            <v>717225.04</v>
          </cell>
          <cell r="D1572" t="str">
            <v>SR 7 FORK  SPRING WASHER</v>
          </cell>
        </row>
        <row r="1573">
          <cell r="C1573">
            <v>1422226</v>
          </cell>
          <cell r="D1573" t="str">
            <v>BSR 72JOCKEYPULLOY materi</v>
          </cell>
        </row>
        <row r="1574">
          <cell r="C1574">
            <v>1422227</v>
          </cell>
          <cell r="D1574" t="str">
            <v>SR 71JOCKEYPULLOY materi</v>
          </cell>
        </row>
        <row r="1575">
          <cell r="C1575">
            <v>913015</v>
          </cell>
          <cell r="D1575" t="str">
            <v>Box 75X40X75</v>
          </cell>
        </row>
        <row r="1576">
          <cell r="C1576">
            <v>1422228</v>
          </cell>
          <cell r="D1576" t="str">
            <v>BSR 71 JOCKEYPULLEY Mater</v>
          </cell>
        </row>
        <row r="1577">
          <cell r="C1577">
            <v>104229</v>
          </cell>
          <cell r="D1577" t="str">
            <v>W 324134                F</v>
          </cell>
        </row>
        <row r="1578">
          <cell r="C1578">
            <v>1422229</v>
          </cell>
          <cell r="D1578" t="str">
            <v>W 324134  ROUND MATERIAL</v>
          </cell>
        </row>
        <row r="1579">
          <cell r="C1579">
            <v>104230</v>
          </cell>
          <cell r="D1579" t="str">
            <v>W 324132                F</v>
          </cell>
        </row>
        <row r="1580">
          <cell r="C1580">
            <v>104231</v>
          </cell>
          <cell r="D1580" t="str">
            <v>W 394122                F</v>
          </cell>
        </row>
        <row r="1581">
          <cell r="C1581">
            <v>208232</v>
          </cell>
          <cell r="D1581" t="str">
            <v>OR J 232(9904)          F</v>
          </cell>
        </row>
        <row r="1582">
          <cell r="C1582">
            <v>104232</v>
          </cell>
          <cell r="D1582" t="str">
            <v>IR J 232(9904)          F</v>
          </cell>
        </row>
        <row r="1583">
          <cell r="C1583">
            <v>208232</v>
          </cell>
          <cell r="D1583" t="str">
            <v>OR J 232(9904)          F</v>
          </cell>
        </row>
        <row r="1584">
          <cell r="C1584">
            <v>104232</v>
          </cell>
          <cell r="D1584" t="str">
            <v>IR J 232(9904)          F</v>
          </cell>
        </row>
        <row r="1585">
          <cell r="C1585">
            <v>208233</v>
          </cell>
          <cell r="D1585" t="str">
            <v>OR J 233(9903)          F</v>
          </cell>
        </row>
        <row r="1586">
          <cell r="C1586">
            <v>104233</v>
          </cell>
          <cell r="D1586" t="str">
            <v>IR J 233(9903)          F</v>
          </cell>
        </row>
        <row r="1587">
          <cell r="C1587">
            <v>208233</v>
          </cell>
          <cell r="D1587" t="str">
            <v>OR J 233(9903)          F</v>
          </cell>
        </row>
        <row r="1588">
          <cell r="C1588">
            <v>104233</v>
          </cell>
          <cell r="D1588" t="str">
            <v>IR J 233(9903)          F</v>
          </cell>
        </row>
        <row r="1589">
          <cell r="C1589">
            <v>104234</v>
          </cell>
          <cell r="D1589" t="str">
            <v>BALL.PHS 30             F</v>
          </cell>
        </row>
        <row r="1590">
          <cell r="C1590">
            <v>1224234.01</v>
          </cell>
          <cell r="D1590" t="str">
            <v>FORGING STADE.PHS 30</v>
          </cell>
        </row>
        <row r="1591">
          <cell r="C1591">
            <v>208234</v>
          </cell>
          <cell r="D1591" t="str">
            <v>STADE.PHS 30            F</v>
          </cell>
        </row>
        <row r="1592">
          <cell r="C1592">
            <v>612234</v>
          </cell>
          <cell r="D1592" t="str">
            <v>NIPPLE PHS 30</v>
          </cell>
        </row>
        <row r="1593">
          <cell r="C1593">
            <v>717234</v>
          </cell>
          <cell r="D1593" t="str">
            <v>BRASS SLIVE PHS 30</v>
          </cell>
        </row>
        <row r="1594">
          <cell r="C1594">
            <v>104234</v>
          </cell>
          <cell r="D1594" t="str">
            <v>BALL.PHS 30             F</v>
          </cell>
        </row>
        <row r="1595">
          <cell r="C1595">
            <v>1224234.01</v>
          </cell>
          <cell r="D1595" t="str">
            <v>FORGING STADE.PHS 30</v>
          </cell>
        </row>
        <row r="1596">
          <cell r="C1596">
            <v>208234</v>
          </cell>
          <cell r="D1596" t="str">
            <v>STADE.PHS 30            F</v>
          </cell>
        </row>
        <row r="1597">
          <cell r="C1597">
            <v>612234</v>
          </cell>
          <cell r="D1597" t="str">
            <v>NIPPLE PHS 30</v>
          </cell>
        </row>
        <row r="1598">
          <cell r="C1598">
            <v>717234</v>
          </cell>
          <cell r="D1598" t="str">
            <v>BRASS SLIVE PHS 30</v>
          </cell>
        </row>
        <row r="1599">
          <cell r="C1599">
            <v>104235</v>
          </cell>
          <cell r="D1599" t="str">
            <v>VCF.STADE 4 1/2         F</v>
          </cell>
        </row>
        <row r="1600">
          <cell r="C1600">
            <v>208235</v>
          </cell>
          <cell r="D1600" t="str">
            <v>VCF.OR 4 1/2            F</v>
          </cell>
        </row>
        <row r="1601">
          <cell r="C1601">
            <v>309235</v>
          </cell>
          <cell r="D1601" t="str">
            <v>BEARING LM67048/10</v>
          </cell>
        </row>
        <row r="1602">
          <cell r="C1602">
            <v>717235</v>
          </cell>
          <cell r="D1602" t="str">
            <v>VCF.CUTW DIA(61.5) 4 1/2</v>
          </cell>
        </row>
        <row r="1603">
          <cell r="C1603">
            <v>717235.01</v>
          </cell>
          <cell r="D1603" t="str">
            <v>VCF.CUTW DIA(32.2) 4 1/2</v>
          </cell>
        </row>
        <row r="1604">
          <cell r="C1604">
            <v>717235.02</v>
          </cell>
          <cell r="D1604" t="str">
            <v>VCF.W DIA(44.45)4 1/2</v>
          </cell>
        </row>
        <row r="1605">
          <cell r="C1605">
            <v>717235.03</v>
          </cell>
          <cell r="D1605" t="str">
            <v>VCF.CUPW DIA(64.250)4 1/2</v>
          </cell>
        </row>
        <row r="1606">
          <cell r="C1606">
            <v>717235.04</v>
          </cell>
          <cell r="D1606" t="str">
            <v>VCF.RUBBER SEAL4 1/2</v>
          </cell>
        </row>
        <row r="1607">
          <cell r="C1607">
            <v>913032</v>
          </cell>
          <cell r="D1607" t="str">
            <v>BOX 139X139X121(VCI 41/2)</v>
          </cell>
        </row>
        <row r="1608">
          <cell r="C1608">
            <v>104236</v>
          </cell>
          <cell r="D1608" t="str">
            <v>IR.D07026 REV.03        F</v>
          </cell>
        </row>
        <row r="1609">
          <cell r="C1609">
            <v>208237</v>
          </cell>
          <cell r="D1609" t="str">
            <v>OR.D0147/D07026         F</v>
          </cell>
        </row>
        <row r="1610">
          <cell r="C1610">
            <v>309237</v>
          </cell>
          <cell r="D1610" t="str">
            <v>NCG.D01470/D07026</v>
          </cell>
        </row>
        <row r="1611">
          <cell r="C1611">
            <v>511237</v>
          </cell>
          <cell r="D1611" t="str">
            <v>BALL 17/32" (IS:2898-1976</v>
          </cell>
        </row>
        <row r="1612">
          <cell r="C1612">
            <v>5221201.0599999996</v>
          </cell>
          <cell r="D1612" t="str">
            <v>O G PETAMO GY 193(KLUBER)</v>
          </cell>
        </row>
        <row r="1613">
          <cell r="C1613">
            <v>717236</v>
          </cell>
          <cell r="D1613" t="str">
            <v>SEAL.FKM D07026</v>
          </cell>
        </row>
        <row r="1614">
          <cell r="C1614">
            <v>913064</v>
          </cell>
          <cell r="D1614" t="str">
            <v>BOX 131X45mm 3ply</v>
          </cell>
        </row>
        <row r="1615">
          <cell r="C1615">
            <v>104236.01</v>
          </cell>
          <cell r="D1615" t="str">
            <v>IR.D07026 REV.02        G</v>
          </cell>
        </row>
        <row r="1616">
          <cell r="C1616">
            <v>208237</v>
          </cell>
          <cell r="D1616" t="str">
            <v>OR.D0147/D07026         F</v>
          </cell>
        </row>
        <row r="1617">
          <cell r="C1617">
            <v>309237</v>
          </cell>
          <cell r="D1617" t="str">
            <v>NCG.D01470/D07026</v>
          </cell>
        </row>
        <row r="1618">
          <cell r="C1618">
            <v>511237</v>
          </cell>
          <cell r="D1618" t="str">
            <v>BALL 17/32" (IS:2898-1976</v>
          </cell>
        </row>
        <row r="1619">
          <cell r="C1619">
            <v>5221201.0599999996</v>
          </cell>
          <cell r="D1619" t="str">
            <v>O G PETAMO GY 193(KLUBER)</v>
          </cell>
        </row>
        <row r="1620">
          <cell r="C1620">
            <v>717236</v>
          </cell>
          <cell r="D1620" t="str">
            <v>SEAL.FKM D07026</v>
          </cell>
        </row>
        <row r="1621">
          <cell r="C1621">
            <v>913064</v>
          </cell>
          <cell r="D1621" t="str">
            <v>BOX 131X45mm 3ply</v>
          </cell>
        </row>
        <row r="1622">
          <cell r="C1622">
            <v>104237</v>
          </cell>
          <cell r="D1622" t="str">
            <v>IR.D01470               F</v>
          </cell>
        </row>
        <row r="1623">
          <cell r="C1623">
            <v>208237</v>
          </cell>
          <cell r="D1623" t="str">
            <v>OR.D0147/D07026         F</v>
          </cell>
        </row>
        <row r="1624">
          <cell r="C1624">
            <v>309237</v>
          </cell>
          <cell r="D1624" t="str">
            <v>NCG.D01470/D07026</v>
          </cell>
        </row>
        <row r="1625">
          <cell r="C1625">
            <v>511237</v>
          </cell>
          <cell r="D1625" t="str">
            <v>BALL 17/32" (IS:2898-1976</v>
          </cell>
        </row>
        <row r="1626">
          <cell r="C1626">
            <v>5221201.0599999996</v>
          </cell>
          <cell r="D1626" t="str">
            <v>O G PETAMO GY 193(KLUBER)</v>
          </cell>
        </row>
        <row r="1627">
          <cell r="C1627">
            <v>717237</v>
          </cell>
          <cell r="D1627" t="str">
            <v>SEAL.NBR D01470</v>
          </cell>
        </row>
        <row r="1628">
          <cell r="C1628">
            <v>913065</v>
          </cell>
          <cell r="D1628" t="str">
            <v>BOX 151X50mm 3ply</v>
          </cell>
        </row>
        <row r="1629">
          <cell r="C1629">
            <v>104237</v>
          </cell>
          <cell r="D1629" t="str">
            <v>IR.D01470               F</v>
          </cell>
        </row>
        <row r="1630">
          <cell r="C1630">
            <v>208237</v>
          </cell>
          <cell r="D1630" t="str">
            <v>OR.D0147/D07026         F</v>
          </cell>
        </row>
        <row r="1631">
          <cell r="C1631">
            <v>309237</v>
          </cell>
          <cell r="D1631" t="str">
            <v>NCG.D01470/D07026</v>
          </cell>
        </row>
        <row r="1632">
          <cell r="C1632">
            <v>511237</v>
          </cell>
          <cell r="D1632" t="str">
            <v>BALL 17/32" (IS:2898-1976</v>
          </cell>
        </row>
        <row r="1633">
          <cell r="C1633">
            <v>5221201.0599999996</v>
          </cell>
          <cell r="D1633" t="str">
            <v>O G PETAMO GY 193(KLUBER)</v>
          </cell>
        </row>
        <row r="1634">
          <cell r="C1634">
            <v>717237</v>
          </cell>
          <cell r="D1634" t="str">
            <v>SEAL.NBR D01470</v>
          </cell>
        </row>
        <row r="1635">
          <cell r="C1635">
            <v>913065</v>
          </cell>
          <cell r="D1635" t="str">
            <v>BOX 151X50mm 3ply</v>
          </cell>
        </row>
        <row r="1636">
          <cell r="C1636">
            <v>104238</v>
          </cell>
          <cell r="D1636" t="str">
            <v>J.IR 238                F</v>
          </cell>
        </row>
        <row r="1637">
          <cell r="C1637">
            <v>208238</v>
          </cell>
          <cell r="D1637" t="str">
            <v>J.OR 238                F</v>
          </cell>
        </row>
        <row r="1638">
          <cell r="C1638">
            <v>309238</v>
          </cell>
          <cell r="D1638" t="str">
            <v>J.MCG 238</v>
          </cell>
        </row>
        <row r="1639">
          <cell r="C1639">
            <v>511197</v>
          </cell>
          <cell r="D1639" t="str">
            <v>BALL 9/32"</v>
          </cell>
        </row>
        <row r="1640">
          <cell r="C1640">
            <v>612238</v>
          </cell>
          <cell r="D1640" t="str">
            <v>GRUB SCRRES UNF 1/4X1/4</v>
          </cell>
        </row>
        <row r="1641">
          <cell r="C1641">
            <v>717238</v>
          </cell>
          <cell r="D1641" t="str">
            <v>J.SEAL 238</v>
          </cell>
        </row>
        <row r="1642">
          <cell r="C1642">
            <v>717238.01</v>
          </cell>
          <cell r="D1642" t="str">
            <v>ECCENTRIC COLLAR J 238</v>
          </cell>
        </row>
        <row r="1643">
          <cell r="C1643">
            <v>104239</v>
          </cell>
          <cell r="D1643" t="str">
            <v>J.IR 239(GB 41073)      F</v>
          </cell>
        </row>
        <row r="1644">
          <cell r="C1644">
            <v>208239</v>
          </cell>
          <cell r="D1644" t="str">
            <v>J.OR 239(GB 41073)      F</v>
          </cell>
        </row>
        <row r="1645">
          <cell r="C1645">
            <v>309239</v>
          </cell>
          <cell r="D1645" t="str">
            <v>J.NCG 239(GB 41073)</v>
          </cell>
        </row>
        <row r="1646">
          <cell r="C1646">
            <v>511192</v>
          </cell>
          <cell r="D1646" t="str">
            <v>BALL 1/2" (IS:2898-1976)</v>
          </cell>
        </row>
        <row r="1647">
          <cell r="C1647">
            <v>717239</v>
          </cell>
          <cell r="D1647" t="str">
            <v>WASHER GB 41073</v>
          </cell>
        </row>
        <row r="1648">
          <cell r="C1648">
            <v>104207</v>
          </cell>
          <cell r="D1648" t="str">
            <v>CF.STADE 20</v>
          </cell>
        </row>
        <row r="1649">
          <cell r="C1649">
            <v>208240</v>
          </cell>
          <cell r="D1649" t="str">
            <v>CF.OR 20-1              F</v>
          </cell>
        </row>
        <row r="1650">
          <cell r="C1650">
            <v>309207</v>
          </cell>
          <cell r="D1650" t="str">
            <v>CF.MCG 20</v>
          </cell>
        </row>
        <row r="1651">
          <cell r="C1651">
            <v>511481</v>
          </cell>
          <cell r="D1651" t="str">
            <v>RO 2.5X14.8</v>
          </cell>
        </row>
        <row r="1652">
          <cell r="C1652">
            <v>717207</v>
          </cell>
          <cell r="D1652" t="str">
            <v>CF.NUT 20</v>
          </cell>
        </row>
        <row r="1653">
          <cell r="C1653">
            <v>717207.01</v>
          </cell>
          <cell r="D1653" t="str">
            <v>CF.WASHER 20</v>
          </cell>
        </row>
        <row r="1654">
          <cell r="C1654">
            <v>717207.02</v>
          </cell>
          <cell r="D1654" t="str">
            <v>CF.RUBBER RING 20</v>
          </cell>
        </row>
        <row r="1655">
          <cell r="C1655">
            <v>104241</v>
          </cell>
          <cell r="D1655" t="str">
            <v>CF.STADE 24             F</v>
          </cell>
        </row>
        <row r="1656">
          <cell r="C1656">
            <v>208241</v>
          </cell>
          <cell r="D1656" t="str">
            <v>CF.OR 24                F</v>
          </cell>
        </row>
        <row r="1657">
          <cell r="C1657">
            <v>309241</v>
          </cell>
          <cell r="D1657" t="str">
            <v>CF.MCG 24</v>
          </cell>
        </row>
        <row r="1658">
          <cell r="C1658">
            <v>511241</v>
          </cell>
          <cell r="D1658" t="str">
            <v>RO 3X18.8</v>
          </cell>
        </row>
        <row r="1659">
          <cell r="C1659">
            <v>717241</v>
          </cell>
          <cell r="D1659" t="str">
            <v>CF.NUT 24(M24)</v>
          </cell>
        </row>
        <row r="1660">
          <cell r="C1660">
            <v>717241.01</v>
          </cell>
          <cell r="D1660" t="str">
            <v>CF.WASHER 24</v>
          </cell>
        </row>
        <row r="1661">
          <cell r="C1661">
            <v>717241.02</v>
          </cell>
          <cell r="D1661" t="str">
            <v>CF.RUBBER WASHER 24</v>
          </cell>
        </row>
        <row r="1662">
          <cell r="C1662">
            <v>104241</v>
          </cell>
          <cell r="D1662" t="str">
            <v>CF.STADE 24             F</v>
          </cell>
        </row>
        <row r="1663">
          <cell r="C1663">
            <v>208242</v>
          </cell>
          <cell r="D1663" t="str">
            <v>CF.OR 24-1              F</v>
          </cell>
        </row>
        <row r="1664">
          <cell r="C1664">
            <v>309241</v>
          </cell>
          <cell r="D1664" t="str">
            <v>CF.MCG 24</v>
          </cell>
        </row>
        <row r="1665">
          <cell r="C1665">
            <v>511241</v>
          </cell>
          <cell r="D1665" t="str">
            <v>RO 3X18.8</v>
          </cell>
        </row>
        <row r="1666">
          <cell r="C1666">
            <v>717241</v>
          </cell>
          <cell r="D1666" t="str">
            <v>CF.NUT 24(M24)</v>
          </cell>
        </row>
        <row r="1667">
          <cell r="C1667">
            <v>717241.01</v>
          </cell>
          <cell r="D1667" t="str">
            <v>CF.WASHER 24</v>
          </cell>
        </row>
        <row r="1668">
          <cell r="C1668">
            <v>717241.02</v>
          </cell>
          <cell r="D1668" t="str">
            <v>CF.RUBBER WASHER 24</v>
          </cell>
        </row>
        <row r="1669">
          <cell r="C1669">
            <v>104243</v>
          </cell>
          <cell r="D1669" t="str">
            <v>CF.STADE 30             F</v>
          </cell>
        </row>
        <row r="1670">
          <cell r="C1670">
            <v>208243</v>
          </cell>
          <cell r="D1670" t="str">
            <v>CF.OR 30                F</v>
          </cell>
        </row>
        <row r="1671">
          <cell r="C1671">
            <v>309243</v>
          </cell>
          <cell r="D1671" t="str">
            <v>CF.MCG 30</v>
          </cell>
        </row>
        <row r="1672">
          <cell r="C1672">
            <v>511243</v>
          </cell>
          <cell r="D1672" t="str">
            <v>RO 3.5X23.8</v>
          </cell>
        </row>
        <row r="1673">
          <cell r="C1673">
            <v>717243</v>
          </cell>
          <cell r="D1673" t="str">
            <v>CF.NUT 30(M30)</v>
          </cell>
        </row>
        <row r="1674">
          <cell r="C1674">
            <v>717243.01</v>
          </cell>
          <cell r="D1674" t="str">
            <v>CF.WASHER 30</v>
          </cell>
        </row>
        <row r="1675">
          <cell r="C1675">
            <v>717243.02</v>
          </cell>
          <cell r="D1675" t="str">
            <v>CF.RUBBER WASHER 30</v>
          </cell>
        </row>
        <row r="1676">
          <cell r="C1676">
            <v>104243</v>
          </cell>
          <cell r="D1676" t="str">
            <v>CF.STADE 30             F</v>
          </cell>
        </row>
        <row r="1677">
          <cell r="C1677">
            <v>208244</v>
          </cell>
          <cell r="D1677" t="str">
            <v>CF.OR 30-1              F</v>
          </cell>
        </row>
        <row r="1678">
          <cell r="C1678">
            <v>309243</v>
          </cell>
          <cell r="D1678" t="str">
            <v>CF.MCG 30</v>
          </cell>
        </row>
        <row r="1679">
          <cell r="C1679">
            <v>511243</v>
          </cell>
          <cell r="D1679" t="str">
            <v>RO 3.5X23.8</v>
          </cell>
        </row>
        <row r="1680">
          <cell r="C1680">
            <v>717243</v>
          </cell>
          <cell r="D1680" t="str">
            <v>CF.NUT 30(M30)</v>
          </cell>
        </row>
        <row r="1681">
          <cell r="C1681">
            <v>717243.01</v>
          </cell>
          <cell r="D1681" t="str">
            <v>CF.WASHER 30</v>
          </cell>
        </row>
        <row r="1682">
          <cell r="C1682">
            <v>717243.02</v>
          </cell>
          <cell r="D1682" t="str">
            <v>CF.RUBBER WASHER 30</v>
          </cell>
        </row>
        <row r="1683">
          <cell r="C1683">
            <v>104245</v>
          </cell>
          <cell r="D1683" t="str">
            <v>IR.207 RR2              F</v>
          </cell>
        </row>
        <row r="1684">
          <cell r="C1684">
            <v>208245</v>
          </cell>
          <cell r="D1684" t="str">
            <v>OR.207 RR2              F</v>
          </cell>
        </row>
        <row r="1685">
          <cell r="C1685">
            <v>309245</v>
          </cell>
          <cell r="D1685" t="str">
            <v>NCG.207 YY2</v>
          </cell>
        </row>
        <row r="1686">
          <cell r="C1686">
            <v>511193</v>
          </cell>
          <cell r="D1686" t="str">
            <v>BALL 7/16"(IS:2898-1976)</v>
          </cell>
        </row>
        <row r="1687">
          <cell r="C1687">
            <v>5221247</v>
          </cell>
          <cell r="D1687" t="str">
            <v>O G SHELL GADUS S2 V100 3</v>
          </cell>
        </row>
        <row r="1688">
          <cell r="C1688">
            <v>5221247.01</v>
          </cell>
        </row>
        <row r="1689">
          <cell r="C1689">
            <v>717245</v>
          </cell>
          <cell r="D1689" t="str">
            <v>SEAL.207 RR2</v>
          </cell>
        </row>
        <row r="1690">
          <cell r="C1690">
            <v>913023</v>
          </cell>
          <cell r="D1690" t="str">
            <v>Box 75X25X75</v>
          </cell>
        </row>
        <row r="1691">
          <cell r="C1691">
            <v>104246</v>
          </cell>
          <cell r="D1691" t="str">
            <v>IR. 208 YY2             F</v>
          </cell>
        </row>
        <row r="1692">
          <cell r="C1692">
            <v>208246</v>
          </cell>
          <cell r="D1692" t="str">
            <v>OR. 208 YY2             F</v>
          </cell>
        </row>
        <row r="1693">
          <cell r="C1693">
            <v>309246</v>
          </cell>
          <cell r="D1693" t="str">
            <v>NCG.208 YY2</v>
          </cell>
        </row>
        <row r="1694">
          <cell r="C1694">
            <v>511192</v>
          </cell>
          <cell r="D1694" t="str">
            <v>BALL 1/2" (IS:2898-1976)</v>
          </cell>
        </row>
        <row r="1695">
          <cell r="C1695">
            <v>5221247</v>
          </cell>
          <cell r="D1695" t="str">
            <v>O G SHELL GADUS S2 V100 3</v>
          </cell>
        </row>
        <row r="1696">
          <cell r="C1696">
            <v>5221247.01</v>
          </cell>
        </row>
        <row r="1697">
          <cell r="C1697">
            <v>717246</v>
          </cell>
          <cell r="D1697" t="str">
            <v>SEAL.208 YY2</v>
          </cell>
        </row>
        <row r="1698">
          <cell r="C1698">
            <v>913024</v>
          </cell>
          <cell r="D1698" t="str">
            <v>Box 85X25X85</v>
          </cell>
        </row>
        <row r="1699">
          <cell r="C1699">
            <v>104246.01</v>
          </cell>
          <cell r="D1699" t="str">
            <v>IR. 408021              F</v>
          </cell>
        </row>
        <row r="1700">
          <cell r="C1700">
            <v>208246</v>
          </cell>
          <cell r="D1700" t="str">
            <v>OR. 208 YY2             F</v>
          </cell>
        </row>
        <row r="1701">
          <cell r="C1701">
            <v>309246</v>
          </cell>
          <cell r="D1701" t="str">
            <v>NCG.208 YY2</v>
          </cell>
        </row>
        <row r="1702">
          <cell r="C1702">
            <v>511192</v>
          </cell>
          <cell r="D1702" t="str">
            <v>BALL 1/2" (IS:2898-1976)</v>
          </cell>
        </row>
        <row r="1703">
          <cell r="C1703">
            <v>5221247</v>
          </cell>
          <cell r="D1703" t="str">
            <v>O G SHELL GADUS S2 V100 3</v>
          </cell>
        </row>
        <row r="1704">
          <cell r="C1704">
            <v>5221247.01</v>
          </cell>
        </row>
        <row r="1705">
          <cell r="C1705">
            <v>717246</v>
          </cell>
          <cell r="D1705" t="str">
            <v>SEAL.208 YY2</v>
          </cell>
        </row>
        <row r="1706">
          <cell r="C1706">
            <v>913024</v>
          </cell>
          <cell r="D1706" t="str">
            <v>Box 85X25X85</v>
          </cell>
        </row>
        <row r="1707">
          <cell r="C1707">
            <v>104247</v>
          </cell>
          <cell r="D1707" t="str">
            <v>IR.209 YY2              F</v>
          </cell>
        </row>
        <row r="1708">
          <cell r="C1708">
            <v>208247</v>
          </cell>
          <cell r="D1708" t="str">
            <v>OR.209 YY2              F</v>
          </cell>
        </row>
        <row r="1709">
          <cell r="C1709">
            <v>309247</v>
          </cell>
          <cell r="D1709" t="str">
            <v>NCG 209 YY</v>
          </cell>
        </row>
        <row r="1710">
          <cell r="C1710">
            <v>511192</v>
          </cell>
          <cell r="D1710" t="str">
            <v>BALL 1/2" (IS:2898-1976)</v>
          </cell>
        </row>
        <row r="1711">
          <cell r="C1711">
            <v>5221247</v>
          </cell>
          <cell r="D1711" t="str">
            <v>O G SHELL GADUS S2 V100 3</v>
          </cell>
        </row>
        <row r="1712">
          <cell r="C1712">
            <v>5221247.01</v>
          </cell>
        </row>
        <row r="1713">
          <cell r="C1713">
            <v>717247</v>
          </cell>
          <cell r="D1713" t="str">
            <v>SEAL.209 YY2</v>
          </cell>
        </row>
        <row r="1714">
          <cell r="C1714">
            <v>913024</v>
          </cell>
          <cell r="D1714" t="str">
            <v>Box 85X25X85</v>
          </cell>
        </row>
        <row r="1715">
          <cell r="C1715">
            <v>913026</v>
          </cell>
          <cell r="D1715" t="str">
            <v>Box 95X25X95</v>
          </cell>
        </row>
        <row r="1716">
          <cell r="C1716">
            <v>208248</v>
          </cell>
          <cell r="D1716" t="str">
            <v>OW-BDA-4002             F</v>
          </cell>
        </row>
        <row r="1717">
          <cell r="C1717">
            <v>104248</v>
          </cell>
          <cell r="D1717" t="str">
            <v>IW-BDA-4002             F</v>
          </cell>
        </row>
        <row r="1718">
          <cell r="C1718">
            <v>208249</v>
          </cell>
          <cell r="D1718" t="str">
            <v>OW-BDA-4003             F</v>
          </cell>
        </row>
        <row r="1719">
          <cell r="C1719">
            <v>104249</v>
          </cell>
          <cell r="D1719" t="str">
            <v>IW-BDA-4003             F</v>
          </cell>
        </row>
        <row r="1720">
          <cell r="C1720">
            <v>208250</v>
          </cell>
          <cell r="D1720" t="str">
            <v>324015 (BALL CUP SMALL) F</v>
          </cell>
        </row>
        <row r="1721">
          <cell r="C1721">
            <v>208250.01</v>
          </cell>
          <cell r="D1721" t="str">
            <v>324019 (BALL CUP BIG)   F</v>
          </cell>
        </row>
        <row r="1722">
          <cell r="C1722">
            <v>4251.01</v>
          </cell>
        </row>
        <row r="1723">
          <cell r="C1723">
            <v>1422252</v>
          </cell>
          <cell r="D1723" t="str">
            <v>6208 MATERIAL</v>
          </cell>
        </row>
        <row r="1724">
          <cell r="C1724">
            <v>913029</v>
          </cell>
          <cell r="D1724" t="str">
            <v>BOX 85X20X85</v>
          </cell>
        </row>
        <row r="1725">
          <cell r="C1725">
            <v>1422252</v>
          </cell>
          <cell r="D1725" t="str">
            <v>6208 MATERIAL</v>
          </cell>
        </row>
        <row r="1726">
          <cell r="C1726">
            <v>1422252.08</v>
          </cell>
          <cell r="D1726" t="str">
            <v>6208 2RS MATERIA</v>
          </cell>
        </row>
        <row r="1727">
          <cell r="C1727">
            <v>1422252.09</v>
          </cell>
          <cell r="D1727" t="str">
            <v>6209 2RS MATERIAL</v>
          </cell>
        </row>
        <row r="1728">
          <cell r="C1728">
            <v>1422252.1</v>
          </cell>
          <cell r="D1728" t="str">
            <v>6208 ZZ NR MATERIAL</v>
          </cell>
        </row>
        <row r="1729">
          <cell r="C1729">
            <v>1422252</v>
          </cell>
          <cell r="D1729" t="str">
            <v>6208 MATERIAL</v>
          </cell>
        </row>
        <row r="1730">
          <cell r="C1730">
            <v>1422252.08</v>
          </cell>
          <cell r="D1730" t="str">
            <v>6208 2RS MATERIA</v>
          </cell>
        </row>
        <row r="1731">
          <cell r="C1731">
            <v>1422253</v>
          </cell>
          <cell r="D1731" t="str">
            <v>6309 Material</v>
          </cell>
        </row>
        <row r="1732">
          <cell r="C1732">
            <v>913027</v>
          </cell>
          <cell r="D1732" t="str">
            <v>Box 105X30X105</v>
          </cell>
        </row>
        <row r="1733">
          <cell r="C1733">
            <v>1422253</v>
          </cell>
          <cell r="D1733" t="str">
            <v>6309 Material</v>
          </cell>
        </row>
        <row r="1734">
          <cell r="C1734">
            <v>1422253.09</v>
          </cell>
          <cell r="D1734" t="str">
            <v>6309 2RS MATERIAL</v>
          </cell>
        </row>
        <row r="1735">
          <cell r="C1735">
            <v>1422253.08</v>
          </cell>
          <cell r="D1735" t="str">
            <v>6309 2RS MATERIAL</v>
          </cell>
        </row>
        <row r="1736">
          <cell r="C1736">
            <v>1422253.08</v>
          </cell>
          <cell r="D1736" t="str">
            <v>6309 2RS MATERIAL</v>
          </cell>
        </row>
        <row r="1737">
          <cell r="C1737">
            <v>1422253.1</v>
          </cell>
          <cell r="D1737" t="str">
            <v>6309 ZZ MATERIAL</v>
          </cell>
        </row>
        <row r="1738">
          <cell r="C1738">
            <v>1422254</v>
          </cell>
          <cell r="D1738" t="str">
            <v>6011  Material</v>
          </cell>
        </row>
        <row r="1739">
          <cell r="C1739">
            <v>913030</v>
          </cell>
          <cell r="D1739" t="str">
            <v>BOX 95X20X95</v>
          </cell>
        </row>
        <row r="1740">
          <cell r="C1740">
            <v>1400254.08</v>
          </cell>
          <cell r="D1740" t="str">
            <v>6011 2RS MATERIAL</v>
          </cell>
        </row>
        <row r="1741">
          <cell r="C1741">
            <v>1400254.08</v>
          </cell>
          <cell r="D1741" t="str">
            <v>6011 2RS MATERIAL</v>
          </cell>
        </row>
        <row r="1742">
          <cell r="C1742">
            <v>1422254</v>
          </cell>
          <cell r="D1742" t="str">
            <v>6011  Material</v>
          </cell>
        </row>
        <row r="1743">
          <cell r="C1743">
            <v>1400254.08</v>
          </cell>
          <cell r="D1743" t="str">
            <v>6011 2RS MATERIAL</v>
          </cell>
        </row>
        <row r="1744">
          <cell r="C1744">
            <v>1422255</v>
          </cell>
          <cell r="D1744" t="str">
            <v>6007  Material</v>
          </cell>
        </row>
        <row r="1745">
          <cell r="C1745">
            <v>913031</v>
          </cell>
          <cell r="D1745" t="str">
            <v>BOX 67X16X67</v>
          </cell>
        </row>
        <row r="1746">
          <cell r="C1746">
            <v>1422255</v>
          </cell>
          <cell r="D1746" t="str">
            <v>6007  Material</v>
          </cell>
        </row>
        <row r="1747">
          <cell r="C1747">
            <v>1400255.08</v>
          </cell>
          <cell r="D1747" t="str">
            <v>6007 2RS MATERIAL</v>
          </cell>
        </row>
        <row r="1748">
          <cell r="C1748">
            <v>1400255.08</v>
          </cell>
          <cell r="D1748" t="str">
            <v>6007 2RS MATERIAL</v>
          </cell>
        </row>
        <row r="1749">
          <cell r="C1749">
            <v>1422255.1</v>
          </cell>
          <cell r="D1749" t="str">
            <v>6307 2RS  MATERIAL</v>
          </cell>
        </row>
        <row r="1750">
          <cell r="C1750">
            <v>1422255.2</v>
          </cell>
          <cell r="D1750" t="str">
            <v>6307 ZZ MATERIAL</v>
          </cell>
        </row>
        <row r="1751">
          <cell r="C1751">
            <v>1422255.25</v>
          </cell>
          <cell r="D1751" t="str">
            <v>6307 C3 MATERIAL</v>
          </cell>
        </row>
        <row r="1752">
          <cell r="C1752">
            <v>1400255.08</v>
          </cell>
          <cell r="D1752" t="str">
            <v>6007 2RS MATERIAL</v>
          </cell>
        </row>
        <row r="1753">
          <cell r="C1753">
            <v>1422256</v>
          </cell>
          <cell r="D1753" t="str">
            <v>6010  Material</v>
          </cell>
        </row>
        <row r="1754">
          <cell r="C1754">
            <v>1422256</v>
          </cell>
          <cell r="D1754" t="str">
            <v>6010  Material</v>
          </cell>
        </row>
        <row r="1755">
          <cell r="C1755">
            <v>104257</v>
          </cell>
          <cell r="D1755" t="str">
            <v>BAHB.IR 633528F         F</v>
          </cell>
        </row>
        <row r="1756">
          <cell r="C1756">
            <v>208257</v>
          </cell>
          <cell r="D1756" t="str">
            <v>BAHB.OR 633528F         F</v>
          </cell>
        </row>
        <row r="1757">
          <cell r="C1757">
            <v>309257</v>
          </cell>
          <cell r="D1757" t="str">
            <v>BAHB.NCG 633528F</v>
          </cell>
        </row>
        <row r="1758">
          <cell r="C1758">
            <v>511257</v>
          </cell>
          <cell r="D1758" t="str">
            <v>BALL 13/32"(IS:2898-1976)</v>
          </cell>
        </row>
        <row r="1759">
          <cell r="C1759">
            <v>717257</v>
          </cell>
          <cell r="D1759" t="str">
            <v>BAHB.SEALNYLONGRIP633528</v>
          </cell>
        </row>
        <row r="1760">
          <cell r="C1760">
            <v>717257.01</v>
          </cell>
          <cell r="D1760" t="str">
            <v>BAHB.METALSEAL633528</v>
          </cell>
        </row>
        <row r="1761">
          <cell r="C1761">
            <v>104258</v>
          </cell>
          <cell r="D1761" t="str">
            <v>IR.D01464               F</v>
          </cell>
        </row>
        <row r="1762">
          <cell r="C1762">
            <v>208258</v>
          </cell>
          <cell r="D1762" t="str">
            <v>OR.D01464               F</v>
          </cell>
        </row>
        <row r="1763">
          <cell r="C1763">
            <v>309237</v>
          </cell>
          <cell r="D1763" t="str">
            <v>NCG.D01470/D07026</v>
          </cell>
        </row>
        <row r="1764">
          <cell r="C1764">
            <v>511237</v>
          </cell>
          <cell r="D1764" t="str">
            <v>BALL 17/32" (IS:2898-1976</v>
          </cell>
        </row>
        <row r="1765">
          <cell r="C1765">
            <v>5221201.0599999996</v>
          </cell>
          <cell r="D1765" t="str">
            <v>O G PETAMO GY 193(KLUBER)</v>
          </cell>
        </row>
        <row r="1766">
          <cell r="C1766">
            <v>717237</v>
          </cell>
          <cell r="D1766" t="str">
            <v>SEAL.NBR D01470</v>
          </cell>
        </row>
        <row r="1767">
          <cell r="C1767">
            <v>104258</v>
          </cell>
          <cell r="D1767" t="str">
            <v>IR.D01464               F</v>
          </cell>
        </row>
        <row r="1768">
          <cell r="C1768">
            <v>208258</v>
          </cell>
          <cell r="D1768" t="str">
            <v>OR.D01464               F</v>
          </cell>
        </row>
        <row r="1769">
          <cell r="C1769">
            <v>104259</v>
          </cell>
          <cell r="D1769" t="str">
            <v>IR.14 00 1740           F</v>
          </cell>
        </row>
        <row r="1770">
          <cell r="C1770">
            <v>208259</v>
          </cell>
          <cell r="D1770" t="str">
            <v>OR.14 00 1740           F</v>
          </cell>
        </row>
        <row r="1771">
          <cell r="C1771">
            <v>309259</v>
          </cell>
          <cell r="D1771" t="str">
            <v>NCG.14 00 1740</v>
          </cell>
        </row>
        <row r="1772">
          <cell r="C1772">
            <v>511257</v>
          </cell>
          <cell r="D1772" t="str">
            <v>BALL 13/32"(IS:2898-1976)</v>
          </cell>
        </row>
        <row r="1773">
          <cell r="C1773">
            <v>5221247</v>
          </cell>
          <cell r="D1773" t="str">
            <v>O G SHELL GADUS S2 V100 3</v>
          </cell>
        </row>
        <row r="1774">
          <cell r="C1774">
            <v>5221247.01</v>
          </cell>
        </row>
        <row r="1775">
          <cell r="C1775">
            <v>717259</v>
          </cell>
          <cell r="D1775" t="str">
            <v>SEAL.14 00 1740</v>
          </cell>
        </row>
        <row r="1776">
          <cell r="C1776">
            <v>104260</v>
          </cell>
          <cell r="D1776" t="str">
            <v>ZARN.IR 1545            F</v>
          </cell>
        </row>
        <row r="1777">
          <cell r="C1777">
            <v>208260</v>
          </cell>
          <cell r="D1777" t="str">
            <v>ZARN.OR 1545            F</v>
          </cell>
        </row>
        <row r="1778">
          <cell r="C1778">
            <v>100261</v>
          </cell>
          <cell r="D1778" t="str">
            <v>IR.211 YY4</v>
          </cell>
        </row>
        <row r="1779">
          <cell r="C1779">
            <v>200261</v>
          </cell>
          <cell r="D1779" t="str">
            <v>OR.211 YY4</v>
          </cell>
        </row>
        <row r="1780">
          <cell r="C1780">
            <v>300261</v>
          </cell>
          <cell r="D1780" t="str">
            <v>NCG.211 YY4</v>
          </cell>
        </row>
        <row r="1781">
          <cell r="C1781">
            <v>511257</v>
          </cell>
          <cell r="D1781" t="str">
            <v>BALL 13/32"(IS:2898-1976)</v>
          </cell>
        </row>
        <row r="1782">
          <cell r="C1782">
            <v>5221247</v>
          </cell>
          <cell r="D1782" t="str">
            <v>O G SHELL GADUS S2 V100 3</v>
          </cell>
        </row>
        <row r="1783">
          <cell r="C1783">
            <v>700261</v>
          </cell>
          <cell r="D1783" t="str">
            <v>SEAL.211 YY4 2RS</v>
          </cell>
        </row>
        <row r="1784">
          <cell r="C1784">
            <v>700261.01</v>
          </cell>
          <cell r="D1784" t="str">
            <v>SEAL.211 YY4 2BRS</v>
          </cell>
        </row>
        <row r="1785">
          <cell r="C1785">
            <v>100261</v>
          </cell>
          <cell r="D1785" t="str">
            <v>IR.211 YY4</v>
          </cell>
        </row>
        <row r="1786">
          <cell r="C1786">
            <v>200261</v>
          </cell>
          <cell r="D1786" t="str">
            <v>OR.211 YY4</v>
          </cell>
        </row>
        <row r="1787">
          <cell r="C1787">
            <v>300261</v>
          </cell>
          <cell r="D1787" t="str">
            <v>NCG.211 YY4</v>
          </cell>
        </row>
        <row r="1788">
          <cell r="C1788">
            <v>511257</v>
          </cell>
          <cell r="D1788" t="str">
            <v>BALL 13/32"(IS:2898-1976)</v>
          </cell>
        </row>
        <row r="1789">
          <cell r="C1789">
            <v>5221247</v>
          </cell>
          <cell r="D1789" t="str">
            <v>O G SHELL GADUS S2 V100 3</v>
          </cell>
        </row>
        <row r="1790">
          <cell r="C1790">
            <v>700261</v>
          </cell>
          <cell r="D1790" t="str">
            <v>SEAL.211 YY4 2RS</v>
          </cell>
        </row>
        <row r="1791">
          <cell r="C1791">
            <v>700261.01</v>
          </cell>
          <cell r="D1791" t="str">
            <v>SEAL.211 YY4 2BRS</v>
          </cell>
        </row>
        <row r="1792">
          <cell r="C1792">
            <v>100262</v>
          </cell>
          <cell r="D1792" t="str">
            <v>IR.214 YY4</v>
          </cell>
        </row>
        <row r="1793">
          <cell r="C1793">
            <v>100262</v>
          </cell>
          <cell r="D1793" t="str">
            <v>IR.214 YY4</v>
          </cell>
        </row>
        <row r="1794">
          <cell r="C1794">
            <v>200264</v>
          </cell>
          <cell r="D1794" t="str">
            <v>OR.215 YY4</v>
          </cell>
        </row>
        <row r="1795">
          <cell r="C1795">
            <v>200264</v>
          </cell>
          <cell r="D1795" t="str">
            <v>OR.215 YY4</v>
          </cell>
        </row>
        <row r="1796">
          <cell r="C1796">
            <v>300264</v>
          </cell>
          <cell r="D1796" t="str">
            <v>NCG.215 YY4</v>
          </cell>
        </row>
        <row r="1797">
          <cell r="C1797">
            <v>300264</v>
          </cell>
          <cell r="D1797" t="str">
            <v>NCG.215 YY4</v>
          </cell>
        </row>
        <row r="1798">
          <cell r="C1798">
            <v>511181</v>
          </cell>
          <cell r="D1798" t="str">
            <v>BALL 15/32"(IS:2898-1976)</v>
          </cell>
        </row>
        <row r="1799">
          <cell r="C1799">
            <v>511181</v>
          </cell>
          <cell r="D1799" t="str">
            <v>BALL 15/32"(IS:2898-1976)</v>
          </cell>
        </row>
        <row r="1800">
          <cell r="C1800">
            <v>5221247</v>
          </cell>
          <cell r="D1800" t="str">
            <v>O G SHELL GADUS S2 V100 3</v>
          </cell>
        </row>
        <row r="1801">
          <cell r="C1801">
            <v>5221247</v>
          </cell>
          <cell r="D1801" t="str">
            <v>O G SHELL GADUS S2 V100 3</v>
          </cell>
        </row>
        <row r="1802">
          <cell r="C1802">
            <v>700262</v>
          </cell>
          <cell r="D1802" t="str">
            <v>SEAL.214 YY4 BOTTOM</v>
          </cell>
        </row>
        <row r="1803">
          <cell r="C1803">
            <v>700262.1</v>
          </cell>
          <cell r="D1803" t="str">
            <v>SEAL.214 YY4 TOP</v>
          </cell>
        </row>
        <row r="1804">
          <cell r="C1804">
            <v>700264</v>
          </cell>
          <cell r="D1804" t="str">
            <v>SEAL.215 YY4 BOTTOM</v>
          </cell>
        </row>
        <row r="1805">
          <cell r="C1805">
            <v>700264.1</v>
          </cell>
          <cell r="D1805" t="str">
            <v>SEAL.215 YY4 TOP</v>
          </cell>
        </row>
        <row r="1806">
          <cell r="C1806">
            <v>100263</v>
          </cell>
          <cell r="D1806" t="str">
            <v>IR.62211 2RS</v>
          </cell>
        </row>
        <row r="1807">
          <cell r="C1807">
            <v>1422263</v>
          </cell>
          <cell r="D1807" t="str">
            <v>62211 2RS MATERIAL</v>
          </cell>
        </row>
        <row r="1808">
          <cell r="C1808">
            <v>200263</v>
          </cell>
          <cell r="D1808" t="str">
            <v>OR.62211 2RS</v>
          </cell>
        </row>
        <row r="1809">
          <cell r="C1809">
            <v>300263</v>
          </cell>
          <cell r="D1809" t="str">
            <v>NCG.62211 2RS</v>
          </cell>
        </row>
        <row r="1810">
          <cell r="C1810">
            <v>511357</v>
          </cell>
          <cell r="D1810" t="str">
            <v>BALL 9/16" (IS:2898-1976)</v>
          </cell>
        </row>
        <row r="1811">
          <cell r="C1811">
            <v>5221247</v>
          </cell>
          <cell r="D1811" t="str">
            <v>O G SHELL GADUS S2 V100 3</v>
          </cell>
        </row>
        <row r="1812">
          <cell r="C1812">
            <v>700263</v>
          </cell>
          <cell r="D1812" t="str">
            <v>SEAL.62211 2RS</v>
          </cell>
        </row>
        <row r="1813">
          <cell r="C1813">
            <v>1422263</v>
          </cell>
          <cell r="D1813" t="str">
            <v>62211 2RS MATERIAL</v>
          </cell>
        </row>
        <row r="1814">
          <cell r="C1814">
            <v>100264</v>
          </cell>
          <cell r="D1814" t="str">
            <v>IR.215 YY4</v>
          </cell>
        </row>
        <row r="1815">
          <cell r="C1815">
            <v>100264</v>
          </cell>
          <cell r="D1815" t="str">
            <v>IR.215 YY4</v>
          </cell>
        </row>
        <row r="1816">
          <cell r="C1816">
            <v>200264</v>
          </cell>
          <cell r="D1816" t="str">
            <v>OR.215 YY4</v>
          </cell>
        </row>
        <row r="1817">
          <cell r="C1817">
            <v>200264</v>
          </cell>
          <cell r="D1817" t="str">
            <v>OR.215 YY4</v>
          </cell>
        </row>
        <row r="1818">
          <cell r="C1818">
            <v>300264</v>
          </cell>
          <cell r="D1818" t="str">
            <v>NCG.215 YY4</v>
          </cell>
        </row>
        <row r="1819">
          <cell r="C1819">
            <v>300264</v>
          </cell>
          <cell r="D1819" t="str">
            <v>NCG.215 YY4</v>
          </cell>
        </row>
        <row r="1820">
          <cell r="C1820">
            <v>511181</v>
          </cell>
          <cell r="D1820" t="str">
            <v>BALL 15/32"(IS:2898-1976)</v>
          </cell>
        </row>
        <row r="1821">
          <cell r="C1821">
            <v>511181</v>
          </cell>
          <cell r="D1821" t="str">
            <v>BALL 15/32"(IS:2898-1976)</v>
          </cell>
        </row>
        <row r="1822">
          <cell r="C1822">
            <v>5221247</v>
          </cell>
          <cell r="D1822" t="str">
            <v>O G SHELL GADUS S2 V100 3</v>
          </cell>
        </row>
        <row r="1823">
          <cell r="C1823">
            <v>5221247</v>
          </cell>
          <cell r="D1823" t="str">
            <v>O G SHELL GADUS S2 V100 3</v>
          </cell>
        </row>
        <row r="1824">
          <cell r="C1824">
            <v>700264</v>
          </cell>
          <cell r="D1824" t="str">
            <v>SEAL.215 YY4 BOTTOM</v>
          </cell>
        </row>
        <row r="1825">
          <cell r="C1825">
            <v>700264</v>
          </cell>
          <cell r="D1825" t="str">
            <v>SEAL.215 YY4 BOTTOM</v>
          </cell>
        </row>
        <row r="1826">
          <cell r="C1826">
            <v>700264.1</v>
          </cell>
          <cell r="D1826" t="str">
            <v>SEAL.215 YY4 TOP</v>
          </cell>
        </row>
        <row r="1827">
          <cell r="C1827">
            <v>700264.1</v>
          </cell>
          <cell r="D1827" t="str">
            <v>SEAL.215 YY4 TOP</v>
          </cell>
        </row>
        <row r="1828">
          <cell r="C1828">
            <v>104266</v>
          </cell>
          <cell r="D1828" t="str">
            <v>ZARN.IR 3062            F</v>
          </cell>
        </row>
        <row r="1829">
          <cell r="C1829">
            <v>208266</v>
          </cell>
          <cell r="D1829" t="str">
            <v>ZARN.OR 3062            F</v>
          </cell>
        </row>
        <row r="1830">
          <cell r="C1830">
            <v>208266.01</v>
          </cell>
          <cell r="D1830" t="str">
            <v>ZARN.WASHER 3062        F</v>
          </cell>
        </row>
        <row r="1831">
          <cell r="C1831">
            <v>309582</v>
          </cell>
          <cell r="D1831" t="str">
            <v>NCG 81107</v>
          </cell>
        </row>
        <row r="1832">
          <cell r="C1832">
            <v>309823.01</v>
          </cell>
          <cell r="D1832" t="str">
            <v>NKI.MCG 30/20(NK 35/20)</v>
          </cell>
        </row>
        <row r="1833">
          <cell r="C1833">
            <v>511410</v>
          </cell>
          <cell r="D1833" t="str">
            <v>RO 5X5 BPM</v>
          </cell>
        </row>
        <row r="1834">
          <cell r="C1834">
            <v>511819.01</v>
          </cell>
          <cell r="D1834" t="str">
            <v>RO 3X15.8</v>
          </cell>
        </row>
        <row r="1835">
          <cell r="C1835">
            <v>104268</v>
          </cell>
          <cell r="D1835" t="str">
            <v>ZARN.IR 3570            F</v>
          </cell>
        </row>
        <row r="1836">
          <cell r="C1836">
            <v>208268</v>
          </cell>
          <cell r="D1836" t="str">
            <v>ZARN.OR 3570            F</v>
          </cell>
        </row>
        <row r="1837">
          <cell r="C1837">
            <v>208268.01</v>
          </cell>
          <cell r="D1837" t="str">
            <v>ZARN.WASHER 3570        F</v>
          </cell>
        </row>
        <row r="1838">
          <cell r="C1838">
            <v>309583</v>
          </cell>
          <cell r="D1838" t="str">
            <v>NCG 81108</v>
          </cell>
        </row>
        <row r="1839">
          <cell r="C1839">
            <v>309827.01</v>
          </cell>
          <cell r="D1839" t="str">
            <v>NKI.MCG 35/20(NK 40/20)</v>
          </cell>
        </row>
        <row r="1840">
          <cell r="C1840">
            <v>511461</v>
          </cell>
          <cell r="D1840" t="str">
            <v>RO 6X6</v>
          </cell>
        </row>
        <row r="1841">
          <cell r="C1841">
            <v>511819.01</v>
          </cell>
          <cell r="D1841" t="str">
            <v>RO 3X15.8</v>
          </cell>
        </row>
        <row r="1842">
          <cell r="C1842">
            <v>104268.21</v>
          </cell>
          <cell r="D1842" t="str">
            <v>ZARF.IR 3590</v>
          </cell>
        </row>
        <row r="1843">
          <cell r="C1843">
            <v>208268.21</v>
          </cell>
          <cell r="D1843" t="str">
            <v>ZARF.OR 3590</v>
          </cell>
        </row>
        <row r="1844">
          <cell r="C1844">
            <v>208268.22</v>
          </cell>
          <cell r="D1844" t="str">
            <v>ZARF.WASHER 3590</v>
          </cell>
        </row>
        <row r="1845">
          <cell r="C1845">
            <v>309583</v>
          </cell>
          <cell r="D1845" t="str">
            <v>NCG 81108</v>
          </cell>
        </row>
        <row r="1846">
          <cell r="C1846">
            <v>309827.01</v>
          </cell>
          <cell r="D1846" t="str">
            <v>NKI.MCG 35/20(NK 40/20)</v>
          </cell>
        </row>
        <row r="1847">
          <cell r="C1847">
            <v>511461</v>
          </cell>
          <cell r="D1847" t="str">
            <v>RO 6X6</v>
          </cell>
        </row>
        <row r="1848">
          <cell r="C1848">
            <v>511819.01</v>
          </cell>
          <cell r="D1848" t="str">
            <v>RO 3X15.8</v>
          </cell>
        </row>
        <row r="1849">
          <cell r="C1849">
            <v>104270</v>
          </cell>
          <cell r="D1849" t="str">
            <v>ZARN.IR 4075            F</v>
          </cell>
        </row>
        <row r="1850">
          <cell r="C1850">
            <v>208270</v>
          </cell>
          <cell r="D1850" t="str">
            <v>ZARN.OR 4075            F</v>
          </cell>
        </row>
        <row r="1851">
          <cell r="C1851">
            <v>208270.01</v>
          </cell>
          <cell r="D1851" t="str">
            <v>ZARN.WASHER 4075        F</v>
          </cell>
        </row>
        <row r="1852">
          <cell r="C1852">
            <v>309584</v>
          </cell>
          <cell r="D1852" t="str">
            <v>NCG 81109</v>
          </cell>
        </row>
        <row r="1853">
          <cell r="C1853">
            <v>309831.01</v>
          </cell>
          <cell r="D1853" t="str">
            <v>NKI.MCG 40/20(NK 45/20)</v>
          </cell>
        </row>
        <row r="1854">
          <cell r="C1854">
            <v>511461</v>
          </cell>
          <cell r="D1854" t="str">
            <v>RO 6X6</v>
          </cell>
        </row>
        <row r="1855">
          <cell r="C1855">
            <v>511819.01</v>
          </cell>
          <cell r="D1855" t="str">
            <v>RO 3X15.8</v>
          </cell>
        </row>
        <row r="1856">
          <cell r="C1856">
            <v>104272</v>
          </cell>
          <cell r="D1856" t="str">
            <v>ZARN.IR 4580            F</v>
          </cell>
        </row>
        <row r="1857">
          <cell r="C1857">
            <v>208272</v>
          </cell>
          <cell r="D1857" t="str">
            <v>ZARN.OR 4580            F</v>
          </cell>
        </row>
        <row r="1858">
          <cell r="C1858">
            <v>208272.01</v>
          </cell>
          <cell r="D1858" t="str">
            <v>ZARN.WASHER 4580        F</v>
          </cell>
        </row>
        <row r="1859">
          <cell r="C1859">
            <v>309585</v>
          </cell>
          <cell r="D1859" t="str">
            <v>NCG 81110</v>
          </cell>
        </row>
        <row r="1860">
          <cell r="C1860">
            <v>309835.01</v>
          </cell>
          <cell r="D1860" t="str">
            <v>NKI.MCG 45/25(NK 50/25)</v>
          </cell>
        </row>
        <row r="1861">
          <cell r="C1861">
            <v>511230.01</v>
          </cell>
          <cell r="D1861" t="str">
            <v>RO 3.5X18.8</v>
          </cell>
        </row>
        <row r="1862">
          <cell r="C1862">
            <v>511461</v>
          </cell>
          <cell r="D1862" t="str">
            <v>RO 6X6</v>
          </cell>
        </row>
        <row r="1863">
          <cell r="C1863">
            <v>208272</v>
          </cell>
          <cell r="D1863" t="str">
            <v>ZARN.OR 4580            F</v>
          </cell>
        </row>
        <row r="1864">
          <cell r="C1864">
            <v>208272.01</v>
          </cell>
          <cell r="D1864" t="str">
            <v>ZARN.WASHER 4580        F</v>
          </cell>
        </row>
        <row r="1865">
          <cell r="C1865">
            <v>309585</v>
          </cell>
          <cell r="D1865" t="str">
            <v>NCG 81110</v>
          </cell>
        </row>
        <row r="1866">
          <cell r="C1866">
            <v>309835.01</v>
          </cell>
          <cell r="D1866" t="str">
            <v>NKI.MCG 45/25(NK 50/25)</v>
          </cell>
        </row>
        <row r="1867">
          <cell r="C1867">
            <v>511230.01</v>
          </cell>
          <cell r="D1867" t="str">
            <v>RO 3.5X18.8</v>
          </cell>
        </row>
        <row r="1868">
          <cell r="C1868">
            <v>511461</v>
          </cell>
          <cell r="D1868" t="str">
            <v>RO 6X6</v>
          </cell>
        </row>
        <row r="1869">
          <cell r="C1869">
            <v>104274</v>
          </cell>
          <cell r="D1869" t="str">
            <v>ZARN.IR 5090            F</v>
          </cell>
        </row>
        <row r="1870">
          <cell r="C1870">
            <v>208274</v>
          </cell>
          <cell r="D1870" t="str">
            <v>ZARN.OR 5090            F</v>
          </cell>
        </row>
        <row r="1871">
          <cell r="C1871">
            <v>208274.01</v>
          </cell>
          <cell r="D1871" t="str">
            <v>ZARN.WASHER 5090        F</v>
          </cell>
        </row>
        <row r="1872">
          <cell r="C1872">
            <v>309586</v>
          </cell>
          <cell r="D1872" t="str">
            <v>NCG 81111</v>
          </cell>
        </row>
        <row r="1873">
          <cell r="C1873">
            <v>309837.01</v>
          </cell>
          <cell r="D1873" t="str">
            <v>NKI.MCG 50/25(NK 55/25)</v>
          </cell>
        </row>
        <row r="1874">
          <cell r="C1874">
            <v>511230.01</v>
          </cell>
          <cell r="D1874" t="str">
            <v>RO 3.5X18.8</v>
          </cell>
        </row>
        <row r="1875">
          <cell r="C1875">
            <v>511586</v>
          </cell>
          <cell r="D1875" t="str">
            <v>RO 6X8</v>
          </cell>
        </row>
        <row r="1876">
          <cell r="C1876">
            <v>104275</v>
          </cell>
          <cell r="D1876" t="str">
            <v>ZARN.IR 50110           F</v>
          </cell>
        </row>
        <row r="1877">
          <cell r="C1877">
            <v>208275</v>
          </cell>
          <cell r="D1877" t="str">
            <v>ZARN.OR 50110           F</v>
          </cell>
        </row>
        <row r="1878">
          <cell r="C1878">
            <v>208275.01</v>
          </cell>
          <cell r="D1878" t="str">
            <v>ZARN.WASHER 50110       F</v>
          </cell>
        </row>
        <row r="1879">
          <cell r="C1879">
            <v>309596</v>
          </cell>
          <cell r="D1879" t="str">
            <v>NCG 81212</v>
          </cell>
        </row>
        <row r="1880">
          <cell r="C1880">
            <v>309839.01</v>
          </cell>
          <cell r="D1880" t="str">
            <v>NKI.MCG 55/25(NK 60/25)</v>
          </cell>
        </row>
        <row r="1881">
          <cell r="C1881">
            <v>511230.01</v>
          </cell>
          <cell r="D1881" t="str">
            <v>RO 3.5X18.8</v>
          </cell>
        </row>
        <row r="1882">
          <cell r="C1882">
            <v>511475</v>
          </cell>
          <cell r="D1882" t="str">
            <v>RO 11X11 BPM</v>
          </cell>
        </row>
        <row r="1883">
          <cell r="C1883">
            <v>9415</v>
          </cell>
        </row>
        <row r="1884">
          <cell r="C1884">
            <v>100279</v>
          </cell>
          <cell r="D1884" t="str">
            <v>TK.IR 40 4A</v>
          </cell>
        </row>
        <row r="1885">
          <cell r="C1885">
            <v>200279</v>
          </cell>
          <cell r="D1885" t="str">
            <v>TK.OR 40 4A</v>
          </cell>
        </row>
        <row r="1886">
          <cell r="C1886">
            <v>300279</v>
          </cell>
          <cell r="D1886" t="str">
            <v>TK.MCG 40 4A</v>
          </cell>
        </row>
        <row r="1887">
          <cell r="C1887">
            <v>511993</v>
          </cell>
          <cell r="D1887" t="str">
            <v>BALL 5/16"(IS:2898-1976)</v>
          </cell>
        </row>
        <row r="1888">
          <cell r="C1888">
            <v>5221279</v>
          </cell>
          <cell r="D1888" t="str">
            <v>O G MOBIL UNIREX N3</v>
          </cell>
        </row>
        <row r="1889">
          <cell r="C1889">
            <v>717279</v>
          </cell>
          <cell r="D1889" t="str">
            <v>TK.COVER 40 4A</v>
          </cell>
        </row>
        <row r="1890">
          <cell r="C1890">
            <v>104280.4</v>
          </cell>
          <cell r="D1890" t="str">
            <v>STADE.4910662/0         F</v>
          </cell>
        </row>
        <row r="1891">
          <cell r="C1891">
            <v>208280.4</v>
          </cell>
          <cell r="D1891" t="str">
            <v>OR.4910662/2</v>
          </cell>
        </row>
        <row r="1892">
          <cell r="C1892">
            <v>208280.41</v>
          </cell>
          <cell r="D1892" t="str">
            <v>WASHER.4910662/0</v>
          </cell>
        </row>
        <row r="1893">
          <cell r="C1893">
            <v>511428</v>
          </cell>
          <cell r="D1893" t="str">
            <v>RO 8X12</v>
          </cell>
        </row>
        <row r="1894">
          <cell r="C1894">
            <v>612280.4</v>
          </cell>
          <cell r="D1894" t="str">
            <v>NIPPLE.4910662/0</v>
          </cell>
        </row>
        <row r="1895">
          <cell r="C1895">
            <v>717280.4</v>
          </cell>
          <cell r="D1895" t="str">
            <v>NUT 4910662/0 (M30)</v>
          </cell>
        </row>
        <row r="1896">
          <cell r="C1896">
            <v>717280.41</v>
          </cell>
          <cell r="D1896" t="str">
            <v>CUPWASHER.4910662/0</v>
          </cell>
        </row>
        <row r="1897">
          <cell r="C1897">
            <v>104281</v>
          </cell>
          <cell r="D1897" t="str">
            <v>D.IR 14536              F</v>
          </cell>
        </row>
        <row r="1898">
          <cell r="C1898">
            <v>208281</v>
          </cell>
          <cell r="D1898" t="str">
            <v>D.OR 14536              F</v>
          </cell>
        </row>
        <row r="1899">
          <cell r="C1899">
            <v>309281</v>
          </cell>
          <cell r="D1899" t="str">
            <v>D.NCG 14536(A3HG5)</v>
          </cell>
        </row>
        <row r="1900">
          <cell r="C1900">
            <v>511181</v>
          </cell>
          <cell r="D1900" t="str">
            <v>BALL 15/32"(IS:2898-1976)</v>
          </cell>
        </row>
        <row r="1901">
          <cell r="C1901">
            <v>5221201.0599999996</v>
          </cell>
          <cell r="D1901" t="str">
            <v>O G PETAMO GY 193(KLUBER)</v>
          </cell>
        </row>
        <row r="1902">
          <cell r="C1902">
            <v>717281</v>
          </cell>
          <cell r="D1902" t="str">
            <v>D.SEAL 14536(FKM)</v>
          </cell>
        </row>
        <row r="1903">
          <cell r="C1903">
            <v>104281</v>
          </cell>
          <cell r="D1903" t="str">
            <v>D.IR 14536              F</v>
          </cell>
        </row>
        <row r="1904">
          <cell r="C1904">
            <v>208281</v>
          </cell>
          <cell r="D1904" t="str">
            <v>D.OR 14536              F</v>
          </cell>
        </row>
        <row r="1905">
          <cell r="C1905">
            <v>309281</v>
          </cell>
          <cell r="D1905" t="str">
            <v>D.NCG 14536(A3HG5)</v>
          </cell>
        </row>
        <row r="1906">
          <cell r="C1906">
            <v>511181</v>
          </cell>
          <cell r="D1906" t="str">
            <v>BALL 15/32"(IS:2898-1976)</v>
          </cell>
        </row>
        <row r="1907">
          <cell r="C1907">
            <v>5221201.0599999996</v>
          </cell>
          <cell r="D1907" t="str">
            <v>O G PETAMO GY 193(KLUBER)</v>
          </cell>
        </row>
        <row r="1908">
          <cell r="C1908">
            <v>717281</v>
          </cell>
          <cell r="D1908" t="str">
            <v>D.SEAL 14536(FKM)</v>
          </cell>
        </row>
        <row r="1909">
          <cell r="C1909">
            <v>100281.21</v>
          </cell>
          <cell r="D1909" t="str">
            <v>D.IR 14536 SPL</v>
          </cell>
        </row>
        <row r="1910">
          <cell r="C1910">
            <v>200281.21</v>
          </cell>
          <cell r="D1910" t="str">
            <v>D.OR 14536 W.C.</v>
          </cell>
        </row>
        <row r="1911">
          <cell r="C1911">
            <v>309281</v>
          </cell>
          <cell r="D1911" t="str">
            <v>D.NCG 14536(A3HG5)</v>
          </cell>
        </row>
        <row r="1912">
          <cell r="C1912">
            <v>511181</v>
          </cell>
          <cell r="D1912" t="str">
            <v>BALL 15/32"(IS:2898-1976)</v>
          </cell>
        </row>
        <row r="1913">
          <cell r="C1913">
            <v>5221201.0599999996</v>
          </cell>
          <cell r="D1913" t="str">
            <v>O G PETAMO GY 193(KLUBER)</v>
          </cell>
        </row>
        <row r="1914">
          <cell r="C1914">
            <v>5221201.0999999996</v>
          </cell>
          <cell r="D1914" t="str">
            <v>G KLUBERSYNTH BEP 72-82</v>
          </cell>
        </row>
        <row r="1915">
          <cell r="C1915">
            <v>717281</v>
          </cell>
          <cell r="D1915" t="str">
            <v>D.SEAL 14536(FKM)</v>
          </cell>
        </row>
        <row r="1916">
          <cell r="C1916">
            <v>717281.01</v>
          </cell>
          <cell r="D1916" t="str">
            <v>D.MC 14536/14537 SPL</v>
          </cell>
        </row>
        <row r="1917">
          <cell r="C1917">
            <v>104282</v>
          </cell>
          <cell r="D1917" t="str">
            <v>D.IR 14537              F</v>
          </cell>
        </row>
        <row r="1918">
          <cell r="C1918">
            <v>208281</v>
          </cell>
          <cell r="D1918" t="str">
            <v>D.OR 14536              F</v>
          </cell>
        </row>
        <row r="1919">
          <cell r="C1919">
            <v>309281</v>
          </cell>
          <cell r="D1919" t="str">
            <v>D.NCG 14536(A3HG5)</v>
          </cell>
        </row>
        <row r="1920">
          <cell r="C1920">
            <v>511181</v>
          </cell>
          <cell r="D1920" t="str">
            <v>BALL 15/32"(IS:2898-1976)</v>
          </cell>
        </row>
        <row r="1921">
          <cell r="C1921">
            <v>5221201.0599999996</v>
          </cell>
          <cell r="D1921" t="str">
            <v>O G PETAMO GY 193(KLUBER)</v>
          </cell>
        </row>
        <row r="1922">
          <cell r="C1922">
            <v>717281</v>
          </cell>
          <cell r="D1922" t="str">
            <v>D.SEAL 14536(FKM)</v>
          </cell>
        </row>
        <row r="1923">
          <cell r="C1923">
            <v>104282</v>
          </cell>
          <cell r="D1923" t="str">
            <v>D.IR 14537              F</v>
          </cell>
        </row>
        <row r="1924">
          <cell r="C1924">
            <v>208281</v>
          </cell>
          <cell r="D1924" t="str">
            <v>D.OR 14536              F</v>
          </cell>
        </row>
        <row r="1925">
          <cell r="C1925">
            <v>309281</v>
          </cell>
          <cell r="D1925" t="str">
            <v>D.NCG 14536(A3HG5)</v>
          </cell>
        </row>
        <row r="1926">
          <cell r="C1926">
            <v>511181</v>
          </cell>
          <cell r="D1926" t="str">
            <v>BALL 15/32"(IS:2898-1976)</v>
          </cell>
        </row>
        <row r="1927">
          <cell r="C1927">
            <v>5221201.0599999996</v>
          </cell>
          <cell r="D1927" t="str">
            <v>O G PETAMO GY 193(KLUBER)</v>
          </cell>
        </row>
        <row r="1928">
          <cell r="C1928">
            <v>717281</v>
          </cell>
          <cell r="D1928" t="str">
            <v>D.SEAL 14536(FKM)</v>
          </cell>
        </row>
        <row r="1929">
          <cell r="C1929">
            <v>104282.11</v>
          </cell>
          <cell r="D1929" t="str">
            <v>D.IR 14537  R1</v>
          </cell>
        </row>
        <row r="1930">
          <cell r="C1930">
            <v>208282.11</v>
          </cell>
          <cell r="D1930" t="str">
            <v>D.OR 14537 R1</v>
          </cell>
        </row>
        <row r="1931">
          <cell r="C1931">
            <v>309281</v>
          </cell>
          <cell r="D1931" t="str">
            <v>D.NCG 14536(A3HG5)</v>
          </cell>
        </row>
        <row r="1932">
          <cell r="C1932">
            <v>511181</v>
          </cell>
          <cell r="D1932" t="str">
            <v>BALL 15/32"(IS:2898-1976)</v>
          </cell>
        </row>
        <row r="1933">
          <cell r="C1933">
            <v>5221201.0599999996</v>
          </cell>
          <cell r="D1933" t="str">
            <v>O G PETAMO GY 193(KLUBER)</v>
          </cell>
        </row>
        <row r="1934">
          <cell r="C1934">
            <v>717281</v>
          </cell>
          <cell r="D1934" t="str">
            <v>D.SEAL 14536(FKM)</v>
          </cell>
        </row>
        <row r="1935">
          <cell r="C1935">
            <v>100282.21</v>
          </cell>
          <cell r="D1935" t="str">
            <v>D.IR 14537 W.C.</v>
          </cell>
        </row>
        <row r="1936">
          <cell r="C1936">
            <v>200281.21</v>
          </cell>
          <cell r="D1936" t="str">
            <v>D.OR 14536 W.C.</v>
          </cell>
        </row>
        <row r="1937">
          <cell r="C1937">
            <v>309281</v>
          </cell>
          <cell r="D1937" t="str">
            <v>D.NCG 14536(A3HG5)</v>
          </cell>
        </row>
        <row r="1938">
          <cell r="C1938">
            <v>511181</v>
          </cell>
          <cell r="D1938" t="str">
            <v>BALL 15/32"(IS:2898-1976)</v>
          </cell>
        </row>
        <row r="1939">
          <cell r="C1939">
            <v>5221201.0599999996</v>
          </cell>
          <cell r="D1939" t="str">
            <v>O G PETAMO GY 193(KLUBER)</v>
          </cell>
        </row>
        <row r="1940">
          <cell r="C1940">
            <v>5221201.0999999996</v>
          </cell>
          <cell r="D1940" t="str">
            <v>G KLUBERSYNTH BEP 72-82</v>
          </cell>
        </row>
        <row r="1941">
          <cell r="C1941">
            <v>717281</v>
          </cell>
          <cell r="D1941" t="str">
            <v>D.SEAL 14536(FKM)</v>
          </cell>
        </row>
        <row r="1942">
          <cell r="C1942">
            <v>717281.01</v>
          </cell>
          <cell r="D1942" t="str">
            <v>D.MC 14536/14537 SPL</v>
          </cell>
        </row>
        <row r="1943">
          <cell r="C1943">
            <v>104282.31</v>
          </cell>
          <cell r="D1943" t="str">
            <v>D.IR 14537 R2</v>
          </cell>
        </row>
        <row r="1944">
          <cell r="C1944">
            <v>208282.31</v>
          </cell>
          <cell r="D1944" t="str">
            <v>D.OR 14537 R2</v>
          </cell>
        </row>
        <row r="1945">
          <cell r="C1945">
            <v>309281</v>
          </cell>
          <cell r="D1945" t="str">
            <v>D.NCG 14536(A3HG5)</v>
          </cell>
        </row>
        <row r="1946">
          <cell r="C1946">
            <v>511181</v>
          </cell>
          <cell r="D1946" t="str">
            <v>BALL 15/32"(IS:2898-1976)</v>
          </cell>
        </row>
        <row r="1947">
          <cell r="C1947">
            <v>5221201.0999999996</v>
          </cell>
          <cell r="D1947" t="str">
            <v>G KLUBERSYNTH BEP 72-82</v>
          </cell>
        </row>
        <row r="1948">
          <cell r="C1948">
            <v>717281</v>
          </cell>
          <cell r="D1948" t="str">
            <v>D.SEAL 14536(FKM)</v>
          </cell>
        </row>
        <row r="1949">
          <cell r="C1949">
            <v>100282.4</v>
          </cell>
          <cell r="D1949" t="str">
            <v>D.IR 14537 SPL</v>
          </cell>
        </row>
        <row r="1950">
          <cell r="C1950">
            <v>208281</v>
          </cell>
          <cell r="D1950" t="str">
            <v>D.OR 14536              F</v>
          </cell>
        </row>
        <row r="1951">
          <cell r="C1951">
            <v>309281</v>
          </cell>
          <cell r="D1951" t="str">
            <v>D.NCG 14536(A3HG5)</v>
          </cell>
        </row>
        <row r="1952">
          <cell r="C1952">
            <v>511181</v>
          </cell>
          <cell r="D1952" t="str">
            <v>BALL 15/32"(IS:2898-1976)</v>
          </cell>
        </row>
        <row r="1953">
          <cell r="C1953">
            <v>5221201.0599999996</v>
          </cell>
          <cell r="D1953" t="str">
            <v>O G PETAMO GY 193(KLUBER)</v>
          </cell>
        </row>
        <row r="1954">
          <cell r="C1954">
            <v>717281</v>
          </cell>
          <cell r="D1954" t="str">
            <v>D.SEAL 14536(FKM)</v>
          </cell>
        </row>
        <row r="1955">
          <cell r="C1955">
            <v>104283</v>
          </cell>
          <cell r="D1955" t="str">
            <v>IR.6006 2RS             F</v>
          </cell>
        </row>
        <row r="1956">
          <cell r="C1956">
            <v>1422283</v>
          </cell>
          <cell r="D1956" t="str">
            <v>6006 2RS MATERIAL</v>
          </cell>
        </row>
        <row r="1957">
          <cell r="C1957">
            <v>208283</v>
          </cell>
          <cell r="D1957" t="str">
            <v>OR.6006 2RS             F</v>
          </cell>
        </row>
        <row r="1958">
          <cell r="C1958">
            <v>309283</v>
          </cell>
          <cell r="D1958" t="str">
            <v>MCG.6006 2RS</v>
          </cell>
        </row>
        <row r="1959">
          <cell r="C1959">
            <v>511197</v>
          </cell>
          <cell r="D1959" t="str">
            <v>BALL 9/32"</v>
          </cell>
        </row>
        <row r="1960">
          <cell r="C1960">
            <v>717283</v>
          </cell>
          <cell r="D1960" t="str">
            <v>SEAL.6006 2RS</v>
          </cell>
        </row>
        <row r="1961">
          <cell r="C1961">
            <v>1422283.1</v>
          </cell>
          <cell r="D1961" t="str">
            <v>6006 C3 MATERIAL</v>
          </cell>
        </row>
        <row r="1962">
          <cell r="C1962">
            <v>1422283.2</v>
          </cell>
          <cell r="D1962" t="str">
            <v>6312 C3 MATERIAL</v>
          </cell>
        </row>
        <row r="1963">
          <cell r="C1963">
            <v>1422283.21</v>
          </cell>
          <cell r="D1963" t="str">
            <v>6312 2RS MATERIAL</v>
          </cell>
        </row>
        <row r="1964">
          <cell r="C1964">
            <v>1422283.3</v>
          </cell>
          <cell r="D1964" t="str">
            <v>6006 ZZ NR  MATERIAL</v>
          </cell>
        </row>
        <row r="1965">
          <cell r="C1965">
            <v>104284</v>
          </cell>
          <cell r="D1965" t="str">
            <v>IR.LB2YT9001A(72X37X37) F</v>
          </cell>
        </row>
        <row r="1966">
          <cell r="C1966">
            <v>208284</v>
          </cell>
          <cell r="D1966" t="str">
            <v>OR.LB2YT9001A(72X37X37) F</v>
          </cell>
        </row>
        <row r="1967">
          <cell r="C1967">
            <v>309284</v>
          </cell>
          <cell r="D1967" t="str">
            <v>NCG.LB2YT9001A(72X37X37)</v>
          </cell>
        </row>
        <row r="1968">
          <cell r="C1968">
            <v>511181</v>
          </cell>
          <cell r="D1968" t="str">
            <v>BALL 15/32"(IS:2898-1976)</v>
          </cell>
        </row>
        <row r="1969">
          <cell r="C1969">
            <v>717284</v>
          </cell>
          <cell r="D1969" t="str">
            <v>MSEAL.LB2YT9001A</v>
          </cell>
        </row>
        <row r="1970">
          <cell r="C1970">
            <v>717284.01</v>
          </cell>
          <cell r="D1970" t="str">
            <v>RSEAL.LB2YT9001A</v>
          </cell>
        </row>
        <row r="1971">
          <cell r="C1971">
            <v>104284.01</v>
          </cell>
          <cell r="D1971" t="str">
            <v>IRB.IR 1016</v>
          </cell>
        </row>
        <row r="1972">
          <cell r="C1972">
            <v>104285.01</v>
          </cell>
          <cell r="D1972" t="str">
            <v>IRB.IR 1616</v>
          </cell>
        </row>
        <row r="1973">
          <cell r="C1973">
            <v>104286</v>
          </cell>
          <cell r="D1973" t="str">
            <v>NAF.IR 558530</v>
          </cell>
        </row>
        <row r="1974">
          <cell r="C1974">
            <v>208286</v>
          </cell>
          <cell r="D1974" t="str">
            <v>NAF.OR 558530</v>
          </cell>
        </row>
        <row r="1975">
          <cell r="C1975">
            <v>309286</v>
          </cell>
          <cell r="D1975" t="str">
            <v>NAF.MCG 558530</v>
          </cell>
        </row>
        <row r="1976">
          <cell r="C1976">
            <v>511283.01</v>
          </cell>
          <cell r="D1976" t="str">
            <v>RO 4X25.4 BR</v>
          </cell>
        </row>
        <row r="1977">
          <cell r="C1977">
            <v>104286.01</v>
          </cell>
          <cell r="D1977" t="str">
            <v>IRB.IR 1212</v>
          </cell>
        </row>
        <row r="1978">
          <cell r="C1978">
            <v>100286.02</v>
          </cell>
          <cell r="D1978" t="str">
            <v>IR.IR 364255</v>
          </cell>
        </row>
        <row r="1979">
          <cell r="C1979">
            <v>104286</v>
          </cell>
          <cell r="D1979" t="str">
            <v>NAF.IR 558530</v>
          </cell>
        </row>
        <row r="1980">
          <cell r="C1980">
            <v>100286.04</v>
          </cell>
          <cell r="D1980" t="str">
            <v>IR.IR 28X35X48</v>
          </cell>
        </row>
        <row r="1981">
          <cell r="C1981">
            <v>100286.05</v>
          </cell>
          <cell r="D1981" t="str">
            <v>IR.IR 45X58X77</v>
          </cell>
        </row>
        <row r="1982">
          <cell r="C1982">
            <v>309286</v>
          </cell>
          <cell r="D1982" t="str">
            <v>NAF.MCG 558530</v>
          </cell>
        </row>
        <row r="1983">
          <cell r="C1983">
            <v>511283.01</v>
          </cell>
          <cell r="D1983" t="str">
            <v>RO 4X25.4 BR</v>
          </cell>
        </row>
        <row r="1984">
          <cell r="C1984">
            <v>100286.07</v>
          </cell>
          <cell r="D1984" t="str">
            <v>IR.IR 60X75X32</v>
          </cell>
        </row>
        <row r="1985">
          <cell r="C1985">
            <v>104287</v>
          </cell>
          <cell r="D1985" t="str">
            <v>NKM.IR 5565</v>
          </cell>
        </row>
        <row r="1986">
          <cell r="C1986">
            <v>208287</v>
          </cell>
          <cell r="D1986" t="str">
            <v>NKM.OR 5565</v>
          </cell>
        </row>
        <row r="1987">
          <cell r="C1987">
            <v>309287</v>
          </cell>
          <cell r="D1987" t="str">
            <v>NKM.MCG 5565</v>
          </cell>
        </row>
        <row r="1988">
          <cell r="C1988">
            <v>511264.01</v>
          </cell>
          <cell r="D1988" t="str">
            <v>RO 3X19.8 BR</v>
          </cell>
        </row>
        <row r="1989">
          <cell r="C1989">
            <v>913002</v>
          </cell>
          <cell r="D1989" t="str">
            <v>Box 75x30x75</v>
          </cell>
        </row>
        <row r="1990">
          <cell r="C1990">
            <v>104287.01</v>
          </cell>
          <cell r="D1990" t="str">
            <v>IRB.IR 2424</v>
          </cell>
        </row>
        <row r="1991">
          <cell r="C1991">
            <v>208287</v>
          </cell>
          <cell r="D1991" t="str">
            <v>NKM.OR 5565</v>
          </cell>
        </row>
        <row r="1992">
          <cell r="C1992">
            <v>309287</v>
          </cell>
          <cell r="D1992" t="str">
            <v>NKM.MCG 5565</v>
          </cell>
        </row>
        <row r="1993">
          <cell r="C1993">
            <v>511264.01</v>
          </cell>
          <cell r="D1993" t="str">
            <v>RO 3X19.8 BR</v>
          </cell>
        </row>
        <row r="1994">
          <cell r="C1994">
            <v>104287</v>
          </cell>
          <cell r="D1994" t="str">
            <v>NKM.IR 5565</v>
          </cell>
        </row>
        <row r="1995">
          <cell r="C1995">
            <v>208288</v>
          </cell>
          <cell r="D1995" t="str">
            <v>OW-BDA-4007</v>
          </cell>
        </row>
        <row r="1996">
          <cell r="C1996">
            <v>104288</v>
          </cell>
          <cell r="D1996" t="str">
            <v>IW-BDA-4007</v>
          </cell>
        </row>
        <row r="1997">
          <cell r="C1997">
            <v>104289.01</v>
          </cell>
          <cell r="D1997" t="str">
            <v>NA/RNA.IR 3055</v>
          </cell>
        </row>
        <row r="1998">
          <cell r="C1998">
            <v>208289.01</v>
          </cell>
          <cell r="D1998" t="str">
            <v>NA/RNA.OR 3055</v>
          </cell>
        </row>
        <row r="1999">
          <cell r="C1999">
            <v>309289.01</v>
          </cell>
          <cell r="D1999" t="str">
            <v>NA/RNA.MCG 3055</v>
          </cell>
        </row>
        <row r="2000">
          <cell r="C2000">
            <v>511996</v>
          </cell>
          <cell r="D2000" t="str">
            <v>RO 4X28.8</v>
          </cell>
        </row>
        <row r="2001">
          <cell r="C2001">
            <v>913008</v>
          </cell>
          <cell r="D2001" t="str">
            <v>Box 95x50x95</v>
          </cell>
        </row>
        <row r="2002">
          <cell r="C2002">
            <v>208289.01</v>
          </cell>
          <cell r="D2002" t="str">
            <v>NA/RNA.OR 3055</v>
          </cell>
        </row>
        <row r="2003">
          <cell r="C2003">
            <v>309289.01</v>
          </cell>
          <cell r="D2003" t="str">
            <v>NA/RNA.MCG 3055</v>
          </cell>
        </row>
        <row r="2004">
          <cell r="C2004">
            <v>511996</v>
          </cell>
          <cell r="D2004" t="str">
            <v>RO 4X28.8</v>
          </cell>
        </row>
        <row r="2005">
          <cell r="C2005">
            <v>913008</v>
          </cell>
          <cell r="D2005" t="str">
            <v>Box 95x50x95</v>
          </cell>
        </row>
        <row r="2006">
          <cell r="C2006">
            <v>104289.01</v>
          </cell>
          <cell r="D2006" t="str">
            <v>NA/RNA.IR 3055</v>
          </cell>
        </row>
        <row r="2007">
          <cell r="C2007">
            <v>104290.01</v>
          </cell>
          <cell r="D2007" t="str">
            <v>IR 17X22.350X17.2</v>
          </cell>
        </row>
        <row r="2008">
          <cell r="C2008">
            <v>104291.01</v>
          </cell>
          <cell r="D2008" t="str">
            <v>IR 17X20X16.500</v>
          </cell>
        </row>
        <row r="2009">
          <cell r="C2009">
            <v>104292.01</v>
          </cell>
          <cell r="D2009" t="str">
            <v>IR 17X20X20.5</v>
          </cell>
        </row>
        <row r="2010">
          <cell r="C2010">
            <v>104293</v>
          </cell>
          <cell r="D2010" t="str">
            <v>IR.210 YY2</v>
          </cell>
        </row>
        <row r="2011">
          <cell r="C2011">
            <v>208293</v>
          </cell>
          <cell r="D2011" t="str">
            <v>OR.210 YY2</v>
          </cell>
        </row>
        <row r="2012">
          <cell r="C2012">
            <v>309293</v>
          </cell>
          <cell r="D2012" t="str">
            <v>NCG 210 YY2</v>
          </cell>
        </row>
        <row r="2013">
          <cell r="C2013">
            <v>511192</v>
          </cell>
          <cell r="D2013" t="str">
            <v>BALL 1/2" (IS:2898-1976)</v>
          </cell>
        </row>
        <row r="2014">
          <cell r="C2014">
            <v>5221247</v>
          </cell>
          <cell r="D2014" t="str">
            <v>O G SHELL GADUS S2 V100 3</v>
          </cell>
        </row>
        <row r="2015">
          <cell r="C2015">
            <v>717293</v>
          </cell>
          <cell r="D2015" t="str">
            <v>SEAL 210 YY2</v>
          </cell>
        </row>
        <row r="2016">
          <cell r="C2016">
            <v>100293.5</v>
          </cell>
          <cell r="D2016" t="str">
            <v>IR. 212 YY4</v>
          </cell>
        </row>
        <row r="2017">
          <cell r="C2017">
            <v>200293.5</v>
          </cell>
          <cell r="D2017" t="str">
            <v>OR. 212 YY4</v>
          </cell>
        </row>
        <row r="2018">
          <cell r="C2018">
            <v>300293.5</v>
          </cell>
          <cell r="D2018" t="str">
            <v>NCG. 212 YY4</v>
          </cell>
        </row>
        <row r="2019">
          <cell r="C2019">
            <v>511257</v>
          </cell>
          <cell r="D2019" t="str">
            <v>BALL 13/32"(IS:2898-1976)</v>
          </cell>
        </row>
        <row r="2020">
          <cell r="C2020">
            <v>5221247</v>
          </cell>
          <cell r="D2020" t="str">
            <v>O G SHELL GADUS S2 V100 3</v>
          </cell>
        </row>
        <row r="2021">
          <cell r="C2021">
            <v>700293.5</v>
          </cell>
          <cell r="D2021" t="str">
            <v>SEAL. 212 YY4 (BOTTOM)</v>
          </cell>
        </row>
        <row r="2022">
          <cell r="C2022">
            <v>700293.51</v>
          </cell>
          <cell r="D2022" t="str">
            <v>SEAL. 212 YY4 (TOP)</v>
          </cell>
        </row>
        <row r="2023">
          <cell r="C2023">
            <v>208294</v>
          </cell>
          <cell r="D2023" t="str">
            <v>NKXR.OR 50              F</v>
          </cell>
        </row>
        <row r="2024">
          <cell r="C2024">
            <v>208294.01</v>
          </cell>
          <cell r="D2024" t="str">
            <v>NKXR.WASHER 50          F</v>
          </cell>
        </row>
        <row r="2025">
          <cell r="C2025">
            <v>309294</v>
          </cell>
          <cell r="D2025" t="str">
            <v>NKXR.MCG 50</v>
          </cell>
        </row>
        <row r="2026">
          <cell r="C2026">
            <v>309585</v>
          </cell>
          <cell r="D2026" t="str">
            <v>NCG 81110</v>
          </cell>
        </row>
        <row r="2027">
          <cell r="C2027">
            <v>511209.01</v>
          </cell>
          <cell r="D2027" t="str">
            <v>RO 2.5X16.8</v>
          </cell>
        </row>
        <row r="2028">
          <cell r="C2028">
            <v>511461</v>
          </cell>
          <cell r="D2028" t="str">
            <v>RO 6X6</v>
          </cell>
        </row>
        <row r="2029">
          <cell r="C2029">
            <v>717294</v>
          </cell>
          <cell r="D2029" t="str">
            <v>NKXR.METAL WASHER 50</v>
          </cell>
        </row>
        <row r="2030">
          <cell r="C2030">
            <v>717294.01</v>
          </cell>
          <cell r="D2030" t="str">
            <v>NKXR.METAL CUP 50</v>
          </cell>
        </row>
        <row r="2031">
          <cell r="C2031">
            <v>104294.02</v>
          </cell>
          <cell r="D2031" t="str">
            <v>NKSR.IR 50</v>
          </cell>
        </row>
        <row r="2032">
          <cell r="C2032">
            <v>208295</v>
          </cell>
          <cell r="D2032" t="str">
            <v>NKXR.OR 35              F</v>
          </cell>
        </row>
        <row r="2033">
          <cell r="C2033">
            <v>208295.01</v>
          </cell>
          <cell r="D2033" t="str">
            <v>NKXR.WASHER 35          F</v>
          </cell>
        </row>
        <row r="2034">
          <cell r="C2034">
            <v>309582</v>
          </cell>
          <cell r="D2034" t="str">
            <v>NCG 81107</v>
          </cell>
        </row>
        <row r="2035">
          <cell r="C2035">
            <v>309823.01</v>
          </cell>
          <cell r="D2035" t="str">
            <v>NKI.MCG 30/20(NK 35/20)</v>
          </cell>
        </row>
        <row r="2036">
          <cell r="C2036">
            <v>511410</v>
          </cell>
          <cell r="D2036" t="str">
            <v>RO 5X5 BPM</v>
          </cell>
        </row>
        <row r="2037">
          <cell r="C2037">
            <v>511819.01</v>
          </cell>
          <cell r="D2037" t="str">
            <v>RO 3X15.8</v>
          </cell>
        </row>
        <row r="2038">
          <cell r="C2038">
            <v>717295.01</v>
          </cell>
          <cell r="D2038" t="str">
            <v>NKXR.METAL CUP 35</v>
          </cell>
        </row>
        <row r="2039">
          <cell r="C2039">
            <v>104296</v>
          </cell>
          <cell r="D2039" t="str">
            <v>IR.3697001 [60X110]     F</v>
          </cell>
        </row>
        <row r="2040">
          <cell r="C2040">
            <v>208296</v>
          </cell>
          <cell r="D2040" t="str">
            <v>OR.3697001 [60X110]     F</v>
          </cell>
        </row>
        <row r="2041">
          <cell r="C2041">
            <v>309296</v>
          </cell>
          <cell r="D2041" t="str">
            <v>MCG.3697001 [60X110]</v>
          </cell>
        </row>
        <row r="2042">
          <cell r="C2042">
            <v>511296</v>
          </cell>
          <cell r="D2042" t="str">
            <v>BALL 5/8"</v>
          </cell>
        </row>
        <row r="2043">
          <cell r="C2043">
            <v>5221247</v>
          </cell>
          <cell r="D2043" t="str">
            <v>O G SHELL GADUS S2 V100 3</v>
          </cell>
        </row>
        <row r="2044">
          <cell r="C2044">
            <v>5221247.01</v>
          </cell>
        </row>
        <row r="2045">
          <cell r="C2045">
            <v>717296</v>
          </cell>
          <cell r="D2045" t="str">
            <v>SEAL.3697001 [60X110]</v>
          </cell>
        </row>
        <row r="2046">
          <cell r="C2046">
            <v>104259</v>
          </cell>
          <cell r="D2046" t="str">
            <v>IR.14 00 1740           F</v>
          </cell>
        </row>
        <row r="2047">
          <cell r="C2047">
            <v>208297</v>
          </cell>
          <cell r="D2047" t="str">
            <v>OR.3697002 [60X97]      F</v>
          </cell>
        </row>
        <row r="2048">
          <cell r="C2048">
            <v>309259</v>
          </cell>
          <cell r="D2048" t="str">
            <v>NCG.14 00 1740</v>
          </cell>
        </row>
        <row r="2049">
          <cell r="C2049">
            <v>511257</v>
          </cell>
          <cell r="D2049" t="str">
            <v>BALL 13/32"(IS:2898-1976)</v>
          </cell>
        </row>
        <row r="2050">
          <cell r="C2050">
            <v>5221247</v>
          </cell>
          <cell r="D2050" t="str">
            <v>O G SHELL GADUS S2 V100 3</v>
          </cell>
        </row>
        <row r="2051">
          <cell r="C2051">
            <v>5221247.01</v>
          </cell>
        </row>
        <row r="2052">
          <cell r="C2052">
            <v>717259</v>
          </cell>
          <cell r="D2052" t="str">
            <v>SEAL.14 00 1740</v>
          </cell>
        </row>
        <row r="2053">
          <cell r="C2053">
            <v>104298</v>
          </cell>
          <cell r="D2053" t="str">
            <v>IR.4303                 F</v>
          </cell>
        </row>
        <row r="2054">
          <cell r="C2054">
            <v>208298</v>
          </cell>
          <cell r="D2054" t="str">
            <v>OR.4303                 F</v>
          </cell>
        </row>
        <row r="2055">
          <cell r="C2055">
            <v>309298</v>
          </cell>
          <cell r="D2055" t="str">
            <v>NCG.4303</v>
          </cell>
        </row>
        <row r="2056">
          <cell r="C2056">
            <v>511993</v>
          </cell>
          <cell r="D2056" t="str">
            <v>BALL 5/16"(IS:2898-1976)</v>
          </cell>
        </row>
        <row r="2057">
          <cell r="C2057">
            <v>208299</v>
          </cell>
          <cell r="D2057" t="str">
            <v>OR.9916                 F</v>
          </cell>
        </row>
        <row r="2058">
          <cell r="C2058">
            <v>104299</v>
          </cell>
          <cell r="D2058" t="str">
            <v>IR.9916                 F</v>
          </cell>
        </row>
        <row r="2059">
          <cell r="C2059">
            <v>200299.11</v>
          </cell>
          <cell r="D2059" t="str">
            <v>OR.9913</v>
          </cell>
        </row>
        <row r="2060">
          <cell r="C2060">
            <v>100299.12</v>
          </cell>
          <cell r="D2060" t="str">
            <v>IR.9913</v>
          </cell>
        </row>
        <row r="2061">
          <cell r="C2061">
            <v>200299.13</v>
          </cell>
          <cell r="D2061" t="str">
            <v>OR.9913 C</v>
          </cell>
        </row>
        <row r="2062">
          <cell r="C2062">
            <v>100299.14</v>
          </cell>
          <cell r="D2062" t="str">
            <v>IR.9913 C</v>
          </cell>
        </row>
        <row r="2063">
          <cell r="C2063">
            <v>200299.21</v>
          </cell>
          <cell r="D2063" t="str">
            <v>OR 9937</v>
          </cell>
        </row>
        <row r="2064">
          <cell r="C2064">
            <v>100299.22</v>
          </cell>
          <cell r="D2064" t="str">
            <v>IR 9937</v>
          </cell>
        </row>
        <row r="2065">
          <cell r="C2065">
            <v>100299.24</v>
          </cell>
          <cell r="D2065" t="str">
            <v>IR 4008</v>
          </cell>
        </row>
        <row r="2066">
          <cell r="C2066">
            <v>200299.23</v>
          </cell>
          <cell r="D2066" t="str">
            <v>OR 4008</v>
          </cell>
        </row>
        <row r="2067">
          <cell r="C2067">
            <v>100299.24</v>
          </cell>
          <cell r="D2067" t="str">
            <v>IR 4008</v>
          </cell>
        </row>
        <row r="2068">
          <cell r="C2068">
            <v>200299.23</v>
          </cell>
          <cell r="D2068" t="str">
            <v>OR 4008</v>
          </cell>
        </row>
        <row r="2069">
          <cell r="C2069">
            <v>200299.25</v>
          </cell>
          <cell r="D2069" t="str">
            <v>OR. 9935</v>
          </cell>
        </row>
        <row r="2070">
          <cell r="C2070">
            <v>100299.26</v>
          </cell>
          <cell r="D2070" t="str">
            <v>IR. 9935</v>
          </cell>
        </row>
        <row r="2071">
          <cell r="C2071">
            <v>100299.28</v>
          </cell>
          <cell r="D2071" t="str">
            <v>IR.9938</v>
          </cell>
        </row>
        <row r="2072">
          <cell r="C2072">
            <v>100299.3</v>
          </cell>
          <cell r="D2072" t="str">
            <v>IR.IW-SK-V0068</v>
          </cell>
        </row>
        <row r="2073">
          <cell r="C2073">
            <v>104300.01</v>
          </cell>
          <cell r="D2073" t="str">
            <v>NA/RNA.IR 4900</v>
          </cell>
        </row>
        <row r="2074">
          <cell r="C2074">
            <v>208300.01</v>
          </cell>
          <cell r="D2074" t="str">
            <v>NA/RNA.OR 4900</v>
          </cell>
        </row>
        <row r="2075">
          <cell r="C2075">
            <v>309300.01</v>
          </cell>
          <cell r="D2075" t="str">
            <v>NA/RNA.MCG 4900</v>
          </cell>
        </row>
        <row r="2076">
          <cell r="C2076">
            <v>511060</v>
          </cell>
          <cell r="D2076" t="str">
            <v>RO 2.5X9.8</v>
          </cell>
        </row>
        <row r="2077">
          <cell r="C2077">
            <v>913016</v>
          </cell>
          <cell r="D2077" t="str">
            <v>Box 250x40x50</v>
          </cell>
        </row>
        <row r="2078">
          <cell r="C2078">
            <v>208300.01</v>
          </cell>
          <cell r="D2078" t="str">
            <v>NA/RNA.OR 4900</v>
          </cell>
        </row>
        <row r="2079">
          <cell r="C2079">
            <v>309300.01</v>
          </cell>
          <cell r="D2079" t="str">
            <v>NA/RNA.MCG 4900</v>
          </cell>
        </row>
        <row r="2080">
          <cell r="C2080">
            <v>511060</v>
          </cell>
          <cell r="D2080" t="str">
            <v>RO 2.5X9.8</v>
          </cell>
        </row>
        <row r="2081">
          <cell r="C2081">
            <v>913016</v>
          </cell>
          <cell r="D2081" t="str">
            <v>Box 250x40x50</v>
          </cell>
        </row>
        <row r="2082">
          <cell r="C2082">
            <v>104300.01</v>
          </cell>
          <cell r="D2082" t="str">
            <v>NA/RNA.IR 4900</v>
          </cell>
        </row>
        <row r="2083">
          <cell r="C2083">
            <v>104301.01</v>
          </cell>
          <cell r="D2083" t="str">
            <v>NA/RNA.IR 4901</v>
          </cell>
        </row>
        <row r="2084">
          <cell r="C2084">
            <v>208301.01</v>
          </cell>
          <cell r="D2084" t="str">
            <v>NA/RNA.OR 4901</v>
          </cell>
        </row>
        <row r="2085">
          <cell r="C2085">
            <v>309301.01</v>
          </cell>
          <cell r="D2085" t="str">
            <v>NA/RNA.MCG 4901</v>
          </cell>
        </row>
        <row r="2086">
          <cell r="C2086">
            <v>511060</v>
          </cell>
          <cell r="D2086" t="str">
            <v>RO 2.5X9.8</v>
          </cell>
        </row>
        <row r="2087">
          <cell r="C2087">
            <v>913016</v>
          </cell>
          <cell r="D2087" t="str">
            <v>Box 250x40x50</v>
          </cell>
        </row>
        <row r="2088">
          <cell r="C2088">
            <v>208301.01</v>
          </cell>
          <cell r="D2088" t="str">
            <v>NA/RNA.OR 4901</v>
          </cell>
        </row>
        <row r="2089">
          <cell r="C2089">
            <v>309301.01</v>
          </cell>
          <cell r="D2089" t="str">
            <v>NA/RNA.MCG 4901</v>
          </cell>
        </row>
        <row r="2090">
          <cell r="C2090">
            <v>511060</v>
          </cell>
          <cell r="D2090" t="str">
            <v>RO 2.5X9.8</v>
          </cell>
        </row>
        <row r="2091">
          <cell r="C2091">
            <v>913016</v>
          </cell>
          <cell r="D2091" t="str">
            <v>Box 250x40x50</v>
          </cell>
        </row>
        <row r="2092">
          <cell r="C2092">
            <v>104301.01</v>
          </cell>
          <cell r="D2092" t="str">
            <v>NA/RNA.IR 4901</v>
          </cell>
        </row>
        <row r="2093">
          <cell r="C2093">
            <v>104301.11</v>
          </cell>
          <cell r="D2093" t="str">
            <v>NA/RNA.IR 4901 2RS</v>
          </cell>
        </row>
        <row r="2094">
          <cell r="C2094">
            <v>208301.11</v>
          </cell>
          <cell r="D2094" t="str">
            <v>NA/RNA.OR 4901  2RS</v>
          </cell>
        </row>
        <row r="2095">
          <cell r="C2095">
            <v>104301.11</v>
          </cell>
          <cell r="D2095" t="str">
            <v>NA/RNA.IR 4901 2RS</v>
          </cell>
        </row>
        <row r="2096">
          <cell r="C2096">
            <v>104302.01</v>
          </cell>
          <cell r="D2096" t="str">
            <v>NA/RNA.IR 4902</v>
          </cell>
        </row>
        <row r="2097">
          <cell r="C2097">
            <v>208302.01</v>
          </cell>
          <cell r="D2097" t="str">
            <v>NA/RNA.OR 4902</v>
          </cell>
        </row>
        <row r="2098">
          <cell r="C2098">
            <v>309302.01</v>
          </cell>
          <cell r="D2098" t="str">
            <v>NA/RNA.MCG 4902</v>
          </cell>
        </row>
        <row r="2099">
          <cell r="C2099">
            <v>511060</v>
          </cell>
          <cell r="D2099" t="str">
            <v>RO 2.5X9.8</v>
          </cell>
        </row>
        <row r="2100">
          <cell r="C2100">
            <v>913016</v>
          </cell>
          <cell r="D2100" t="str">
            <v>Box 250x40x50</v>
          </cell>
        </row>
        <row r="2101">
          <cell r="C2101">
            <v>208302.01</v>
          </cell>
          <cell r="D2101" t="str">
            <v>NA/RNA.OR 4902</v>
          </cell>
        </row>
        <row r="2102">
          <cell r="C2102">
            <v>309302.01</v>
          </cell>
          <cell r="D2102" t="str">
            <v>NA/RNA.MCG 4902</v>
          </cell>
        </row>
        <row r="2103">
          <cell r="C2103">
            <v>511060</v>
          </cell>
          <cell r="D2103" t="str">
            <v>RO 2.5X9.8</v>
          </cell>
        </row>
        <row r="2104">
          <cell r="C2104">
            <v>913016</v>
          </cell>
          <cell r="D2104" t="str">
            <v>Box 250x40x50</v>
          </cell>
        </row>
        <row r="2105">
          <cell r="C2105">
            <v>104302.01</v>
          </cell>
          <cell r="D2105" t="str">
            <v>NA/RNA.IR 4902</v>
          </cell>
        </row>
        <row r="2106">
          <cell r="C2106">
            <v>200302.1</v>
          </cell>
          <cell r="D2106" t="str">
            <v>RNA.OR 4902 TN</v>
          </cell>
        </row>
        <row r="2107">
          <cell r="C2107">
            <v>300302.09999999998</v>
          </cell>
          <cell r="D2107" t="str">
            <v>RNA.NCG 4902</v>
          </cell>
        </row>
        <row r="2108">
          <cell r="C2108">
            <v>500302.1</v>
          </cell>
          <cell r="D2108" t="str">
            <v>RO 2.5X8 BPM</v>
          </cell>
        </row>
        <row r="2109">
          <cell r="C2109">
            <v>208302.01</v>
          </cell>
          <cell r="D2109" t="str">
            <v>NA/RNA.OR 4902</v>
          </cell>
        </row>
        <row r="2110">
          <cell r="C2110">
            <v>309302.01</v>
          </cell>
          <cell r="D2110" t="str">
            <v>NA/RNA.MCG 4902</v>
          </cell>
        </row>
        <row r="2111">
          <cell r="C2111">
            <v>511060</v>
          </cell>
          <cell r="D2111" t="str">
            <v>RO 2.5X9.8</v>
          </cell>
        </row>
        <row r="2112">
          <cell r="C2112">
            <v>104303.01</v>
          </cell>
          <cell r="D2112" t="str">
            <v>NA/RNA.IR 4903</v>
          </cell>
        </row>
        <row r="2113">
          <cell r="C2113">
            <v>208303.01</v>
          </cell>
          <cell r="D2113" t="str">
            <v>NA/RNA.OR 4903</v>
          </cell>
        </row>
        <row r="2114">
          <cell r="C2114">
            <v>309303.01</v>
          </cell>
          <cell r="D2114" t="str">
            <v>NA/RNA.MCG 4903</v>
          </cell>
        </row>
        <row r="2115">
          <cell r="C2115">
            <v>511060</v>
          </cell>
          <cell r="D2115" t="str">
            <v>RO 2.5X9.8</v>
          </cell>
        </row>
        <row r="2116">
          <cell r="C2116">
            <v>913016</v>
          </cell>
          <cell r="D2116" t="str">
            <v>Box 250x40x50</v>
          </cell>
        </row>
        <row r="2117">
          <cell r="C2117">
            <v>208303.01</v>
          </cell>
          <cell r="D2117" t="str">
            <v>NA/RNA.OR 4903</v>
          </cell>
        </row>
        <row r="2118">
          <cell r="C2118">
            <v>309303.01</v>
          </cell>
          <cell r="D2118" t="str">
            <v>NA/RNA.MCG 4903</v>
          </cell>
        </row>
        <row r="2119">
          <cell r="C2119">
            <v>511060</v>
          </cell>
          <cell r="D2119" t="str">
            <v>RO 2.5X9.8</v>
          </cell>
        </row>
        <row r="2120">
          <cell r="C2120">
            <v>913016</v>
          </cell>
          <cell r="D2120" t="str">
            <v>Box 250x40x50</v>
          </cell>
        </row>
        <row r="2121">
          <cell r="C2121">
            <v>104303.01</v>
          </cell>
          <cell r="D2121" t="str">
            <v>NA/RNA.IR 4903</v>
          </cell>
        </row>
        <row r="2122">
          <cell r="C2122">
            <v>104303.11</v>
          </cell>
          <cell r="D2122" t="str">
            <v>NA/RNA.IR 4903      2RS</v>
          </cell>
        </row>
        <row r="2123">
          <cell r="C2123">
            <v>208303.11</v>
          </cell>
          <cell r="D2123" t="str">
            <v>NA/RNA.OR 4903      2RS</v>
          </cell>
        </row>
        <row r="2124">
          <cell r="C2124">
            <v>309303.11</v>
          </cell>
          <cell r="D2124" t="str">
            <v>NA/RNA.MCG 4903     2RS</v>
          </cell>
        </row>
        <row r="2125">
          <cell r="C2125">
            <v>511450</v>
          </cell>
          <cell r="D2125" t="str">
            <v>RO 2.5X7.8</v>
          </cell>
        </row>
        <row r="2126">
          <cell r="C2126">
            <v>717303.11</v>
          </cell>
          <cell r="D2126" t="str">
            <v>SEAL 4903             2RS</v>
          </cell>
        </row>
        <row r="2127">
          <cell r="C2127">
            <v>913016</v>
          </cell>
          <cell r="D2127" t="str">
            <v>Box 250x40x50</v>
          </cell>
        </row>
        <row r="2128">
          <cell r="C2128">
            <v>208303.11</v>
          </cell>
          <cell r="D2128" t="str">
            <v>NA/RNA.OR 4903      2RS</v>
          </cell>
        </row>
        <row r="2129">
          <cell r="C2129">
            <v>309303.11</v>
          </cell>
          <cell r="D2129" t="str">
            <v>NA/RNA.MCG 4903     2RS</v>
          </cell>
        </row>
        <row r="2130">
          <cell r="C2130">
            <v>511450</v>
          </cell>
          <cell r="D2130" t="str">
            <v>RO 2.5X7.8</v>
          </cell>
        </row>
        <row r="2131">
          <cell r="C2131">
            <v>913016</v>
          </cell>
          <cell r="D2131" t="str">
            <v>Box 250x40x50</v>
          </cell>
        </row>
        <row r="2132">
          <cell r="C2132">
            <v>104303.11</v>
          </cell>
          <cell r="D2132" t="str">
            <v>NA/RNA.IR 4903      2RS</v>
          </cell>
        </row>
        <row r="2133">
          <cell r="C2133">
            <v>104304.01</v>
          </cell>
          <cell r="D2133" t="str">
            <v>NA/RNA.IR 4904</v>
          </cell>
        </row>
        <row r="2134">
          <cell r="C2134">
            <v>208304.01</v>
          </cell>
          <cell r="D2134" t="str">
            <v>NA/RNA.OR 4904</v>
          </cell>
        </row>
        <row r="2135">
          <cell r="C2135">
            <v>309304.01</v>
          </cell>
          <cell r="D2135" t="str">
            <v>NA/RNA.MCG 4904</v>
          </cell>
        </row>
        <row r="2136">
          <cell r="C2136">
            <v>511304.01</v>
          </cell>
          <cell r="D2136" t="str">
            <v>RO 4X12.8</v>
          </cell>
        </row>
        <row r="2137">
          <cell r="C2137">
            <v>913016</v>
          </cell>
          <cell r="D2137" t="str">
            <v>Box 250x40x50</v>
          </cell>
        </row>
        <row r="2138">
          <cell r="C2138">
            <v>208304.01</v>
          </cell>
          <cell r="D2138" t="str">
            <v>NA/RNA.OR 4904</v>
          </cell>
        </row>
        <row r="2139">
          <cell r="C2139">
            <v>309304.01</v>
          </cell>
          <cell r="D2139" t="str">
            <v>NA/RNA.MCG 4904</v>
          </cell>
        </row>
        <row r="2140">
          <cell r="C2140">
            <v>511304.01</v>
          </cell>
          <cell r="D2140" t="str">
            <v>RO 4X12.8</v>
          </cell>
        </row>
        <row r="2141">
          <cell r="C2141">
            <v>913016</v>
          </cell>
          <cell r="D2141" t="str">
            <v>Box 250x40x50</v>
          </cell>
        </row>
        <row r="2142">
          <cell r="C2142">
            <v>104304.01</v>
          </cell>
          <cell r="D2142" t="str">
            <v>NA/RNA.IR 4904</v>
          </cell>
        </row>
        <row r="2143">
          <cell r="C2143">
            <v>104304.01</v>
          </cell>
          <cell r="D2143" t="str">
            <v>NA/RNA.IR 4904</v>
          </cell>
        </row>
        <row r="2144">
          <cell r="C2144">
            <v>208304.01</v>
          </cell>
          <cell r="D2144" t="str">
            <v>NA/RNA.OR 4904</v>
          </cell>
        </row>
        <row r="2145">
          <cell r="C2145">
            <v>309304.01</v>
          </cell>
          <cell r="D2145" t="str">
            <v>NA/RNA.MCG 4904</v>
          </cell>
        </row>
        <row r="2146">
          <cell r="C2146">
            <v>511304.01</v>
          </cell>
          <cell r="D2146" t="str">
            <v>RO 4X12.8</v>
          </cell>
        </row>
        <row r="2147">
          <cell r="C2147">
            <v>913016.01</v>
          </cell>
          <cell r="D2147" t="str">
            <v>Box 250x40x50(BR 3200)</v>
          </cell>
        </row>
        <row r="2148">
          <cell r="C2148">
            <v>104304.01</v>
          </cell>
          <cell r="D2148" t="str">
            <v>NA/RNA.IR 4904</v>
          </cell>
        </row>
        <row r="2149">
          <cell r="C2149">
            <v>104305.01</v>
          </cell>
          <cell r="D2149" t="str">
            <v>NA/RNA.IR 4905</v>
          </cell>
        </row>
        <row r="2150">
          <cell r="C2150">
            <v>208305.01</v>
          </cell>
          <cell r="D2150" t="str">
            <v>NA/RNA.OR 4905</v>
          </cell>
        </row>
        <row r="2151">
          <cell r="C2151">
            <v>309305.01</v>
          </cell>
          <cell r="D2151" t="str">
            <v>NA/RNA.MCG 4905</v>
          </cell>
        </row>
        <row r="2152">
          <cell r="C2152">
            <v>511304.01</v>
          </cell>
          <cell r="D2152" t="str">
            <v>RO 4X12.8</v>
          </cell>
        </row>
        <row r="2153">
          <cell r="C2153">
            <v>913016</v>
          </cell>
          <cell r="D2153" t="str">
            <v>Box 250x40x50</v>
          </cell>
        </row>
        <row r="2154">
          <cell r="C2154">
            <v>208305.01</v>
          </cell>
          <cell r="D2154" t="str">
            <v>NA/RNA.OR 4905</v>
          </cell>
        </row>
        <row r="2155">
          <cell r="C2155">
            <v>309305.01</v>
          </cell>
          <cell r="D2155" t="str">
            <v>NA/RNA.MCG 4905</v>
          </cell>
        </row>
        <row r="2156">
          <cell r="C2156">
            <v>511304.01</v>
          </cell>
          <cell r="D2156" t="str">
            <v>RO 4X12.8</v>
          </cell>
        </row>
        <row r="2157">
          <cell r="C2157">
            <v>913016</v>
          </cell>
          <cell r="D2157" t="str">
            <v>Box 250x40x50</v>
          </cell>
        </row>
        <row r="2158">
          <cell r="C2158">
            <v>104305.01</v>
          </cell>
          <cell r="D2158" t="str">
            <v>NA/RNA.IR 4905</v>
          </cell>
        </row>
        <row r="2159">
          <cell r="C2159">
            <v>208305.01</v>
          </cell>
          <cell r="D2159" t="str">
            <v>NA/RNA.OR 4905</v>
          </cell>
        </row>
        <row r="2160">
          <cell r="C2160">
            <v>309305.01</v>
          </cell>
          <cell r="D2160" t="str">
            <v>NA/RNA.MCG 4905</v>
          </cell>
        </row>
        <row r="2161">
          <cell r="C2161">
            <v>511304.01</v>
          </cell>
          <cell r="D2161" t="str">
            <v>RO 4X12.8</v>
          </cell>
        </row>
        <row r="2162">
          <cell r="C2162">
            <v>104305.11</v>
          </cell>
          <cell r="D2162" t="str">
            <v>NA/RNA.IR 4905      2RS</v>
          </cell>
        </row>
        <row r="2163">
          <cell r="C2163">
            <v>208305.11</v>
          </cell>
          <cell r="D2163" t="str">
            <v>NA/RNA.OR 4905      2RS</v>
          </cell>
        </row>
        <row r="2164">
          <cell r="C2164">
            <v>309305.11</v>
          </cell>
          <cell r="D2164" t="str">
            <v>NA/RNA.MCG 4905     2RS</v>
          </cell>
        </row>
        <row r="2165">
          <cell r="C2165">
            <v>511305.11</v>
          </cell>
          <cell r="D2165" t="str">
            <v>RO 4X9.8</v>
          </cell>
        </row>
        <row r="2166">
          <cell r="C2166">
            <v>717305.11</v>
          </cell>
          <cell r="D2166" t="str">
            <v>SEAL 4905             2RS</v>
          </cell>
        </row>
        <row r="2167">
          <cell r="C2167">
            <v>913006</v>
          </cell>
          <cell r="D2167" t="str">
            <v>Box 50x35x50</v>
          </cell>
        </row>
        <row r="2168">
          <cell r="C2168">
            <v>208305.11</v>
          </cell>
          <cell r="D2168" t="str">
            <v>NA/RNA.OR 4905      2RS</v>
          </cell>
        </row>
        <row r="2169">
          <cell r="C2169">
            <v>309305.11</v>
          </cell>
          <cell r="D2169" t="str">
            <v>NA/RNA.MCG 4905     2RS</v>
          </cell>
        </row>
        <row r="2170">
          <cell r="C2170">
            <v>511305.11</v>
          </cell>
          <cell r="D2170" t="str">
            <v>RO 4X9.8</v>
          </cell>
        </row>
        <row r="2171">
          <cell r="C2171">
            <v>717305.11</v>
          </cell>
          <cell r="D2171" t="str">
            <v>SEAL 4905             2RS</v>
          </cell>
        </row>
        <row r="2172">
          <cell r="C2172">
            <v>913006</v>
          </cell>
          <cell r="D2172" t="str">
            <v>Box 50x35x50</v>
          </cell>
        </row>
        <row r="2173">
          <cell r="C2173">
            <v>104305.11</v>
          </cell>
          <cell r="D2173" t="str">
            <v>NA/RNA.IR 4905      2RS</v>
          </cell>
        </row>
        <row r="2174">
          <cell r="C2174">
            <v>104305.11</v>
          </cell>
          <cell r="D2174" t="str">
            <v>NA/RNA.IR 4905      2RS</v>
          </cell>
        </row>
        <row r="2175">
          <cell r="C2175">
            <v>208305.11</v>
          </cell>
          <cell r="D2175" t="str">
            <v>NA/RNA.OR 4905      2RS</v>
          </cell>
        </row>
        <row r="2176">
          <cell r="C2176">
            <v>309305.11</v>
          </cell>
          <cell r="D2176" t="str">
            <v>NA/RNA.MCG 4905     2RS</v>
          </cell>
        </row>
        <row r="2177">
          <cell r="C2177">
            <v>511305.11</v>
          </cell>
          <cell r="D2177" t="str">
            <v>RO 4X9.8</v>
          </cell>
        </row>
        <row r="2178">
          <cell r="C2178">
            <v>717305.11</v>
          </cell>
          <cell r="D2178" t="str">
            <v>SEAL 4905             2RS</v>
          </cell>
        </row>
        <row r="2179">
          <cell r="C2179">
            <v>913006</v>
          </cell>
          <cell r="D2179" t="str">
            <v>Box 50x35x50</v>
          </cell>
        </row>
        <row r="2180">
          <cell r="C2180">
            <v>208305.11</v>
          </cell>
          <cell r="D2180" t="str">
            <v>NA/RNA.OR 4905      2RS</v>
          </cell>
        </row>
        <row r="2181">
          <cell r="C2181">
            <v>309305.11</v>
          </cell>
          <cell r="D2181" t="str">
            <v>NA/RNA.MCG 4905     2RS</v>
          </cell>
        </row>
        <row r="2182">
          <cell r="C2182">
            <v>511305.11</v>
          </cell>
          <cell r="D2182" t="str">
            <v>RO 4X9.8</v>
          </cell>
        </row>
        <row r="2183">
          <cell r="C2183">
            <v>717305.11</v>
          </cell>
          <cell r="D2183" t="str">
            <v>SEAL 4905             2RS</v>
          </cell>
        </row>
        <row r="2184">
          <cell r="C2184">
            <v>913006</v>
          </cell>
          <cell r="D2184" t="str">
            <v>Box 50x35x50</v>
          </cell>
        </row>
        <row r="2185">
          <cell r="C2185">
            <v>104306.01</v>
          </cell>
          <cell r="D2185" t="str">
            <v>NA/RNA.IR 4906</v>
          </cell>
        </row>
        <row r="2186">
          <cell r="C2186">
            <v>208306.01</v>
          </cell>
          <cell r="D2186" t="str">
            <v>NA/RNA.OR 4906</v>
          </cell>
        </row>
        <row r="2187">
          <cell r="C2187">
            <v>309306.01</v>
          </cell>
          <cell r="D2187" t="str">
            <v>NA/RNA.MCG 4906</v>
          </cell>
        </row>
        <row r="2188">
          <cell r="C2188">
            <v>511304.01</v>
          </cell>
          <cell r="D2188" t="str">
            <v>RO 4X12.8</v>
          </cell>
        </row>
        <row r="2189">
          <cell r="C2189">
            <v>913006</v>
          </cell>
          <cell r="D2189" t="str">
            <v>Box 50x35x50</v>
          </cell>
        </row>
        <row r="2190">
          <cell r="C2190">
            <v>208306.01</v>
          </cell>
          <cell r="D2190" t="str">
            <v>NA/RNA.OR 4906</v>
          </cell>
        </row>
        <row r="2191">
          <cell r="C2191">
            <v>309306.01</v>
          </cell>
          <cell r="D2191" t="str">
            <v>NA/RNA.MCG 4906</v>
          </cell>
        </row>
        <row r="2192">
          <cell r="C2192">
            <v>511304.01</v>
          </cell>
          <cell r="D2192" t="str">
            <v>RO 4X12.8</v>
          </cell>
        </row>
        <row r="2193">
          <cell r="C2193">
            <v>913006</v>
          </cell>
          <cell r="D2193" t="str">
            <v>Box 50x35x50</v>
          </cell>
        </row>
        <row r="2194">
          <cell r="C2194">
            <v>104306.01</v>
          </cell>
          <cell r="D2194" t="str">
            <v>NA/RNA.IR 4906</v>
          </cell>
        </row>
        <row r="2195">
          <cell r="C2195">
            <v>104306.01</v>
          </cell>
          <cell r="D2195" t="str">
            <v>NA/RNA.IR 4906</v>
          </cell>
        </row>
        <row r="2196">
          <cell r="C2196">
            <v>208306.01</v>
          </cell>
          <cell r="D2196" t="str">
            <v>NA/RNA.OR 4906</v>
          </cell>
        </row>
        <row r="2197">
          <cell r="C2197">
            <v>309306.01</v>
          </cell>
          <cell r="D2197" t="str">
            <v>NA/RNA.MCG 4906</v>
          </cell>
        </row>
        <row r="2198">
          <cell r="C2198">
            <v>511304.01</v>
          </cell>
          <cell r="D2198" t="str">
            <v>RO 4X12.8</v>
          </cell>
        </row>
        <row r="2199">
          <cell r="C2199">
            <v>913006</v>
          </cell>
          <cell r="D2199" t="str">
            <v>Box 50x35x50</v>
          </cell>
        </row>
        <row r="2200">
          <cell r="C2200">
            <v>104307.01</v>
          </cell>
          <cell r="D2200" t="str">
            <v>NA/RNA.IR 4907</v>
          </cell>
        </row>
        <row r="2201">
          <cell r="C2201">
            <v>208307.01</v>
          </cell>
          <cell r="D2201" t="str">
            <v>NA/RNA.OR 4907</v>
          </cell>
        </row>
        <row r="2202">
          <cell r="C2202">
            <v>309307.01</v>
          </cell>
          <cell r="D2202" t="str">
            <v>NA/RNA.MCG 4907</v>
          </cell>
        </row>
        <row r="2203">
          <cell r="C2203">
            <v>511436</v>
          </cell>
          <cell r="D2203" t="str">
            <v>RO 4X15.8 (CRA)</v>
          </cell>
        </row>
        <row r="2204">
          <cell r="C2204">
            <v>208307.01</v>
          </cell>
          <cell r="D2204" t="str">
            <v>NA/RNA.OR 4907</v>
          </cell>
        </row>
        <row r="2205">
          <cell r="C2205">
            <v>309307.01</v>
          </cell>
          <cell r="D2205" t="str">
            <v>NA/RNA.MCG 4907</v>
          </cell>
        </row>
        <row r="2206">
          <cell r="C2206">
            <v>511436</v>
          </cell>
          <cell r="D2206" t="str">
            <v>RO 4X15.8 (CRA)</v>
          </cell>
        </row>
        <row r="2207">
          <cell r="C2207">
            <v>104307.01</v>
          </cell>
          <cell r="D2207" t="str">
            <v>NA/RNA.IR 4907</v>
          </cell>
        </row>
        <row r="2208">
          <cell r="C2208">
            <v>104308.01</v>
          </cell>
          <cell r="D2208" t="str">
            <v>NA/RNA.IR 4908</v>
          </cell>
        </row>
        <row r="2209">
          <cell r="C2209">
            <v>208308.01</v>
          </cell>
          <cell r="D2209" t="str">
            <v>NA/RNA.OR 4908</v>
          </cell>
        </row>
        <row r="2210">
          <cell r="C2210">
            <v>309308.01</v>
          </cell>
          <cell r="D2210" t="str">
            <v>NA/RNA.MCG 4908</v>
          </cell>
        </row>
        <row r="2211">
          <cell r="C2211">
            <v>511308.01</v>
          </cell>
          <cell r="D2211" t="str">
            <v>RO 5X16.8</v>
          </cell>
        </row>
        <row r="2212">
          <cell r="C2212">
            <v>913002</v>
          </cell>
          <cell r="D2212" t="str">
            <v>Box 75x30x75</v>
          </cell>
        </row>
        <row r="2213">
          <cell r="C2213">
            <v>208308.01</v>
          </cell>
          <cell r="D2213" t="str">
            <v>NA/RNA.OR 4908</v>
          </cell>
        </row>
        <row r="2214">
          <cell r="C2214">
            <v>309308.01</v>
          </cell>
          <cell r="D2214" t="str">
            <v>NA/RNA.MCG 4908</v>
          </cell>
        </row>
        <row r="2215">
          <cell r="C2215">
            <v>511308.01</v>
          </cell>
          <cell r="D2215" t="str">
            <v>RO 5X16.8</v>
          </cell>
        </row>
        <row r="2216">
          <cell r="C2216">
            <v>913002</v>
          </cell>
          <cell r="D2216" t="str">
            <v>Box 75x30x75</v>
          </cell>
        </row>
        <row r="2217">
          <cell r="C2217">
            <v>104308.01</v>
          </cell>
          <cell r="D2217" t="str">
            <v>NA/RNA.IR 4908</v>
          </cell>
        </row>
        <row r="2218">
          <cell r="C2218">
            <v>104308.11</v>
          </cell>
          <cell r="D2218" t="str">
            <v>NA/RNA.IR 4908 2RS</v>
          </cell>
        </row>
        <row r="2219">
          <cell r="C2219">
            <v>208308.11</v>
          </cell>
          <cell r="D2219" t="str">
            <v>NA/RNA.OR 4908 2RS</v>
          </cell>
        </row>
        <row r="2220">
          <cell r="C2220">
            <v>309308.11</v>
          </cell>
          <cell r="D2220" t="str">
            <v>NA/RNA.MCG 4908 2RS</v>
          </cell>
        </row>
        <row r="2221">
          <cell r="C2221">
            <v>511308.11</v>
          </cell>
          <cell r="D2221" t="str">
            <v>RO 4.5X13.8</v>
          </cell>
        </row>
        <row r="2222">
          <cell r="C2222">
            <v>717308.11</v>
          </cell>
          <cell r="D2222" t="str">
            <v>SEAL 4908             2RS</v>
          </cell>
        </row>
        <row r="2223">
          <cell r="C2223">
            <v>913002</v>
          </cell>
          <cell r="D2223" t="str">
            <v>Box 75x30x75</v>
          </cell>
        </row>
        <row r="2224">
          <cell r="C2224">
            <v>208308.11</v>
          </cell>
          <cell r="D2224" t="str">
            <v>NA/RNA.OR 4908 2RS</v>
          </cell>
        </row>
        <row r="2225">
          <cell r="C2225">
            <v>309308.11</v>
          </cell>
          <cell r="D2225" t="str">
            <v>NA/RNA.MCG 4908 2RS</v>
          </cell>
        </row>
        <row r="2226">
          <cell r="C2226">
            <v>511308.11</v>
          </cell>
          <cell r="D2226" t="str">
            <v>RO 4.5X13.8</v>
          </cell>
        </row>
        <row r="2227">
          <cell r="C2227">
            <v>913002</v>
          </cell>
          <cell r="D2227" t="str">
            <v>Box 75x30x75</v>
          </cell>
        </row>
        <row r="2228">
          <cell r="C2228">
            <v>104308.11</v>
          </cell>
          <cell r="D2228" t="str">
            <v>NA/RNA.IR 4908 2RS</v>
          </cell>
        </row>
        <row r="2229">
          <cell r="C2229">
            <v>104308.21</v>
          </cell>
          <cell r="D2229" t="str">
            <v>NA/RNA.IR 95072         F</v>
          </cell>
        </row>
        <row r="2230">
          <cell r="C2230">
            <v>208308.21</v>
          </cell>
          <cell r="D2230" t="str">
            <v>NA/RNA.OR 95072         F</v>
          </cell>
        </row>
        <row r="2231">
          <cell r="C2231">
            <v>309308.21000000002</v>
          </cell>
          <cell r="D2231" t="str">
            <v>NA/RNA.MCG 950072</v>
          </cell>
        </row>
        <row r="2232">
          <cell r="C2232">
            <v>511308.21</v>
          </cell>
          <cell r="D2232" t="str">
            <v>RO 4X16.8 BP</v>
          </cell>
        </row>
        <row r="2233">
          <cell r="C2233">
            <v>208308.21</v>
          </cell>
          <cell r="D2233" t="str">
            <v>NA/RNA.OR 95072         F</v>
          </cell>
        </row>
        <row r="2234">
          <cell r="C2234">
            <v>309308.21000000002</v>
          </cell>
          <cell r="D2234" t="str">
            <v>NA/RNA.MCG 950072</v>
          </cell>
        </row>
        <row r="2235">
          <cell r="C2235">
            <v>511308.21</v>
          </cell>
          <cell r="D2235" t="str">
            <v>RO 4X16.8 BP</v>
          </cell>
        </row>
        <row r="2236">
          <cell r="C2236">
            <v>104308.21</v>
          </cell>
          <cell r="D2236" t="str">
            <v>NA/RNA.IR 95072         F</v>
          </cell>
        </row>
        <row r="2237">
          <cell r="C2237">
            <v>208308.01</v>
          </cell>
          <cell r="D2237" t="str">
            <v>NA/RNA.OR 4908</v>
          </cell>
        </row>
        <row r="2238">
          <cell r="C2238">
            <v>309308.01</v>
          </cell>
          <cell r="D2238" t="str">
            <v>NA/RNA.MCG 4908</v>
          </cell>
        </row>
        <row r="2239">
          <cell r="C2239">
            <v>511308.01</v>
          </cell>
          <cell r="D2239" t="str">
            <v>RO 5X16.8</v>
          </cell>
        </row>
        <row r="2240">
          <cell r="C2240">
            <v>913002</v>
          </cell>
          <cell r="D2240" t="str">
            <v>Box 75x30x75</v>
          </cell>
        </row>
        <row r="2241">
          <cell r="C2241">
            <v>104309.01</v>
          </cell>
          <cell r="D2241" t="str">
            <v>NA/RNA.IR 4909</v>
          </cell>
        </row>
        <row r="2242">
          <cell r="C2242">
            <v>208309.01</v>
          </cell>
          <cell r="D2242" t="str">
            <v>NA/RNA.OR 4909</v>
          </cell>
        </row>
        <row r="2243">
          <cell r="C2243">
            <v>309309.01</v>
          </cell>
          <cell r="D2243" t="str">
            <v>NA/RNA.MCG 4909</v>
          </cell>
        </row>
        <row r="2244">
          <cell r="C2244">
            <v>511308.01</v>
          </cell>
          <cell r="D2244" t="str">
            <v>RO 5X16.8</v>
          </cell>
        </row>
        <row r="2245">
          <cell r="C2245">
            <v>913002</v>
          </cell>
          <cell r="D2245" t="str">
            <v>Box 75x30x75</v>
          </cell>
        </row>
        <row r="2246">
          <cell r="C2246">
            <v>208309.01</v>
          </cell>
          <cell r="D2246" t="str">
            <v>NA/RNA.OR 4909</v>
          </cell>
        </row>
        <row r="2247">
          <cell r="C2247">
            <v>309309.01</v>
          </cell>
          <cell r="D2247" t="str">
            <v>NA/RNA.MCG 4909</v>
          </cell>
        </row>
        <row r="2248">
          <cell r="C2248">
            <v>511308.01</v>
          </cell>
          <cell r="D2248" t="str">
            <v>RO 5X16.8</v>
          </cell>
        </row>
        <row r="2249">
          <cell r="C2249">
            <v>913002</v>
          </cell>
          <cell r="D2249" t="str">
            <v>Box 75x30x75</v>
          </cell>
        </row>
        <row r="2250">
          <cell r="C2250">
            <v>104309.01</v>
          </cell>
          <cell r="D2250" t="str">
            <v>NA/RNA.IR 4909</v>
          </cell>
        </row>
        <row r="2251">
          <cell r="C2251">
            <v>208309.01</v>
          </cell>
          <cell r="D2251" t="str">
            <v>NA/RNA.OR 4909</v>
          </cell>
        </row>
        <row r="2252">
          <cell r="C2252">
            <v>309309.01</v>
          </cell>
          <cell r="D2252" t="str">
            <v>NA/RNA.MCG 4909</v>
          </cell>
        </row>
        <row r="2253">
          <cell r="C2253">
            <v>511308.01</v>
          </cell>
          <cell r="D2253" t="str">
            <v>RO 5X16.8</v>
          </cell>
        </row>
        <row r="2254">
          <cell r="C2254">
            <v>913002</v>
          </cell>
          <cell r="D2254" t="str">
            <v>Box 75x30x75</v>
          </cell>
        </row>
        <row r="2255">
          <cell r="C2255">
            <v>104310.01</v>
          </cell>
          <cell r="D2255" t="str">
            <v>NA/RNA.IR 4910</v>
          </cell>
        </row>
        <row r="2256">
          <cell r="C2256">
            <v>208310.01</v>
          </cell>
          <cell r="D2256" t="str">
            <v>NA/RNA.OR 4910</v>
          </cell>
        </row>
        <row r="2257">
          <cell r="C2257">
            <v>309310.01</v>
          </cell>
          <cell r="D2257" t="str">
            <v>NA/RNA.MCG 4910</v>
          </cell>
        </row>
        <row r="2258">
          <cell r="C2258">
            <v>511308.01</v>
          </cell>
          <cell r="D2258" t="str">
            <v>RO 5X16.8</v>
          </cell>
        </row>
        <row r="2259">
          <cell r="C2259">
            <v>913002</v>
          </cell>
          <cell r="D2259" t="str">
            <v>Box 75x30x75</v>
          </cell>
        </row>
        <row r="2260">
          <cell r="C2260">
            <v>208310.01</v>
          </cell>
          <cell r="D2260" t="str">
            <v>NA/RNA.OR 4910</v>
          </cell>
        </row>
        <row r="2261">
          <cell r="C2261">
            <v>309310.01</v>
          </cell>
          <cell r="D2261" t="str">
            <v>NA/RNA.MCG 4910</v>
          </cell>
        </row>
        <row r="2262">
          <cell r="C2262">
            <v>511308.01</v>
          </cell>
          <cell r="D2262" t="str">
            <v>RO 5X16.8</v>
          </cell>
        </row>
        <row r="2263">
          <cell r="C2263">
            <v>913002</v>
          </cell>
          <cell r="D2263" t="str">
            <v>Box 75x30x75</v>
          </cell>
        </row>
        <row r="2264">
          <cell r="C2264">
            <v>104310.01</v>
          </cell>
          <cell r="D2264" t="str">
            <v>NA/RNA.IR 4910</v>
          </cell>
        </row>
        <row r="2265">
          <cell r="C2265">
            <v>104310.06</v>
          </cell>
          <cell r="D2265" t="str">
            <v>NU.IR 4910              F</v>
          </cell>
        </row>
        <row r="2266">
          <cell r="C2266">
            <v>208310.06</v>
          </cell>
          <cell r="D2266" t="str">
            <v>NU.OR 4910              F</v>
          </cell>
        </row>
        <row r="2267">
          <cell r="C2267">
            <v>511310.06</v>
          </cell>
          <cell r="D2267" t="str">
            <v>RO 5X14.8 SP</v>
          </cell>
        </row>
        <row r="2268">
          <cell r="C2268">
            <v>208310.06</v>
          </cell>
          <cell r="D2268" t="str">
            <v>NU.OR 4910              F</v>
          </cell>
        </row>
        <row r="2269">
          <cell r="C2269">
            <v>511310.06</v>
          </cell>
          <cell r="D2269" t="str">
            <v>RO 5X14.8 SP</v>
          </cell>
        </row>
        <row r="2270">
          <cell r="C2270">
            <v>104310.06</v>
          </cell>
          <cell r="D2270" t="str">
            <v>NU.IR 4910              F</v>
          </cell>
        </row>
        <row r="2271">
          <cell r="C2271">
            <v>208310.01</v>
          </cell>
          <cell r="D2271" t="str">
            <v>NA/RNA.OR 4910</v>
          </cell>
        </row>
        <row r="2272">
          <cell r="C2272">
            <v>309310.01</v>
          </cell>
          <cell r="D2272" t="str">
            <v>NA/RNA.MCG 4910</v>
          </cell>
        </row>
        <row r="2273">
          <cell r="C2273">
            <v>511308.01</v>
          </cell>
          <cell r="D2273" t="str">
            <v>RO 5X16.8</v>
          </cell>
        </row>
        <row r="2274">
          <cell r="C2274">
            <v>913002</v>
          </cell>
          <cell r="D2274" t="str">
            <v>Box 75x30x75</v>
          </cell>
        </row>
        <row r="2275">
          <cell r="C2275">
            <v>104311.01</v>
          </cell>
          <cell r="D2275" t="str">
            <v>NA/RNA.IR 4911</v>
          </cell>
        </row>
        <row r="2276">
          <cell r="C2276">
            <v>208311.01</v>
          </cell>
          <cell r="D2276" t="str">
            <v>NA/RNA.OR 4911</v>
          </cell>
        </row>
        <row r="2277">
          <cell r="C2277">
            <v>309311.01</v>
          </cell>
          <cell r="D2277" t="str">
            <v>NA/RNA.MCG 4911</v>
          </cell>
        </row>
        <row r="2278">
          <cell r="C2278">
            <v>511311.02</v>
          </cell>
          <cell r="D2278" t="str">
            <v>RO 5.5X19.8 BP.</v>
          </cell>
        </row>
        <row r="2279">
          <cell r="C2279">
            <v>913017</v>
          </cell>
          <cell r="D2279" t="str">
            <v>Box 83X83X105</v>
          </cell>
        </row>
        <row r="2280">
          <cell r="C2280">
            <v>208311.01</v>
          </cell>
          <cell r="D2280" t="str">
            <v>NA/RNA.OR 4911</v>
          </cell>
        </row>
        <row r="2281">
          <cell r="C2281">
            <v>309311.01</v>
          </cell>
          <cell r="D2281" t="str">
            <v>NA/RNA.MCG 4911</v>
          </cell>
        </row>
        <row r="2282">
          <cell r="C2282">
            <v>511311.02</v>
          </cell>
          <cell r="D2282" t="str">
            <v>RO 5.5X19.8 BP.</v>
          </cell>
        </row>
        <row r="2283">
          <cell r="C2283">
            <v>104311.01</v>
          </cell>
          <cell r="D2283" t="str">
            <v>NA/RNA.IR 4911</v>
          </cell>
        </row>
        <row r="2284">
          <cell r="C2284">
            <v>104311.01</v>
          </cell>
          <cell r="D2284" t="str">
            <v>NA/RNA.IR 4911</v>
          </cell>
        </row>
        <row r="2285">
          <cell r="C2285">
            <v>208311.01</v>
          </cell>
          <cell r="D2285" t="str">
            <v>NA/RNA.OR 4911</v>
          </cell>
        </row>
        <row r="2286">
          <cell r="C2286">
            <v>309311.01</v>
          </cell>
          <cell r="D2286" t="str">
            <v>NA/RNA.MCG 4911</v>
          </cell>
        </row>
        <row r="2287">
          <cell r="C2287">
            <v>511311.02</v>
          </cell>
          <cell r="D2287" t="str">
            <v>RO 5.5X19.8 BP.</v>
          </cell>
        </row>
        <row r="2288">
          <cell r="C2288">
            <v>104311.01</v>
          </cell>
          <cell r="D2288" t="str">
            <v>NA/RNA.IR 4911</v>
          </cell>
        </row>
        <row r="2289">
          <cell r="C2289">
            <v>208311.01</v>
          </cell>
          <cell r="D2289" t="str">
            <v>NA/RNA.OR 4911</v>
          </cell>
        </row>
        <row r="2290">
          <cell r="C2290">
            <v>309311.01</v>
          </cell>
          <cell r="D2290" t="str">
            <v>NA/RNA.MCG 4911</v>
          </cell>
        </row>
        <row r="2291">
          <cell r="C2291">
            <v>511311.02</v>
          </cell>
          <cell r="D2291" t="str">
            <v>RO 5.5X19.8 BP.</v>
          </cell>
        </row>
        <row r="2292">
          <cell r="C2292">
            <v>913017</v>
          </cell>
          <cell r="D2292" t="str">
            <v>Box 83X83X105</v>
          </cell>
        </row>
        <row r="2293">
          <cell r="C2293">
            <v>104311.01</v>
          </cell>
          <cell r="D2293" t="str">
            <v>NA/RNA.IR 4911</v>
          </cell>
        </row>
        <row r="2294">
          <cell r="C2294">
            <v>104311.01</v>
          </cell>
          <cell r="D2294" t="str">
            <v>NA/RNA.IR 4911</v>
          </cell>
        </row>
        <row r="2295">
          <cell r="C2295">
            <v>208311.01</v>
          </cell>
          <cell r="D2295" t="str">
            <v>NA/RNA.OR 4911</v>
          </cell>
        </row>
        <row r="2296">
          <cell r="C2296">
            <v>309311.01</v>
          </cell>
          <cell r="D2296" t="str">
            <v>NA/RNA.MCG 4911</v>
          </cell>
        </row>
        <row r="2297">
          <cell r="C2297">
            <v>511311.02</v>
          </cell>
          <cell r="D2297" t="str">
            <v>RO 5.5X19.8 BP.</v>
          </cell>
        </row>
        <row r="2298">
          <cell r="C2298">
            <v>913017</v>
          </cell>
          <cell r="D2298" t="str">
            <v>Box 83X83X105</v>
          </cell>
        </row>
        <row r="2299">
          <cell r="C2299">
            <v>104311.01</v>
          </cell>
          <cell r="D2299" t="str">
            <v>NA/RNA.IR 4911</v>
          </cell>
        </row>
        <row r="2300">
          <cell r="C2300">
            <v>208311.01</v>
          </cell>
          <cell r="D2300" t="str">
            <v>NA/RNA.OR 4911</v>
          </cell>
        </row>
        <row r="2301">
          <cell r="C2301">
            <v>309311.01</v>
          </cell>
          <cell r="D2301" t="str">
            <v>NA/RNA.MCG 4911</v>
          </cell>
        </row>
        <row r="2302">
          <cell r="C2302">
            <v>511311.02</v>
          </cell>
          <cell r="D2302" t="str">
            <v>RO 5.5X19.8 BP.</v>
          </cell>
        </row>
        <row r="2303">
          <cell r="C2303">
            <v>104311.01</v>
          </cell>
          <cell r="D2303" t="str">
            <v>NA/RNA.IR 4911</v>
          </cell>
        </row>
        <row r="2304">
          <cell r="C2304">
            <v>208311.01</v>
          </cell>
          <cell r="D2304" t="str">
            <v>NA/RNA.OR 4911</v>
          </cell>
        </row>
        <row r="2305">
          <cell r="C2305">
            <v>309311.01</v>
          </cell>
          <cell r="D2305" t="str">
            <v>NA/RNA.MCG 4911</v>
          </cell>
        </row>
        <row r="2306">
          <cell r="C2306">
            <v>511311.02</v>
          </cell>
          <cell r="D2306" t="str">
            <v>RO 5.5X19.8 BP.</v>
          </cell>
        </row>
        <row r="2307">
          <cell r="C2307">
            <v>104311.41</v>
          </cell>
          <cell r="D2307" t="str">
            <v>NA.IR 4911(25) 2RS</v>
          </cell>
        </row>
        <row r="2308">
          <cell r="C2308">
            <v>104311.42</v>
          </cell>
          <cell r="D2308" t="str">
            <v>NA.WASHER 4911(25) 2RS</v>
          </cell>
        </row>
        <row r="2309">
          <cell r="C2309">
            <v>208311.41</v>
          </cell>
          <cell r="D2309" t="str">
            <v>NA.OR 4911(25) 2RS</v>
          </cell>
        </row>
        <row r="2310">
          <cell r="C2310">
            <v>511311.41</v>
          </cell>
          <cell r="D2310" t="str">
            <v>RO 6X15</v>
          </cell>
        </row>
        <row r="2311">
          <cell r="C2311">
            <v>5221311.41</v>
          </cell>
        </row>
        <row r="2312">
          <cell r="C2312">
            <v>717311.41</v>
          </cell>
          <cell r="D2312" t="str">
            <v>SEAL.NA 49119(25) 2RS</v>
          </cell>
        </row>
        <row r="2313">
          <cell r="C2313">
            <v>104311.51</v>
          </cell>
          <cell r="D2313" t="str">
            <v>NA.IR 4911 2RS</v>
          </cell>
        </row>
        <row r="2314">
          <cell r="C2314">
            <v>208311.51</v>
          </cell>
          <cell r="D2314" t="str">
            <v>NA.OR 4911 2RS</v>
          </cell>
        </row>
        <row r="2315">
          <cell r="C2315">
            <v>511311.52</v>
          </cell>
          <cell r="D2315" t="str">
            <v>RO 5.050X19.8</v>
          </cell>
        </row>
        <row r="2316">
          <cell r="C2316">
            <v>717311.51</v>
          </cell>
          <cell r="D2316" t="str">
            <v>SEAL NA 4911 2RS</v>
          </cell>
        </row>
        <row r="2317">
          <cell r="C2317">
            <v>717311.52</v>
          </cell>
          <cell r="D2317" t="str">
            <v>SNAP RING NA 4911 2RS</v>
          </cell>
        </row>
        <row r="2318">
          <cell r="C2318">
            <v>100311.61</v>
          </cell>
          <cell r="D2318" t="str">
            <v>IR.MNG7435EGL</v>
          </cell>
        </row>
        <row r="2319">
          <cell r="C2319">
            <v>200311.61</v>
          </cell>
          <cell r="D2319" t="str">
            <v>OR.MNG7435EGL</v>
          </cell>
        </row>
        <row r="2320">
          <cell r="C2320">
            <v>500311.61</v>
          </cell>
          <cell r="D2320" t="str">
            <v>RO 5.05X25.4 BPM</v>
          </cell>
        </row>
        <row r="2321">
          <cell r="C2321">
            <v>5221208.0199999996</v>
          </cell>
          <cell r="D2321" t="str">
            <v>O Centoplex BE41 103BH</v>
          </cell>
        </row>
        <row r="2322">
          <cell r="C2322">
            <v>717311.51</v>
          </cell>
          <cell r="D2322" t="str">
            <v>SEAL NA 4911 2RS</v>
          </cell>
        </row>
        <row r="2323">
          <cell r="C2323">
            <v>717311.52</v>
          </cell>
          <cell r="D2323" t="str">
            <v>SNAP RING NA 4911 2RS</v>
          </cell>
        </row>
        <row r="2324">
          <cell r="C2324">
            <v>100311.7</v>
          </cell>
          <cell r="D2324" t="str">
            <v>IR.MNG7435EGL SRL</v>
          </cell>
        </row>
        <row r="2325">
          <cell r="C2325">
            <v>200311.7</v>
          </cell>
          <cell r="D2325" t="str">
            <v>OR.MNG7435EGL SRL</v>
          </cell>
        </row>
        <row r="2326">
          <cell r="C2326">
            <v>500311.7</v>
          </cell>
          <cell r="D2326" t="str">
            <v>RO 5.05X23.4 BPM</v>
          </cell>
        </row>
        <row r="2327">
          <cell r="C2327">
            <v>5221208.0199999996</v>
          </cell>
          <cell r="D2327" t="str">
            <v>O Centoplex BE41 103BH</v>
          </cell>
        </row>
        <row r="2328">
          <cell r="C2328">
            <v>717311.52</v>
          </cell>
          <cell r="D2328" t="str">
            <v>SNAP RING NA 4911 2RS</v>
          </cell>
        </row>
        <row r="2329">
          <cell r="C2329">
            <v>717311.7</v>
          </cell>
          <cell r="D2329" t="str">
            <v>SEAL NA 4911 2RS SRL</v>
          </cell>
        </row>
        <row r="2330">
          <cell r="C2330">
            <v>100311.8</v>
          </cell>
          <cell r="D2330" t="str">
            <v>IR.MNG7535EGL SPL</v>
          </cell>
        </row>
        <row r="2331">
          <cell r="C2331">
            <v>200311.8</v>
          </cell>
          <cell r="D2331" t="str">
            <v>OR.MNG7535EGL SPL</v>
          </cell>
        </row>
        <row r="2332">
          <cell r="C2332">
            <v>300311.8</v>
          </cell>
          <cell r="D2332" t="str">
            <v>MCG.MNG7535EGL.SPL</v>
          </cell>
        </row>
        <row r="2333">
          <cell r="C2333">
            <v>500311.8</v>
          </cell>
          <cell r="D2333" t="str">
            <v>RO 5.05X23.4 BP</v>
          </cell>
        </row>
        <row r="2334">
          <cell r="C2334">
            <v>5200311.8</v>
          </cell>
          <cell r="D2334" t="str">
            <v>O MOBIL-XHP-462MOLY</v>
          </cell>
        </row>
        <row r="2335">
          <cell r="C2335">
            <v>700311.8</v>
          </cell>
          <cell r="D2335" t="str">
            <v>SEAL.MNG7535EGL.SPL</v>
          </cell>
        </row>
        <row r="2336">
          <cell r="C2336">
            <v>700311.81</v>
          </cell>
          <cell r="D2336" t="str">
            <v>SNAPRING.MNG7535EGL SPL</v>
          </cell>
        </row>
        <row r="2337">
          <cell r="C2337">
            <v>100311.9</v>
          </cell>
          <cell r="D2337" t="str">
            <v>NA.IR 4911 DOUBLE ROW</v>
          </cell>
        </row>
        <row r="2338">
          <cell r="C2338">
            <v>200311.9</v>
          </cell>
          <cell r="D2338" t="str">
            <v>NA.OR 4911 DOUBLE ROW</v>
          </cell>
        </row>
        <row r="2339">
          <cell r="C2339">
            <v>309311.01</v>
          </cell>
          <cell r="D2339" t="str">
            <v>NA/RNA.MCG 4911</v>
          </cell>
        </row>
        <row r="2340">
          <cell r="C2340">
            <v>511311.02</v>
          </cell>
          <cell r="D2340" t="str">
            <v>RO 5.5X19.8 BP.</v>
          </cell>
        </row>
        <row r="2341">
          <cell r="C2341">
            <v>100311.9</v>
          </cell>
          <cell r="D2341" t="str">
            <v>NA.IR 4911 DOUBLE ROW</v>
          </cell>
        </row>
        <row r="2342">
          <cell r="C2342">
            <v>200311.9</v>
          </cell>
          <cell r="D2342" t="str">
            <v>NA.OR 4911 DOUBLE ROW</v>
          </cell>
        </row>
        <row r="2343">
          <cell r="C2343">
            <v>309311.01</v>
          </cell>
          <cell r="D2343" t="str">
            <v>NA/RNA.MCG 4911</v>
          </cell>
        </row>
        <row r="2344">
          <cell r="C2344">
            <v>511311.02</v>
          </cell>
          <cell r="D2344" t="str">
            <v>RO 5.5X19.8 BP.</v>
          </cell>
        </row>
        <row r="2345">
          <cell r="C2345">
            <v>104312.01</v>
          </cell>
          <cell r="D2345" t="str">
            <v>NA/RNA.IR 4912</v>
          </cell>
        </row>
        <row r="2346">
          <cell r="C2346">
            <v>208312.01</v>
          </cell>
          <cell r="D2346" t="str">
            <v>NA/RNA.OR 4912</v>
          </cell>
        </row>
        <row r="2347">
          <cell r="C2347">
            <v>309312.01</v>
          </cell>
          <cell r="D2347" t="str">
            <v>NA/RNA.MCG 4912</v>
          </cell>
        </row>
        <row r="2348">
          <cell r="C2348">
            <v>511311.02</v>
          </cell>
          <cell r="D2348" t="str">
            <v>RO 5.5X19.8 BP.</v>
          </cell>
        </row>
        <row r="2349">
          <cell r="C2349">
            <v>913004</v>
          </cell>
          <cell r="D2349" t="str">
            <v>Box 108x35x108</v>
          </cell>
        </row>
        <row r="2350">
          <cell r="C2350">
            <v>208312.01</v>
          </cell>
          <cell r="D2350" t="str">
            <v>NA/RNA.OR 4912</v>
          </cell>
        </row>
        <row r="2351">
          <cell r="C2351">
            <v>309312.01</v>
          </cell>
          <cell r="D2351" t="str">
            <v>NA/RNA.MCG 4912</v>
          </cell>
        </row>
        <row r="2352">
          <cell r="C2352">
            <v>511311.02</v>
          </cell>
          <cell r="D2352" t="str">
            <v>RO 5.5X19.8 BP.</v>
          </cell>
        </row>
        <row r="2353">
          <cell r="C2353">
            <v>913004</v>
          </cell>
          <cell r="D2353" t="str">
            <v>Box 108x35x108</v>
          </cell>
        </row>
        <row r="2354">
          <cell r="C2354">
            <v>104312.01</v>
          </cell>
          <cell r="D2354" t="str">
            <v>NA/RNA.IR 4912</v>
          </cell>
        </row>
        <row r="2355">
          <cell r="C2355">
            <v>104313.01</v>
          </cell>
          <cell r="D2355" t="str">
            <v>NA/RNA.IR 4913</v>
          </cell>
        </row>
        <row r="2356">
          <cell r="C2356">
            <v>208313.01</v>
          </cell>
          <cell r="D2356" t="str">
            <v>NA/RNA.OR 4913</v>
          </cell>
        </row>
        <row r="2357">
          <cell r="C2357">
            <v>309313.01</v>
          </cell>
          <cell r="D2357" t="str">
            <v>NA/RNA.MCG 4913</v>
          </cell>
        </row>
        <row r="2358">
          <cell r="C2358">
            <v>511311.02</v>
          </cell>
          <cell r="D2358" t="str">
            <v>RO 5.5X19.8 BP.</v>
          </cell>
        </row>
        <row r="2359">
          <cell r="C2359">
            <v>913004</v>
          </cell>
          <cell r="D2359" t="str">
            <v>Box 108x35x108</v>
          </cell>
        </row>
        <row r="2360">
          <cell r="C2360">
            <v>208313.01</v>
          </cell>
          <cell r="D2360" t="str">
            <v>NA/RNA.OR 4913</v>
          </cell>
        </row>
        <row r="2361">
          <cell r="C2361">
            <v>309313.01</v>
          </cell>
          <cell r="D2361" t="str">
            <v>NA/RNA.MCG 4913</v>
          </cell>
        </row>
        <row r="2362">
          <cell r="C2362">
            <v>511311.02</v>
          </cell>
          <cell r="D2362" t="str">
            <v>RO 5.5X19.8 BP.</v>
          </cell>
        </row>
        <row r="2363">
          <cell r="C2363">
            <v>913004</v>
          </cell>
          <cell r="D2363" t="str">
            <v>Box 108x35x108</v>
          </cell>
        </row>
        <row r="2364">
          <cell r="C2364">
            <v>104313.01</v>
          </cell>
          <cell r="D2364" t="str">
            <v>NA/RNA.IR 4913</v>
          </cell>
        </row>
        <row r="2365">
          <cell r="C2365">
            <v>208313.01</v>
          </cell>
          <cell r="D2365" t="str">
            <v>NA/RNA.OR 4913</v>
          </cell>
        </row>
        <row r="2366">
          <cell r="C2366">
            <v>309313.01</v>
          </cell>
          <cell r="D2366" t="str">
            <v>NA/RNA.MCG 4913</v>
          </cell>
        </row>
        <row r="2367">
          <cell r="C2367">
            <v>511311.02</v>
          </cell>
          <cell r="D2367" t="str">
            <v>RO 5.5X19.8 BP.</v>
          </cell>
        </row>
        <row r="2368">
          <cell r="C2368">
            <v>913004</v>
          </cell>
          <cell r="D2368" t="str">
            <v>Box 108x35x108</v>
          </cell>
        </row>
        <row r="2369">
          <cell r="C2369">
            <v>104314.01</v>
          </cell>
          <cell r="D2369" t="str">
            <v>NA/RNA.IR 4914</v>
          </cell>
        </row>
        <row r="2370">
          <cell r="C2370">
            <v>208314.01</v>
          </cell>
          <cell r="D2370" t="str">
            <v>NA/RNA.OR 4914</v>
          </cell>
        </row>
        <row r="2371">
          <cell r="C2371">
            <v>309314.01</v>
          </cell>
          <cell r="D2371" t="str">
            <v>NA/RNA.MCG 4914</v>
          </cell>
        </row>
        <row r="2372">
          <cell r="C2372">
            <v>511314.01</v>
          </cell>
          <cell r="D2372" t="str">
            <v>RO 6.5X22.8</v>
          </cell>
        </row>
        <row r="2373">
          <cell r="C2373">
            <v>913004</v>
          </cell>
          <cell r="D2373" t="str">
            <v>Box 108x35x108</v>
          </cell>
        </row>
        <row r="2374">
          <cell r="C2374">
            <v>208314.01</v>
          </cell>
          <cell r="D2374" t="str">
            <v>NA/RNA.OR 4914</v>
          </cell>
        </row>
        <row r="2375">
          <cell r="C2375">
            <v>309314.01</v>
          </cell>
          <cell r="D2375" t="str">
            <v>NA/RNA.MCG 4914</v>
          </cell>
        </row>
        <row r="2376">
          <cell r="C2376">
            <v>511314.01</v>
          </cell>
          <cell r="D2376" t="str">
            <v>RO 6.5X22.8</v>
          </cell>
        </row>
        <row r="2377">
          <cell r="C2377">
            <v>913004</v>
          </cell>
          <cell r="D2377" t="str">
            <v>Box 108x35x108</v>
          </cell>
        </row>
        <row r="2378">
          <cell r="C2378">
            <v>104314.01</v>
          </cell>
          <cell r="D2378" t="str">
            <v>NA/RNA.IR 4914</v>
          </cell>
        </row>
        <row r="2379">
          <cell r="C2379">
            <v>208314.01</v>
          </cell>
          <cell r="D2379" t="str">
            <v>NA/RNA.OR 4914</v>
          </cell>
        </row>
        <row r="2380">
          <cell r="C2380">
            <v>309314.01</v>
          </cell>
          <cell r="D2380" t="str">
            <v>NA/RNA.MCG 4914</v>
          </cell>
        </row>
        <row r="2381">
          <cell r="C2381">
            <v>511314.01</v>
          </cell>
          <cell r="D2381" t="str">
            <v>RO 6.5X22.8</v>
          </cell>
        </row>
        <row r="2382">
          <cell r="C2382">
            <v>913004</v>
          </cell>
          <cell r="D2382" t="str">
            <v>Box 108x35x108</v>
          </cell>
        </row>
        <row r="2383">
          <cell r="C2383">
            <v>104315.01</v>
          </cell>
          <cell r="D2383" t="str">
            <v>NA/RNA.IR 4915</v>
          </cell>
        </row>
        <row r="2384">
          <cell r="C2384">
            <v>208315.01</v>
          </cell>
          <cell r="D2384" t="str">
            <v>NA/RNA.OR 4915</v>
          </cell>
        </row>
        <row r="2385">
          <cell r="C2385">
            <v>309315.01</v>
          </cell>
          <cell r="D2385" t="str">
            <v>NA/RNA.MCG 4915</v>
          </cell>
        </row>
        <row r="2386">
          <cell r="C2386">
            <v>511314.01</v>
          </cell>
          <cell r="D2386" t="str">
            <v>RO 6.5X22.8</v>
          </cell>
        </row>
        <row r="2387">
          <cell r="C2387">
            <v>913004</v>
          </cell>
          <cell r="D2387" t="str">
            <v>Box 108x35x108</v>
          </cell>
        </row>
        <row r="2388">
          <cell r="C2388">
            <v>208315.01</v>
          </cell>
          <cell r="D2388" t="str">
            <v>NA/RNA.OR 4915</v>
          </cell>
        </row>
        <row r="2389">
          <cell r="C2389">
            <v>309315.01</v>
          </cell>
          <cell r="D2389" t="str">
            <v>NA/RNA.MCG 4915</v>
          </cell>
        </row>
        <row r="2390">
          <cell r="C2390">
            <v>511314.01</v>
          </cell>
          <cell r="D2390" t="str">
            <v>RO 6.5X22.8</v>
          </cell>
        </row>
        <row r="2391">
          <cell r="C2391">
            <v>913004</v>
          </cell>
          <cell r="D2391" t="str">
            <v>Box 108x35x108</v>
          </cell>
        </row>
        <row r="2392">
          <cell r="C2392">
            <v>104315.01</v>
          </cell>
          <cell r="D2392" t="str">
            <v>NA/RNA.IR 4915</v>
          </cell>
        </row>
        <row r="2393">
          <cell r="C2393">
            <v>104316.01</v>
          </cell>
          <cell r="D2393" t="str">
            <v>NA/RNA.IR 4916</v>
          </cell>
        </row>
        <row r="2394">
          <cell r="C2394">
            <v>208316.01</v>
          </cell>
          <cell r="D2394" t="str">
            <v>NA/RNA.OR 4916</v>
          </cell>
        </row>
        <row r="2395">
          <cell r="C2395">
            <v>309316.01</v>
          </cell>
          <cell r="D2395" t="str">
            <v>NA/RNA.MCG 4916</v>
          </cell>
        </row>
        <row r="2396">
          <cell r="C2396">
            <v>511314.01</v>
          </cell>
          <cell r="D2396" t="str">
            <v>RO 6.5X22.8</v>
          </cell>
        </row>
        <row r="2397">
          <cell r="C2397">
            <v>913004</v>
          </cell>
          <cell r="D2397" t="str">
            <v>Box 108x35x108</v>
          </cell>
        </row>
        <row r="2398">
          <cell r="C2398">
            <v>208316.01</v>
          </cell>
          <cell r="D2398" t="str">
            <v>NA/RNA.OR 4916</v>
          </cell>
        </row>
        <row r="2399">
          <cell r="C2399">
            <v>309316.01</v>
          </cell>
          <cell r="D2399" t="str">
            <v>NA/RNA.MCG 4916</v>
          </cell>
        </row>
        <row r="2400">
          <cell r="C2400">
            <v>511314.01</v>
          </cell>
          <cell r="D2400" t="str">
            <v>RO 6.5X22.8</v>
          </cell>
        </row>
        <row r="2401">
          <cell r="C2401">
            <v>913004</v>
          </cell>
          <cell r="D2401" t="str">
            <v>Box 108x35x108</v>
          </cell>
        </row>
        <row r="2402">
          <cell r="C2402">
            <v>104316.01</v>
          </cell>
          <cell r="D2402" t="str">
            <v>NA/RNA.IR 4916</v>
          </cell>
        </row>
        <row r="2403">
          <cell r="C2403">
            <v>309316.01</v>
          </cell>
          <cell r="D2403" t="str">
            <v>NA/RNA.MCG 4916</v>
          </cell>
        </row>
        <row r="2404">
          <cell r="C2404">
            <v>511314.01</v>
          </cell>
          <cell r="D2404" t="str">
            <v>RO 6.5X22.8</v>
          </cell>
        </row>
        <row r="2405">
          <cell r="C2405">
            <v>104317.01</v>
          </cell>
          <cell r="D2405" t="str">
            <v>NA/RNA.IR 4917</v>
          </cell>
        </row>
        <row r="2406">
          <cell r="C2406">
            <v>208317.01</v>
          </cell>
          <cell r="D2406" t="str">
            <v>NA/RNA.OR 4917</v>
          </cell>
        </row>
        <row r="2407">
          <cell r="C2407">
            <v>309317.01</v>
          </cell>
          <cell r="D2407" t="str">
            <v>NA/RNA.MCG 4917</v>
          </cell>
        </row>
        <row r="2408">
          <cell r="C2408">
            <v>511999</v>
          </cell>
          <cell r="D2408" t="str">
            <v>RO 6X26.8</v>
          </cell>
        </row>
        <row r="2409">
          <cell r="C2409">
            <v>208317.01</v>
          </cell>
          <cell r="D2409" t="str">
            <v>NA/RNA.OR 4917</v>
          </cell>
        </row>
        <row r="2410">
          <cell r="C2410">
            <v>309317.01</v>
          </cell>
          <cell r="D2410" t="str">
            <v>NA/RNA.MCG 4917</v>
          </cell>
        </row>
        <row r="2411">
          <cell r="C2411">
            <v>511999</v>
          </cell>
          <cell r="D2411" t="str">
            <v>RO 6X26.8</v>
          </cell>
        </row>
        <row r="2412">
          <cell r="C2412">
            <v>104317.01</v>
          </cell>
          <cell r="D2412" t="str">
            <v>NA/RNA.IR 4917</v>
          </cell>
        </row>
        <row r="2413">
          <cell r="C2413">
            <v>104318.01</v>
          </cell>
          <cell r="D2413" t="str">
            <v>NA/RNA.IR 4918</v>
          </cell>
        </row>
        <row r="2414">
          <cell r="C2414">
            <v>208318.01</v>
          </cell>
          <cell r="D2414" t="str">
            <v>NA/RNA.OR 4918</v>
          </cell>
        </row>
        <row r="2415">
          <cell r="C2415">
            <v>309318.01</v>
          </cell>
          <cell r="D2415" t="str">
            <v>NA/RNA.MCG 4918</v>
          </cell>
        </row>
        <row r="2416">
          <cell r="C2416">
            <v>511318.01</v>
          </cell>
          <cell r="D2416" t="str">
            <v>RO 6.5X27.8</v>
          </cell>
        </row>
        <row r="2417">
          <cell r="C2417">
            <v>208318.01</v>
          </cell>
          <cell r="D2417" t="str">
            <v>NA/RNA.OR 4918</v>
          </cell>
        </row>
        <row r="2418">
          <cell r="C2418">
            <v>309318.01</v>
          </cell>
          <cell r="D2418" t="str">
            <v>NA/RNA.MCG 4918</v>
          </cell>
        </row>
        <row r="2419">
          <cell r="C2419">
            <v>511318.01</v>
          </cell>
          <cell r="D2419" t="str">
            <v>RO 6.5X27.8</v>
          </cell>
        </row>
        <row r="2420">
          <cell r="C2420">
            <v>104318.01</v>
          </cell>
          <cell r="D2420" t="str">
            <v>NA/RNA.IR 4918</v>
          </cell>
        </row>
        <row r="2421">
          <cell r="C2421">
            <v>104319.01</v>
          </cell>
          <cell r="D2421" t="str">
            <v>NA/RNA.IR 4919</v>
          </cell>
        </row>
        <row r="2422">
          <cell r="C2422">
            <v>208319.01</v>
          </cell>
          <cell r="D2422" t="str">
            <v>NA/RNA.OR 4919</v>
          </cell>
        </row>
        <row r="2423">
          <cell r="C2423">
            <v>309319.01</v>
          </cell>
          <cell r="D2423" t="str">
            <v>NA/RNA.MCG 4919</v>
          </cell>
        </row>
        <row r="2424">
          <cell r="C2424">
            <v>511318.01</v>
          </cell>
          <cell r="D2424" t="str">
            <v>RO 6.5X27.8</v>
          </cell>
        </row>
        <row r="2425">
          <cell r="C2425">
            <v>208319.01</v>
          </cell>
          <cell r="D2425" t="str">
            <v>NA/RNA.OR 4919</v>
          </cell>
        </row>
        <row r="2426">
          <cell r="C2426">
            <v>309319.01</v>
          </cell>
          <cell r="D2426" t="str">
            <v>NA/RNA.MCG 4919</v>
          </cell>
        </row>
        <row r="2427">
          <cell r="C2427">
            <v>511318.01</v>
          </cell>
          <cell r="D2427" t="str">
            <v>RO 6.5X27.8</v>
          </cell>
        </row>
        <row r="2428">
          <cell r="C2428">
            <v>104319.01</v>
          </cell>
          <cell r="D2428" t="str">
            <v>NA/RNA.IR 4919</v>
          </cell>
        </row>
        <row r="2429">
          <cell r="C2429">
            <v>309319.01</v>
          </cell>
          <cell r="D2429" t="str">
            <v>NA/RNA.MCG 4919</v>
          </cell>
        </row>
        <row r="2430">
          <cell r="C2430">
            <v>511318.01</v>
          </cell>
          <cell r="D2430" t="str">
            <v>RO 6.5X27.8</v>
          </cell>
        </row>
        <row r="2431">
          <cell r="C2431">
            <v>511318.01</v>
          </cell>
          <cell r="D2431" t="str">
            <v>RO 6.5X27.8</v>
          </cell>
        </row>
        <row r="2432">
          <cell r="C2432">
            <v>104320.01</v>
          </cell>
          <cell r="D2432" t="str">
            <v>NA/RNA.IR 49/22</v>
          </cell>
        </row>
        <row r="2433">
          <cell r="C2433">
            <v>208320.01</v>
          </cell>
          <cell r="D2433" t="str">
            <v>NA/RNA.OR 49/22</v>
          </cell>
        </row>
        <row r="2434">
          <cell r="C2434">
            <v>309320.01</v>
          </cell>
          <cell r="D2434" t="str">
            <v>NA/RNA.MCG 49/22</v>
          </cell>
        </row>
        <row r="2435">
          <cell r="C2435">
            <v>511304.01</v>
          </cell>
          <cell r="D2435" t="str">
            <v>RO 4X12.8</v>
          </cell>
        </row>
        <row r="2436">
          <cell r="C2436">
            <v>913006</v>
          </cell>
          <cell r="D2436" t="str">
            <v>Box 50x35x50</v>
          </cell>
        </row>
        <row r="2437">
          <cell r="C2437">
            <v>208320.01</v>
          </cell>
          <cell r="D2437" t="str">
            <v>NA/RNA.OR 49/22</v>
          </cell>
        </row>
        <row r="2438">
          <cell r="C2438">
            <v>309320.01</v>
          </cell>
          <cell r="D2438" t="str">
            <v>NA/RNA.MCG 49/22</v>
          </cell>
        </row>
        <row r="2439">
          <cell r="C2439">
            <v>511304.01</v>
          </cell>
          <cell r="D2439" t="str">
            <v>RO 4X12.8</v>
          </cell>
        </row>
        <row r="2440">
          <cell r="C2440">
            <v>913006</v>
          </cell>
          <cell r="D2440" t="str">
            <v>Box 50x35x50</v>
          </cell>
        </row>
        <row r="2441">
          <cell r="C2441">
            <v>104320.01</v>
          </cell>
          <cell r="D2441" t="str">
            <v>NA/RNA.IR 49/22</v>
          </cell>
        </row>
        <row r="2442">
          <cell r="C2442">
            <v>104321.01</v>
          </cell>
          <cell r="D2442" t="str">
            <v>NA/RNA.IR 49/28</v>
          </cell>
        </row>
        <row r="2443">
          <cell r="C2443">
            <v>208321.01</v>
          </cell>
          <cell r="D2443" t="str">
            <v>NA/RNA.OR 49/28</v>
          </cell>
        </row>
        <row r="2444">
          <cell r="C2444">
            <v>309321.01</v>
          </cell>
          <cell r="D2444" t="str">
            <v>NA/RNA.MCG 49/28</v>
          </cell>
        </row>
        <row r="2445">
          <cell r="C2445">
            <v>511304.01</v>
          </cell>
          <cell r="D2445" t="str">
            <v>RO 4X12.8</v>
          </cell>
        </row>
        <row r="2446">
          <cell r="C2446">
            <v>913006</v>
          </cell>
          <cell r="D2446" t="str">
            <v>Box 50x35x50</v>
          </cell>
        </row>
        <row r="2447">
          <cell r="C2447">
            <v>208321.01</v>
          </cell>
          <cell r="D2447" t="str">
            <v>NA/RNA.OR 49/28</v>
          </cell>
        </row>
        <row r="2448">
          <cell r="C2448">
            <v>309321.01</v>
          </cell>
          <cell r="D2448" t="str">
            <v>NA/RNA.MCG 49/28</v>
          </cell>
        </row>
        <row r="2449">
          <cell r="C2449">
            <v>511304.01</v>
          </cell>
          <cell r="D2449" t="str">
            <v>RO 4X12.8</v>
          </cell>
        </row>
        <row r="2450">
          <cell r="C2450">
            <v>913006</v>
          </cell>
          <cell r="D2450" t="str">
            <v>Box 50x35x50</v>
          </cell>
        </row>
        <row r="2451">
          <cell r="C2451">
            <v>104321.01</v>
          </cell>
          <cell r="D2451" t="str">
            <v>NA/RNA.IR 49/28</v>
          </cell>
        </row>
        <row r="2452">
          <cell r="C2452">
            <v>104322.01</v>
          </cell>
          <cell r="D2452" t="str">
            <v>NA/RNA.IR 49/32</v>
          </cell>
        </row>
        <row r="2453">
          <cell r="C2453">
            <v>208322.01</v>
          </cell>
          <cell r="D2453" t="str">
            <v>NA/RNA.OR 49/32</v>
          </cell>
        </row>
        <row r="2454">
          <cell r="C2454">
            <v>309322.01</v>
          </cell>
          <cell r="D2454" t="str">
            <v>NA/RNA.MCG 49/32</v>
          </cell>
        </row>
        <row r="2455">
          <cell r="C2455">
            <v>511304.01</v>
          </cell>
          <cell r="D2455" t="str">
            <v>RO 4X12.8</v>
          </cell>
        </row>
        <row r="2456">
          <cell r="C2456">
            <v>913006</v>
          </cell>
          <cell r="D2456" t="str">
            <v>Box 50x35x50</v>
          </cell>
        </row>
        <row r="2457">
          <cell r="C2457">
            <v>208322.01</v>
          </cell>
          <cell r="D2457" t="str">
            <v>NA/RNA.OR 49/32</v>
          </cell>
        </row>
        <row r="2458">
          <cell r="C2458">
            <v>309322.01</v>
          </cell>
          <cell r="D2458" t="str">
            <v>NA/RNA.MCG 49/32</v>
          </cell>
        </row>
        <row r="2459">
          <cell r="C2459">
            <v>511304.01</v>
          </cell>
          <cell r="D2459" t="str">
            <v>RO 4X12.8</v>
          </cell>
        </row>
        <row r="2460">
          <cell r="C2460">
            <v>913006</v>
          </cell>
          <cell r="D2460" t="str">
            <v>Box 50x35x50</v>
          </cell>
        </row>
        <row r="2461">
          <cell r="C2461">
            <v>104322.01</v>
          </cell>
          <cell r="D2461" t="str">
            <v>NA/RNA.IR 49/32</v>
          </cell>
        </row>
        <row r="2462">
          <cell r="C2462">
            <v>208322.01</v>
          </cell>
          <cell r="D2462" t="str">
            <v>NA/RNA.OR 49/32</v>
          </cell>
        </row>
        <row r="2463">
          <cell r="C2463">
            <v>309322.01</v>
          </cell>
          <cell r="D2463" t="str">
            <v>NA/RNA.MCG 49/32</v>
          </cell>
        </row>
        <row r="2464">
          <cell r="C2464">
            <v>511304.01</v>
          </cell>
          <cell r="D2464" t="str">
            <v>RO 4X12.8</v>
          </cell>
        </row>
        <row r="2465">
          <cell r="C2465">
            <v>913006</v>
          </cell>
          <cell r="D2465" t="str">
            <v>Box 50x35x50</v>
          </cell>
        </row>
        <row r="2466">
          <cell r="C2466">
            <v>104323.01</v>
          </cell>
          <cell r="D2466" t="str">
            <v>NA/RNA.IR 49/48         F</v>
          </cell>
        </row>
        <row r="2467">
          <cell r="C2467">
            <v>208323.01</v>
          </cell>
          <cell r="D2467" t="str">
            <v>NA/RNA.OR 49/48         F</v>
          </cell>
        </row>
        <row r="2468">
          <cell r="C2468">
            <v>309323.01</v>
          </cell>
          <cell r="D2468" t="str">
            <v>NA/RNA.MCG 49/48</v>
          </cell>
        </row>
        <row r="2469">
          <cell r="C2469">
            <v>511375.01</v>
          </cell>
          <cell r="D2469" t="str">
            <v>RO 4.5X15.8</v>
          </cell>
        </row>
        <row r="2470">
          <cell r="C2470">
            <v>208323.01</v>
          </cell>
          <cell r="D2470" t="str">
            <v>NA/RNA.OR 49/48         F</v>
          </cell>
        </row>
        <row r="2471">
          <cell r="C2471">
            <v>309323.01</v>
          </cell>
          <cell r="D2471" t="str">
            <v>NA/RNA.MCG 49/48</v>
          </cell>
        </row>
        <row r="2472">
          <cell r="C2472">
            <v>511375.01</v>
          </cell>
          <cell r="D2472" t="str">
            <v>RO 4.5X15.8</v>
          </cell>
        </row>
        <row r="2473">
          <cell r="C2473">
            <v>104323.01</v>
          </cell>
          <cell r="D2473" t="str">
            <v>NA/RNA.IR 49/48         F</v>
          </cell>
        </row>
        <row r="2474">
          <cell r="C2474">
            <v>208323.01</v>
          </cell>
          <cell r="D2474" t="str">
            <v>NA/RNA.OR 49/48         F</v>
          </cell>
        </row>
        <row r="2475">
          <cell r="C2475">
            <v>309323.01</v>
          </cell>
          <cell r="D2475" t="str">
            <v>NA/RNA.MCG 49/48</v>
          </cell>
        </row>
        <row r="2476">
          <cell r="C2476">
            <v>511375.01</v>
          </cell>
          <cell r="D2476" t="str">
            <v>RO 4.5X15.8</v>
          </cell>
        </row>
        <row r="2477">
          <cell r="C2477">
            <v>4324.01</v>
          </cell>
        </row>
        <row r="2478">
          <cell r="C2478">
            <v>8324.01</v>
          </cell>
        </row>
        <row r="2479">
          <cell r="C2479">
            <v>9324.01</v>
          </cell>
        </row>
        <row r="2480">
          <cell r="C2480">
            <v>104325.01</v>
          </cell>
          <cell r="D2480" t="str">
            <v>NA/RNA.IR 6901</v>
          </cell>
        </row>
        <row r="2481">
          <cell r="C2481">
            <v>208325.01</v>
          </cell>
          <cell r="D2481" t="str">
            <v>NA/RNA.OR 6901</v>
          </cell>
        </row>
        <row r="2482">
          <cell r="C2482">
            <v>309325.01</v>
          </cell>
          <cell r="D2482" t="str">
            <v>NA/RNA.MCG 6901</v>
          </cell>
        </row>
        <row r="2483">
          <cell r="C2483">
            <v>511325.01</v>
          </cell>
          <cell r="D2483" t="str">
            <v>RO 2.5X17.8</v>
          </cell>
        </row>
        <row r="2484">
          <cell r="C2484">
            <v>913016</v>
          </cell>
          <cell r="D2484" t="str">
            <v>Box 250x40x50</v>
          </cell>
        </row>
        <row r="2485">
          <cell r="C2485">
            <v>208325.01</v>
          </cell>
          <cell r="D2485" t="str">
            <v>NA/RNA.OR 6901</v>
          </cell>
        </row>
        <row r="2486">
          <cell r="C2486">
            <v>309325.01</v>
          </cell>
          <cell r="D2486" t="str">
            <v>NA/RNA.MCG 6901</v>
          </cell>
        </row>
        <row r="2487">
          <cell r="C2487">
            <v>511325.01</v>
          </cell>
          <cell r="D2487" t="str">
            <v>RO 2.5X17.8</v>
          </cell>
        </row>
        <row r="2488">
          <cell r="C2488">
            <v>913016</v>
          </cell>
          <cell r="D2488" t="str">
            <v>Box 250x40x50</v>
          </cell>
        </row>
        <row r="2489">
          <cell r="C2489">
            <v>104325.01</v>
          </cell>
          <cell r="D2489" t="str">
            <v>NA/RNA.IR 6901</v>
          </cell>
        </row>
        <row r="2490">
          <cell r="C2490">
            <v>104326.01</v>
          </cell>
          <cell r="D2490" t="str">
            <v>NA/RNA.IR 6902</v>
          </cell>
        </row>
        <row r="2491">
          <cell r="C2491">
            <v>208326.01</v>
          </cell>
          <cell r="D2491" t="str">
            <v>NA/RNA.OR 6902</v>
          </cell>
        </row>
        <row r="2492">
          <cell r="C2492">
            <v>309326.01</v>
          </cell>
          <cell r="D2492" t="str">
            <v>NA/RNA.MCG 6902</v>
          </cell>
        </row>
        <row r="2493">
          <cell r="C2493">
            <v>511325.01</v>
          </cell>
          <cell r="D2493" t="str">
            <v>RO 2.5X17.8</v>
          </cell>
        </row>
        <row r="2494">
          <cell r="C2494">
            <v>913016</v>
          </cell>
          <cell r="D2494" t="str">
            <v>Box 250x40x50</v>
          </cell>
        </row>
        <row r="2495">
          <cell r="C2495">
            <v>208326.01</v>
          </cell>
          <cell r="D2495" t="str">
            <v>NA/RNA.OR 6902</v>
          </cell>
        </row>
        <row r="2496">
          <cell r="C2496">
            <v>309326.01</v>
          </cell>
          <cell r="D2496" t="str">
            <v>NA/RNA.MCG 6902</v>
          </cell>
        </row>
        <row r="2497">
          <cell r="C2497">
            <v>511325.01</v>
          </cell>
          <cell r="D2497" t="str">
            <v>RO 2.5X17.8</v>
          </cell>
        </row>
        <row r="2498">
          <cell r="C2498">
            <v>913016</v>
          </cell>
          <cell r="D2498" t="str">
            <v>Box 250x40x50</v>
          </cell>
        </row>
        <row r="2499">
          <cell r="C2499">
            <v>104326.01</v>
          </cell>
          <cell r="D2499" t="str">
            <v>NA/RNA.IR 6902</v>
          </cell>
        </row>
        <row r="2500">
          <cell r="C2500">
            <v>208326.01</v>
          </cell>
          <cell r="D2500" t="str">
            <v>NA/RNA.OR 6902</v>
          </cell>
        </row>
        <row r="2501">
          <cell r="C2501">
            <v>309326.01</v>
          </cell>
          <cell r="D2501" t="str">
            <v>NA/RNA.MCG 6902</v>
          </cell>
        </row>
        <row r="2502">
          <cell r="C2502">
            <v>511325.01</v>
          </cell>
          <cell r="D2502" t="str">
            <v>RO 2.5X17.8</v>
          </cell>
        </row>
        <row r="2503">
          <cell r="C2503">
            <v>913016</v>
          </cell>
          <cell r="D2503" t="str">
            <v>Box 250x40x50</v>
          </cell>
        </row>
        <row r="2504">
          <cell r="C2504">
            <v>104327.01</v>
          </cell>
          <cell r="D2504" t="str">
            <v>NA/RNA.IR 6903</v>
          </cell>
        </row>
        <row r="2505">
          <cell r="C2505">
            <v>208327.01</v>
          </cell>
          <cell r="D2505" t="str">
            <v>NA/RNA.OR 6903</v>
          </cell>
        </row>
        <row r="2506">
          <cell r="C2506">
            <v>309327.01</v>
          </cell>
          <cell r="D2506" t="str">
            <v>NA/RNA.MCG 6903</v>
          </cell>
        </row>
        <row r="2507">
          <cell r="C2507">
            <v>511325.01</v>
          </cell>
          <cell r="D2507" t="str">
            <v>RO 2.5X17.8</v>
          </cell>
        </row>
        <row r="2508">
          <cell r="C2508">
            <v>913016</v>
          </cell>
          <cell r="D2508" t="str">
            <v>Box 250x40x50</v>
          </cell>
        </row>
        <row r="2509">
          <cell r="C2509">
            <v>208327.01</v>
          </cell>
          <cell r="D2509" t="str">
            <v>NA/RNA.OR 6903</v>
          </cell>
        </row>
        <row r="2510">
          <cell r="C2510">
            <v>309327.01</v>
          </cell>
          <cell r="D2510" t="str">
            <v>NA/RNA.MCG 6903</v>
          </cell>
        </row>
        <row r="2511">
          <cell r="C2511">
            <v>511325.01</v>
          </cell>
          <cell r="D2511" t="str">
            <v>RO 2.5X17.8</v>
          </cell>
        </row>
        <row r="2512">
          <cell r="C2512">
            <v>913016</v>
          </cell>
          <cell r="D2512" t="str">
            <v>Box 250x40x50</v>
          </cell>
        </row>
        <row r="2513">
          <cell r="C2513">
            <v>104327.01</v>
          </cell>
          <cell r="D2513" t="str">
            <v>NA/RNA.IR 6903</v>
          </cell>
        </row>
        <row r="2514">
          <cell r="C2514">
            <v>104328.01</v>
          </cell>
          <cell r="D2514" t="str">
            <v>NA/RNA.IR 6904</v>
          </cell>
        </row>
        <row r="2515">
          <cell r="C2515">
            <v>208328.01</v>
          </cell>
          <cell r="D2515" t="str">
            <v>NA/RNA.OR 6904</v>
          </cell>
        </row>
        <row r="2516">
          <cell r="C2516">
            <v>309328.01</v>
          </cell>
          <cell r="D2516" t="str">
            <v>NA/RNA.MCG 6904</v>
          </cell>
        </row>
        <row r="2517">
          <cell r="C2517">
            <v>511509.01</v>
          </cell>
          <cell r="D2517" t="str">
            <v>RO 4X25.8</v>
          </cell>
        </row>
        <row r="2518">
          <cell r="C2518">
            <v>913006</v>
          </cell>
          <cell r="D2518" t="str">
            <v>Box 50x35x50</v>
          </cell>
        </row>
        <row r="2519">
          <cell r="C2519">
            <v>208328.01</v>
          </cell>
          <cell r="D2519" t="str">
            <v>NA/RNA.OR 6904</v>
          </cell>
        </row>
        <row r="2520">
          <cell r="C2520">
            <v>309328.01</v>
          </cell>
          <cell r="D2520" t="str">
            <v>NA/RNA.MCG 6904</v>
          </cell>
        </row>
        <row r="2521">
          <cell r="C2521">
            <v>511509.01</v>
          </cell>
          <cell r="D2521" t="str">
            <v>RO 4X25.8</v>
          </cell>
        </row>
        <row r="2522">
          <cell r="C2522">
            <v>913006</v>
          </cell>
          <cell r="D2522" t="str">
            <v>Box 50x35x50</v>
          </cell>
        </row>
        <row r="2523">
          <cell r="C2523">
            <v>104328.01</v>
          </cell>
          <cell r="D2523" t="str">
            <v>NA/RNA.IR 6904</v>
          </cell>
        </row>
        <row r="2524">
          <cell r="C2524">
            <v>104328.01</v>
          </cell>
          <cell r="D2524" t="str">
            <v>NA/RNA.IR 6904</v>
          </cell>
        </row>
        <row r="2525">
          <cell r="C2525">
            <v>208328.01</v>
          </cell>
          <cell r="D2525" t="str">
            <v>NA/RNA.OR 6904</v>
          </cell>
        </row>
        <row r="2526">
          <cell r="C2526">
            <v>309328.01</v>
          </cell>
          <cell r="D2526" t="str">
            <v>NA/RNA.MCG 6904</v>
          </cell>
        </row>
        <row r="2527">
          <cell r="C2527">
            <v>511509.01</v>
          </cell>
          <cell r="D2527" t="str">
            <v>RO 4X25.8</v>
          </cell>
        </row>
        <row r="2528">
          <cell r="C2528">
            <v>104328.01</v>
          </cell>
          <cell r="D2528" t="str">
            <v>NA/RNA.IR 6904</v>
          </cell>
        </row>
        <row r="2529">
          <cell r="C2529">
            <v>104329.01</v>
          </cell>
          <cell r="D2529" t="str">
            <v>NA/RNA.IR 6905</v>
          </cell>
        </row>
        <row r="2530">
          <cell r="C2530">
            <v>208329.01</v>
          </cell>
          <cell r="D2530" t="str">
            <v>NA/RNA.OR 6905 DR</v>
          </cell>
        </row>
        <row r="2531">
          <cell r="C2531">
            <v>309329.02</v>
          </cell>
          <cell r="D2531" t="str">
            <v>NA/RNA.MCG 6905 (DR)</v>
          </cell>
        </row>
        <row r="2532">
          <cell r="C2532">
            <v>511989</v>
          </cell>
          <cell r="D2532" t="str">
            <v>RO 3.5X10.8</v>
          </cell>
        </row>
        <row r="2533">
          <cell r="C2533">
            <v>913006</v>
          </cell>
          <cell r="D2533" t="str">
            <v>Box 50x35x50</v>
          </cell>
        </row>
        <row r="2534">
          <cell r="C2534">
            <v>208329.01</v>
          </cell>
          <cell r="D2534" t="str">
            <v>NA/RNA.OR 6905 DR</v>
          </cell>
        </row>
        <row r="2535">
          <cell r="C2535">
            <v>309329.02</v>
          </cell>
          <cell r="D2535" t="str">
            <v>NA/RNA.MCG 6905 (DR)</v>
          </cell>
        </row>
        <row r="2536">
          <cell r="C2536">
            <v>511989</v>
          </cell>
          <cell r="D2536" t="str">
            <v>RO 3.5X10.8</v>
          </cell>
        </row>
        <row r="2537">
          <cell r="C2537">
            <v>913006</v>
          </cell>
          <cell r="D2537" t="str">
            <v>Box 50x35x50</v>
          </cell>
        </row>
        <row r="2538">
          <cell r="C2538">
            <v>104329.01</v>
          </cell>
          <cell r="D2538" t="str">
            <v>NA/RNA.IR 6905</v>
          </cell>
        </row>
        <row r="2539">
          <cell r="C2539">
            <v>104329.01</v>
          </cell>
          <cell r="D2539" t="str">
            <v>NA/RNA.IR 6905</v>
          </cell>
        </row>
        <row r="2540">
          <cell r="C2540">
            <v>208329.04</v>
          </cell>
          <cell r="D2540" t="str">
            <v>NA/RNA.OR 6905 DR SPL.  F</v>
          </cell>
        </row>
        <row r="2541">
          <cell r="C2541">
            <v>309329.03999999998</v>
          </cell>
          <cell r="D2541" t="str">
            <v>NA/RNA.MCG 6905 DR SPL.</v>
          </cell>
        </row>
        <row r="2542">
          <cell r="C2542">
            <v>511120</v>
          </cell>
          <cell r="D2542" t="str">
            <v>RO 3X11.8</v>
          </cell>
        </row>
        <row r="2543">
          <cell r="C2543">
            <v>913006</v>
          </cell>
          <cell r="D2543" t="str">
            <v>Box 50x35x50</v>
          </cell>
        </row>
        <row r="2544">
          <cell r="C2544">
            <v>208329.04</v>
          </cell>
          <cell r="D2544" t="str">
            <v>NA/RNA.OR 6905 DR SPL.  F</v>
          </cell>
        </row>
        <row r="2545">
          <cell r="C2545">
            <v>309329.03999999998</v>
          </cell>
          <cell r="D2545" t="str">
            <v>NA/RNA.MCG 6905 DR SPL.</v>
          </cell>
        </row>
        <row r="2546">
          <cell r="C2546">
            <v>511120</v>
          </cell>
          <cell r="D2546" t="str">
            <v>RO 3X11.8</v>
          </cell>
        </row>
        <row r="2547">
          <cell r="C2547">
            <v>913006</v>
          </cell>
          <cell r="D2547" t="str">
            <v>Box 50x35x50</v>
          </cell>
        </row>
        <row r="2548">
          <cell r="C2548">
            <v>104330.01</v>
          </cell>
          <cell r="D2548" t="str">
            <v>NA/RNA.IR 6906</v>
          </cell>
        </row>
        <row r="2549">
          <cell r="C2549">
            <v>208330.01</v>
          </cell>
          <cell r="D2549" t="str">
            <v>NA/RNA.OR 6906</v>
          </cell>
        </row>
        <row r="2550">
          <cell r="C2550">
            <v>309330.01</v>
          </cell>
          <cell r="D2550" t="str">
            <v>NA/RNA.MCG 6906</v>
          </cell>
        </row>
        <row r="2551">
          <cell r="C2551">
            <v>511509.01</v>
          </cell>
          <cell r="D2551" t="str">
            <v>RO 4X25.8</v>
          </cell>
        </row>
        <row r="2552">
          <cell r="C2552">
            <v>913006</v>
          </cell>
          <cell r="D2552" t="str">
            <v>Box 50x35x50</v>
          </cell>
        </row>
        <row r="2553">
          <cell r="C2553">
            <v>208330.01</v>
          </cell>
          <cell r="D2553" t="str">
            <v>NA/RNA.OR 6906</v>
          </cell>
        </row>
        <row r="2554">
          <cell r="C2554">
            <v>309330.01</v>
          </cell>
          <cell r="D2554" t="str">
            <v>NA/RNA.MCG 6906</v>
          </cell>
        </row>
        <row r="2555">
          <cell r="C2555">
            <v>511509.01</v>
          </cell>
          <cell r="D2555" t="str">
            <v>RO 4X25.8</v>
          </cell>
        </row>
        <row r="2556">
          <cell r="C2556">
            <v>913006</v>
          </cell>
          <cell r="D2556" t="str">
            <v>Box 50x35x50</v>
          </cell>
        </row>
        <row r="2557">
          <cell r="C2557">
            <v>104330.01</v>
          </cell>
          <cell r="D2557" t="str">
            <v>NA/RNA.IR 6906</v>
          </cell>
        </row>
        <row r="2558">
          <cell r="C2558">
            <v>104331.01</v>
          </cell>
          <cell r="D2558" t="str">
            <v>NA/RNA.IR 6907</v>
          </cell>
        </row>
        <row r="2559">
          <cell r="C2559">
            <v>208331.01</v>
          </cell>
          <cell r="D2559" t="str">
            <v>NA/RNA.OR 6907</v>
          </cell>
        </row>
        <row r="2560">
          <cell r="C2560">
            <v>309331.01</v>
          </cell>
          <cell r="D2560" t="str">
            <v>NA/RNA.MCG 6907 (DR)</v>
          </cell>
        </row>
        <row r="2561">
          <cell r="C2561">
            <v>511304.01</v>
          </cell>
          <cell r="D2561" t="str">
            <v>RO 4X12.8</v>
          </cell>
        </row>
        <row r="2562">
          <cell r="C2562">
            <v>208331.01</v>
          </cell>
          <cell r="D2562" t="str">
            <v>NA/RNA.OR 6907</v>
          </cell>
        </row>
        <row r="2563">
          <cell r="C2563">
            <v>309331.01</v>
          </cell>
          <cell r="D2563" t="str">
            <v>NA/RNA.MCG 6907 (DR)</v>
          </cell>
        </row>
        <row r="2564">
          <cell r="C2564">
            <v>511304.01</v>
          </cell>
          <cell r="D2564" t="str">
            <v>RO 4X12.8</v>
          </cell>
        </row>
        <row r="2565">
          <cell r="C2565">
            <v>913015</v>
          </cell>
          <cell r="D2565" t="str">
            <v>Box 75X40X75</v>
          </cell>
        </row>
        <row r="2566">
          <cell r="C2566">
            <v>104331.01</v>
          </cell>
          <cell r="D2566" t="str">
            <v>NA/RNA.IR 6907</v>
          </cell>
        </row>
        <row r="2567">
          <cell r="C2567">
            <v>104332.01</v>
          </cell>
          <cell r="D2567" t="str">
            <v>NA/RNA.IR 6908</v>
          </cell>
        </row>
        <row r="2568">
          <cell r="C2568">
            <v>208332.01</v>
          </cell>
          <cell r="D2568" t="str">
            <v>NA/RNA.OR 6908</v>
          </cell>
        </row>
        <row r="2569">
          <cell r="C2569">
            <v>309332.01</v>
          </cell>
          <cell r="D2569" t="str">
            <v>NA/RNA.MCG 6908 (DR)</v>
          </cell>
        </row>
        <row r="2570">
          <cell r="C2570">
            <v>511332.01</v>
          </cell>
          <cell r="D2570" t="str">
            <v>RO 5X14.8</v>
          </cell>
        </row>
        <row r="2571">
          <cell r="C2571">
            <v>913015</v>
          </cell>
          <cell r="D2571" t="str">
            <v>Box 75X40X75</v>
          </cell>
        </row>
        <row r="2572">
          <cell r="C2572">
            <v>208332.01</v>
          </cell>
          <cell r="D2572" t="str">
            <v>NA/RNA.OR 6908</v>
          </cell>
        </row>
        <row r="2573">
          <cell r="C2573">
            <v>309332.01</v>
          </cell>
          <cell r="D2573" t="str">
            <v>NA/RNA.MCG 6908 (DR)</v>
          </cell>
        </row>
        <row r="2574">
          <cell r="C2574">
            <v>511310.06</v>
          </cell>
          <cell r="D2574" t="str">
            <v>RO 5X14.8 SP</v>
          </cell>
        </row>
        <row r="2575">
          <cell r="C2575">
            <v>913015</v>
          </cell>
          <cell r="D2575" t="str">
            <v>Box 75X40X75</v>
          </cell>
        </row>
        <row r="2576">
          <cell r="C2576">
            <v>104332.01</v>
          </cell>
          <cell r="D2576" t="str">
            <v>NA/RNA.IR 6908</v>
          </cell>
        </row>
        <row r="2577">
          <cell r="C2577">
            <v>104332.01</v>
          </cell>
          <cell r="D2577" t="str">
            <v>NA/RNA.IR 6908</v>
          </cell>
        </row>
        <row r="2578">
          <cell r="C2578">
            <v>104333.01</v>
          </cell>
          <cell r="D2578" t="str">
            <v>NA/RNA.IR 6909</v>
          </cell>
        </row>
        <row r="2579">
          <cell r="C2579">
            <v>208333.01</v>
          </cell>
          <cell r="D2579" t="str">
            <v>NA/RNA.OR 6909</v>
          </cell>
        </row>
        <row r="2580">
          <cell r="C2580">
            <v>309333.01</v>
          </cell>
          <cell r="D2580" t="str">
            <v>NA/RNA.MCG 6909 (DR)</v>
          </cell>
        </row>
        <row r="2581">
          <cell r="C2581">
            <v>511332.01</v>
          </cell>
          <cell r="D2581" t="str">
            <v>RO 5X14.8</v>
          </cell>
        </row>
        <row r="2582">
          <cell r="C2582">
            <v>208333.01</v>
          </cell>
          <cell r="D2582" t="str">
            <v>NA/RNA.OR 6909</v>
          </cell>
        </row>
        <row r="2583">
          <cell r="C2583">
            <v>309333.01</v>
          </cell>
          <cell r="D2583" t="str">
            <v>NA/RNA.MCG 6909 (DR)</v>
          </cell>
        </row>
        <row r="2584">
          <cell r="C2584">
            <v>511332.01</v>
          </cell>
          <cell r="D2584" t="str">
            <v>RO 5X14.8</v>
          </cell>
        </row>
        <row r="2585">
          <cell r="C2585">
            <v>104333.01</v>
          </cell>
          <cell r="D2585" t="str">
            <v>NA/RNA.IR 6909</v>
          </cell>
        </row>
        <row r="2586">
          <cell r="C2586">
            <v>104334.01</v>
          </cell>
          <cell r="D2586" t="str">
            <v>NA/RNA.IR 6910</v>
          </cell>
        </row>
        <row r="2587">
          <cell r="C2587">
            <v>208334.01</v>
          </cell>
          <cell r="D2587" t="str">
            <v>NA/RNA.OR 6910</v>
          </cell>
        </row>
        <row r="2588">
          <cell r="C2588">
            <v>309334.01</v>
          </cell>
          <cell r="D2588" t="str">
            <v>NA/RNA.MCG 6910 (D)</v>
          </cell>
        </row>
        <row r="2589">
          <cell r="C2589">
            <v>511332.01</v>
          </cell>
          <cell r="D2589" t="str">
            <v>RO 5X14.8</v>
          </cell>
        </row>
        <row r="2590">
          <cell r="C2590">
            <v>208334.01</v>
          </cell>
          <cell r="D2590" t="str">
            <v>NA/RNA.OR 6910</v>
          </cell>
        </row>
        <row r="2591">
          <cell r="C2591">
            <v>309334.01</v>
          </cell>
          <cell r="D2591" t="str">
            <v>NA/RNA.MCG 6910 (D)</v>
          </cell>
        </row>
        <row r="2592">
          <cell r="C2592">
            <v>511332.01</v>
          </cell>
          <cell r="D2592" t="str">
            <v>RO 5X14.8</v>
          </cell>
        </row>
        <row r="2593">
          <cell r="C2593">
            <v>104334.01</v>
          </cell>
          <cell r="D2593" t="str">
            <v>NA/RNA.IR 6910</v>
          </cell>
        </row>
        <row r="2594">
          <cell r="C2594">
            <v>208334.01</v>
          </cell>
          <cell r="D2594" t="str">
            <v>NA/RNA.OR 6910</v>
          </cell>
        </row>
        <row r="2595">
          <cell r="C2595">
            <v>309334.01</v>
          </cell>
          <cell r="D2595" t="str">
            <v>NA/RNA.MCG 6910 (D)</v>
          </cell>
        </row>
        <row r="2596">
          <cell r="C2596">
            <v>511332.01</v>
          </cell>
          <cell r="D2596" t="str">
            <v>RO 5X14.8</v>
          </cell>
        </row>
        <row r="2597">
          <cell r="C2597">
            <v>104335.01</v>
          </cell>
          <cell r="D2597" t="str">
            <v>NA/RNA.IR 6911</v>
          </cell>
        </row>
        <row r="2598">
          <cell r="C2598">
            <v>208335.01</v>
          </cell>
          <cell r="D2598" t="str">
            <v>NA/RNA.OR 6911</v>
          </cell>
        </row>
        <row r="2599">
          <cell r="C2599">
            <v>309335.01</v>
          </cell>
          <cell r="D2599" t="str">
            <v>NA/RNA.MCG 6911 (DR)</v>
          </cell>
        </row>
        <row r="2600">
          <cell r="C2600">
            <v>511335.01</v>
          </cell>
          <cell r="D2600" t="str">
            <v>RO 6X16.8</v>
          </cell>
        </row>
        <row r="2601">
          <cell r="C2601">
            <v>913008</v>
          </cell>
          <cell r="D2601" t="str">
            <v>Box 95x50x95</v>
          </cell>
        </row>
        <row r="2602">
          <cell r="C2602">
            <v>208335.01</v>
          </cell>
          <cell r="D2602" t="str">
            <v>NA/RNA.OR 6911</v>
          </cell>
        </row>
        <row r="2603">
          <cell r="C2603">
            <v>309335.01</v>
          </cell>
          <cell r="D2603" t="str">
            <v>NA/RNA.MCG 6911 (DR)</v>
          </cell>
        </row>
        <row r="2604">
          <cell r="C2604">
            <v>511335.01</v>
          </cell>
          <cell r="D2604" t="str">
            <v>RO 6X16.8</v>
          </cell>
        </row>
        <row r="2605">
          <cell r="C2605">
            <v>913008</v>
          </cell>
          <cell r="D2605" t="str">
            <v>Box 95x50x95</v>
          </cell>
        </row>
        <row r="2606">
          <cell r="C2606">
            <v>104335.01</v>
          </cell>
          <cell r="D2606" t="str">
            <v>NA/RNA.IR 6911</v>
          </cell>
        </row>
        <row r="2607">
          <cell r="C2607">
            <v>104336.01</v>
          </cell>
          <cell r="D2607" t="str">
            <v>NA/RNA.IR 6912</v>
          </cell>
        </row>
        <row r="2608">
          <cell r="C2608">
            <v>208336.01</v>
          </cell>
          <cell r="D2608" t="str">
            <v>NA/RNA.OR 6912</v>
          </cell>
        </row>
        <row r="2609">
          <cell r="C2609">
            <v>309336.01</v>
          </cell>
          <cell r="D2609" t="str">
            <v>NA/RNA.MCG 6912 (DR)</v>
          </cell>
        </row>
        <row r="2610">
          <cell r="C2610">
            <v>511335.01</v>
          </cell>
          <cell r="D2610" t="str">
            <v>RO 6X16.8</v>
          </cell>
        </row>
        <row r="2611">
          <cell r="C2611">
            <v>913008</v>
          </cell>
          <cell r="D2611" t="str">
            <v>Box 95x50x95</v>
          </cell>
        </row>
        <row r="2612">
          <cell r="C2612">
            <v>208336.01</v>
          </cell>
          <cell r="D2612" t="str">
            <v>NA/RNA.OR 6912</v>
          </cell>
        </row>
        <row r="2613">
          <cell r="C2613">
            <v>309336.01</v>
          </cell>
          <cell r="D2613" t="str">
            <v>NA/RNA.MCG 6912 (DR)</v>
          </cell>
        </row>
        <row r="2614">
          <cell r="C2614">
            <v>511335.01</v>
          </cell>
          <cell r="D2614" t="str">
            <v>RO 6X16.8</v>
          </cell>
        </row>
        <row r="2615">
          <cell r="C2615">
            <v>913008</v>
          </cell>
          <cell r="D2615" t="str">
            <v>Box 95x50x95</v>
          </cell>
        </row>
        <row r="2616">
          <cell r="C2616">
            <v>104336.01</v>
          </cell>
          <cell r="D2616" t="str">
            <v>NA/RNA.IR 6912</v>
          </cell>
        </row>
        <row r="2617">
          <cell r="C2617">
            <v>104336.01</v>
          </cell>
          <cell r="D2617" t="str">
            <v>NA/RNA.IR 6912</v>
          </cell>
        </row>
        <row r="2618">
          <cell r="C2618">
            <v>208336.01</v>
          </cell>
          <cell r="D2618" t="str">
            <v>NA/RNA.OR 6912</v>
          </cell>
        </row>
        <row r="2619">
          <cell r="C2619">
            <v>309336.01</v>
          </cell>
          <cell r="D2619" t="str">
            <v>NA/RNA.MCG 6912 (DR)</v>
          </cell>
        </row>
        <row r="2620">
          <cell r="C2620">
            <v>511335.01</v>
          </cell>
          <cell r="D2620" t="str">
            <v>RO 6X16.8</v>
          </cell>
        </row>
        <row r="2621">
          <cell r="C2621">
            <v>913008</v>
          </cell>
          <cell r="D2621" t="str">
            <v>Box 95x50x95</v>
          </cell>
        </row>
        <row r="2622">
          <cell r="C2622">
            <v>104337.01</v>
          </cell>
          <cell r="D2622" t="str">
            <v>NA/RNA.IR 6913</v>
          </cell>
        </row>
        <row r="2623">
          <cell r="C2623">
            <v>208337.01</v>
          </cell>
          <cell r="D2623" t="str">
            <v>NA/RNA.OR 6913</v>
          </cell>
        </row>
        <row r="2624">
          <cell r="C2624">
            <v>309337.01</v>
          </cell>
          <cell r="D2624" t="str">
            <v>NA/RNA.MCG 6913 (DR)</v>
          </cell>
        </row>
        <row r="2625">
          <cell r="C2625">
            <v>511335.01</v>
          </cell>
          <cell r="D2625" t="str">
            <v>RO 6X16.8</v>
          </cell>
        </row>
        <row r="2626">
          <cell r="C2626">
            <v>913008</v>
          </cell>
          <cell r="D2626" t="str">
            <v>Box 95x50x95</v>
          </cell>
        </row>
        <row r="2627">
          <cell r="C2627">
            <v>208337.01</v>
          </cell>
          <cell r="D2627" t="str">
            <v>NA/RNA.OR 6913</v>
          </cell>
        </row>
        <row r="2628">
          <cell r="C2628">
            <v>309337.01</v>
          </cell>
          <cell r="D2628" t="str">
            <v>NA/RNA.MCG 6913 (DR)</v>
          </cell>
        </row>
        <row r="2629">
          <cell r="C2629">
            <v>511335.01</v>
          </cell>
          <cell r="D2629" t="str">
            <v>RO 6X16.8</v>
          </cell>
        </row>
        <row r="2630">
          <cell r="C2630">
            <v>913008</v>
          </cell>
          <cell r="D2630" t="str">
            <v>Box 95x50x95</v>
          </cell>
        </row>
        <row r="2631">
          <cell r="C2631">
            <v>104337.01</v>
          </cell>
          <cell r="D2631" t="str">
            <v>NA/RNA.IR 6913</v>
          </cell>
        </row>
        <row r="2632">
          <cell r="C2632">
            <v>104337.01</v>
          </cell>
          <cell r="D2632" t="str">
            <v>NA/RNA.IR 6913</v>
          </cell>
        </row>
        <row r="2633">
          <cell r="C2633">
            <v>104338.01</v>
          </cell>
          <cell r="D2633" t="str">
            <v>NA/RNA.IR 6914</v>
          </cell>
        </row>
        <row r="2634">
          <cell r="C2634">
            <v>208338.01</v>
          </cell>
          <cell r="D2634" t="str">
            <v>NA/RNA.OR 6914</v>
          </cell>
        </row>
        <row r="2635">
          <cell r="C2635">
            <v>309338.01</v>
          </cell>
          <cell r="D2635" t="str">
            <v>NA/RNA.MCG 6914 (DR)</v>
          </cell>
        </row>
        <row r="2636">
          <cell r="C2636">
            <v>511338.01</v>
          </cell>
          <cell r="D2636" t="str">
            <v>RO 6.5X19.8</v>
          </cell>
        </row>
        <row r="2637">
          <cell r="C2637">
            <v>208338.01</v>
          </cell>
          <cell r="D2637" t="str">
            <v>NA/RNA.OR 6914</v>
          </cell>
        </row>
        <row r="2638">
          <cell r="C2638">
            <v>309338.01</v>
          </cell>
          <cell r="D2638" t="str">
            <v>NA/RNA.MCG 6914 (DR)</v>
          </cell>
        </row>
        <row r="2639">
          <cell r="C2639">
            <v>511338.01</v>
          </cell>
          <cell r="D2639" t="str">
            <v>RO 6.5X19.8</v>
          </cell>
        </row>
        <row r="2640">
          <cell r="C2640">
            <v>104338.01</v>
          </cell>
          <cell r="D2640" t="str">
            <v>NA/RNA.IR 6914</v>
          </cell>
        </row>
        <row r="2641">
          <cell r="C2641">
            <v>104338.01</v>
          </cell>
          <cell r="D2641" t="str">
            <v>NA/RNA.IR 6914</v>
          </cell>
        </row>
        <row r="2642">
          <cell r="C2642">
            <v>104339.01</v>
          </cell>
          <cell r="D2642" t="str">
            <v>NA/RNA.IR 6915</v>
          </cell>
        </row>
        <row r="2643">
          <cell r="C2643">
            <v>208339.01</v>
          </cell>
          <cell r="D2643" t="str">
            <v>NA/RNA.OR 6915</v>
          </cell>
        </row>
        <row r="2644">
          <cell r="C2644">
            <v>309339.01</v>
          </cell>
          <cell r="D2644" t="str">
            <v>NA/RNA.MCG 6915 (DR)</v>
          </cell>
        </row>
        <row r="2645">
          <cell r="C2645">
            <v>511339.01</v>
          </cell>
          <cell r="D2645" t="str">
            <v>RO 6.5X20.8</v>
          </cell>
        </row>
        <row r="2646">
          <cell r="C2646">
            <v>208339.01</v>
          </cell>
          <cell r="D2646" t="str">
            <v>NA/RNA.OR 6915</v>
          </cell>
        </row>
        <row r="2647">
          <cell r="C2647">
            <v>309339.01</v>
          </cell>
          <cell r="D2647" t="str">
            <v>NA/RNA.MCG 6915 (DR)</v>
          </cell>
        </row>
        <row r="2648">
          <cell r="C2648">
            <v>511339.01</v>
          </cell>
          <cell r="D2648" t="str">
            <v>RO 6.5X20.8</v>
          </cell>
        </row>
        <row r="2649">
          <cell r="C2649">
            <v>104339.01</v>
          </cell>
          <cell r="D2649" t="str">
            <v>NA/RNA.IR 6915</v>
          </cell>
        </row>
        <row r="2650">
          <cell r="C2650">
            <v>104340.01</v>
          </cell>
          <cell r="D2650" t="str">
            <v>NA/RNA.IR 6916</v>
          </cell>
        </row>
        <row r="2651">
          <cell r="C2651">
            <v>208340.01</v>
          </cell>
          <cell r="D2651" t="str">
            <v>NA/RNA.OR 6916</v>
          </cell>
        </row>
        <row r="2652">
          <cell r="C2652">
            <v>309340.01</v>
          </cell>
          <cell r="D2652" t="str">
            <v>NA/RNA.MCG 6916 (DR)</v>
          </cell>
        </row>
        <row r="2653">
          <cell r="C2653">
            <v>511987</v>
          </cell>
          <cell r="D2653" t="str">
            <v>RO 5X20.8 (BPM)</v>
          </cell>
        </row>
        <row r="2654">
          <cell r="C2654">
            <v>717340.01</v>
          </cell>
          <cell r="D2654" t="str">
            <v>METAL WASHER NA 6916</v>
          </cell>
        </row>
        <row r="2655">
          <cell r="C2655">
            <v>208340.01</v>
          </cell>
          <cell r="D2655" t="str">
            <v>NA/RNA.OR 6916</v>
          </cell>
        </row>
        <row r="2656">
          <cell r="C2656">
            <v>309340.01</v>
          </cell>
          <cell r="D2656" t="str">
            <v>NA/RNA.MCG 6916 (DR)</v>
          </cell>
        </row>
        <row r="2657">
          <cell r="C2657">
            <v>511987</v>
          </cell>
          <cell r="D2657" t="str">
            <v>RO 5X20.8 (BPM)</v>
          </cell>
        </row>
        <row r="2658">
          <cell r="C2658">
            <v>104340.01</v>
          </cell>
          <cell r="D2658" t="str">
            <v>NA/RNA.IR 6916</v>
          </cell>
        </row>
        <row r="2659">
          <cell r="C2659">
            <v>104341.01</v>
          </cell>
          <cell r="D2659" t="str">
            <v>NA/RNA.IR 69/22</v>
          </cell>
        </row>
        <row r="2660">
          <cell r="C2660">
            <v>208341.01</v>
          </cell>
          <cell r="D2660" t="str">
            <v>NA/RNA.OR 69/22</v>
          </cell>
        </row>
        <row r="2661">
          <cell r="C2661">
            <v>309341.01</v>
          </cell>
          <cell r="D2661" t="str">
            <v>NA/RNA.MCG 69/22</v>
          </cell>
        </row>
        <row r="2662">
          <cell r="C2662">
            <v>511509.01</v>
          </cell>
          <cell r="D2662" t="str">
            <v>RO 4X25.8</v>
          </cell>
        </row>
        <row r="2663">
          <cell r="C2663">
            <v>913006</v>
          </cell>
          <cell r="D2663" t="str">
            <v>Box 50x35x50</v>
          </cell>
        </row>
        <row r="2664">
          <cell r="C2664">
            <v>208341.01</v>
          </cell>
          <cell r="D2664" t="str">
            <v>NA/RNA.OR 69/22</v>
          </cell>
        </row>
        <row r="2665">
          <cell r="C2665">
            <v>309341.01</v>
          </cell>
          <cell r="D2665" t="str">
            <v>NA/RNA.MCG 69/22</v>
          </cell>
        </row>
        <row r="2666">
          <cell r="C2666">
            <v>511509.01</v>
          </cell>
          <cell r="D2666" t="str">
            <v>RO 4X25.8</v>
          </cell>
        </row>
        <row r="2667">
          <cell r="C2667">
            <v>913006</v>
          </cell>
          <cell r="D2667" t="str">
            <v>Box 50x35x50</v>
          </cell>
        </row>
        <row r="2668">
          <cell r="C2668">
            <v>104341.01</v>
          </cell>
          <cell r="D2668" t="str">
            <v>NA/RNA.IR 69/22</v>
          </cell>
        </row>
        <row r="2669">
          <cell r="C2669">
            <v>104342.01</v>
          </cell>
          <cell r="D2669" t="str">
            <v>NA/RNA.IR 69/28</v>
          </cell>
        </row>
        <row r="2670">
          <cell r="C2670">
            <v>208342.01</v>
          </cell>
          <cell r="D2670" t="str">
            <v>NA/RNA.OR 69/28</v>
          </cell>
        </row>
        <row r="2671">
          <cell r="C2671">
            <v>309342.01</v>
          </cell>
          <cell r="D2671" t="str">
            <v>NA/RNA.MCG 69/28</v>
          </cell>
        </row>
        <row r="2672">
          <cell r="C2672">
            <v>511509.01</v>
          </cell>
          <cell r="D2672" t="str">
            <v>RO 4X25.8</v>
          </cell>
        </row>
        <row r="2673">
          <cell r="C2673">
            <v>913006</v>
          </cell>
          <cell r="D2673" t="str">
            <v>Box 50x35x50</v>
          </cell>
        </row>
        <row r="2674">
          <cell r="C2674">
            <v>208342.01</v>
          </cell>
          <cell r="D2674" t="str">
            <v>NA/RNA.OR 69/28</v>
          </cell>
        </row>
        <row r="2675">
          <cell r="C2675">
            <v>309342.01</v>
          </cell>
          <cell r="D2675" t="str">
            <v>NA/RNA.MCG 69/28</v>
          </cell>
        </row>
        <row r="2676">
          <cell r="C2676">
            <v>511509.01</v>
          </cell>
          <cell r="D2676" t="str">
            <v>RO 4X25.8</v>
          </cell>
        </row>
        <row r="2677">
          <cell r="C2677">
            <v>913006</v>
          </cell>
          <cell r="D2677" t="str">
            <v>Box 50x35x50</v>
          </cell>
        </row>
        <row r="2678">
          <cell r="C2678">
            <v>104342.01</v>
          </cell>
          <cell r="D2678" t="str">
            <v>NA/RNA.IR 69/28</v>
          </cell>
        </row>
        <row r="2679">
          <cell r="C2679">
            <v>104343.01</v>
          </cell>
          <cell r="D2679" t="str">
            <v>NA/RNA.IR 69/32</v>
          </cell>
        </row>
        <row r="2680">
          <cell r="C2680">
            <v>208343.01</v>
          </cell>
          <cell r="D2680" t="str">
            <v>NA/RNA.OR 69/32</v>
          </cell>
        </row>
        <row r="2681">
          <cell r="C2681">
            <v>309343.01</v>
          </cell>
          <cell r="D2681" t="str">
            <v>NA/RNA.MCG 69/32</v>
          </cell>
        </row>
        <row r="2682">
          <cell r="C2682">
            <v>511304.01</v>
          </cell>
          <cell r="D2682" t="str">
            <v>RO 4X12.8</v>
          </cell>
        </row>
        <row r="2683">
          <cell r="C2683">
            <v>913015</v>
          </cell>
          <cell r="D2683" t="str">
            <v>Box 75X40X75</v>
          </cell>
        </row>
        <row r="2684">
          <cell r="C2684">
            <v>208343.01</v>
          </cell>
          <cell r="D2684" t="str">
            <v>NA/RNA.OR 69/32</v>
          </cell>
        </row>
        <row r="2685">
          <cell r="C2685">
            <v>309343.01</v>
          </cell>
          <cell r="D2685" t="str">
            <v>NA/RNA.MCG 69/32</v>
          </cell>
        </row>
        <row r="2686">
          <cell r="C2686">
            <v>511304.01</v>
          </cell>
          <cell r="D2686" t="str">
            <v>RO 4X12.8</v>
          </cell>
        </row>
        <row r="2687">
          <cell r="C2687">
            <v>913015</v>
          </cell>
          <cell r="D2687" t="str">
            <v>Box 75X40X75</v>
          </cell>
        </row>
        <row r="2688">
          <cell r="C2688">
            <v>104343.01</v>
          </cell>
          <cell r="D2688" t="str">
            <v>NA/RNA.IR 69/32</v>
          </cell>
        </row>
        <row r="2689">
          <cell r="C2689">
            <v>104343.01</v>
          </cell>
          <cell r="D2689" t="str">
            <v>NA/RNA.IR 69/32</v>
          </cell>
        </row>
        <row r="2690">
          <cell r="C2690">
            <v>104329.01</v>
          </cell>
          <cell r="D2690" t="str">
            <v>NA/RNA.IR 6905</v>
          </cell>
        </row>
        <row r="2691">
          <cell r="C2691">
            <v>208344.01</v>
          </cell>
          <cell r="D2691" t="str">
            <v>NA/RNA.OR 6905 SR</v>
          </cell>
        </row>
        <row r="2692">
          <cell r="C2692">
            <v>309344.01</v>
          </cell>
          <cell r="D2692" t="str">
            <v>NA/RNA.MCG 6905 SR</v>
          </cell>
        </row>
        <row r="2693">
          <cell r="C2693">
            <v>511990</v>
          </cell>
          <cell r="D2693" t="str">
            <v>RO 3.5X25.4</v>
          </cell>
        </row>
        <row r="2694">
          <cell r="C2694">
            <v>913006</v>
          </cell>
          <cell r="D2694" t="str">
            <v>Box 50x35x50</v>
          </cell>
        </row>
        <row r="2695">
          <cell r="C2695">
            <v>208344.01</v>
          </cell>
          <cell r="D2695" t="str">
            <v>NA/RNA.OR 6905 SR</v>
          </cell>
        </row>
        <row r="2696">
          <cell r="C2696">
            <v>309344.01</v>
          </cell>
          <cell r="D2696" t="str">
            <v>NA/RNA.MCG 6905 SR</v>
          </cell>
        </row>
        <row r="2697">
          <cell r="C2697">
            <v>511990</v>
          </cell>
          <cell r="D2697" t="str">
            <v>RO 3.5X25.4</v>
          </cell>
        </row>
        <row r="2698">
          <cell r="C2698">
            <v>913006</v>
          </cell>
          <cell r="D2698" t="str">
            <v>Box 50x35x50</v>
          </cell>
        </row>
        <row r="2699">
          <cell r="C2699">
            <v>104329.01</v>
          </cell>
          <cell r="D2699" t="str">
            <v>NA/RNA.IR 6905</v>
          </cell>
        </row>
        <row r="2700">
          <cell r="C2700">
            <v>200344.21</v>
          </cell>
          <cell r="D2700" t="str">
            <v>NA/RNA.OR 6905 SR SPL</v>
          </cell>
        </row>
        <row r="2701">
          <cell r="C2701">
            <v>300344.21000000002</v>
          </cell>
          <cell r="D2701" t="str">
            <v>NA/RNA.MCG 6905 SR SPL</v>
          </cell>
        </row>
        <row r="2702">
          <cell r="C2702">
            <v>500344.21</v>
          </cell>
          <cell r="D2702" t="str">
            <v>RO 4X25.4 BPER</v>
          </cell>
        </row>
        <row r="2703">
          <cell r="C2703">
            <v>200344.21</v>
          </cell>
          <cell r="D2703" t="str">
            <v>NA/RNA.OR 6905 SR SPL</v>
          </cell>
        </row>
        <row r="2704">
          <cell r="C2704">
            <v>300344.21000000002</v>
          </cell>
          <cell r="D2704" t="str">
            <v>NA/RNA.MCG 6905 SR SPL</v>
          </cell>
        </row>
        <row r="2705">
          <cell r="C2705">
            <v>500344.21</v>
          </cell>
          <cell r="D2705" t="str">
            <v>RO 4X25.4 BPER</v>
          </cell>
        </row>
        <row r="2706">
          <cell r="C2706">
            <v>104345.01</v>
          </cell>
          <cell r="D2706" t="str">
            <v>NA/RNA.IR 4904 UU</v>
          </cell>
        </row>
        <row r="2707">
          <cell r="C2707">
            <v>104346.01</v>
          </cell>
          <cell r="D2707" t="str">
            <v>920041053(PIN 6X31)     F</v>
          </cell>
        </row>
        <row r="2708">
          <cell r="C2708">
            <v>104346.02</v>
          </cell>
          <cell r="D2708" t="str">
            <v>920041042collarpin 8x36 F</v>
          </cell>
        </row>
        <row r="2709">
          <cell r="C2709">
            <v>104346.03</v>
          </cell>
          <cell r="D2709" t="str">
            <v>920041049collarpin 6X29 F</v>
          </cell>
        </row>
        <row r="2710">
          <cell r="C2710">
            <v>104346.04</v>
          </cell>
          <cell r="D2710" t="str">
            <v>920041050collarpin12X68 F</v>
          </cell>
        </row>
        <row r="2711">
          <cell r="C2711">
            <v>104346.05</v>
          </cell>
          <cell r="D2711" t="str">
            <v>920041051pinmsdia5x39sp F</v>
          </cell>
        </row>
        <row r="2712">
          <cell r="C2712">
            <v>104346.06</v>
          </cell>
          <cell r="D2712" t="str">
            <v>920041052p(C S)12X77    F</v>
          </cell>
        </row>
        <row r="2713">
          <cell r="C2713">
            <v>104346.07</v>
          </cell>
          <cell r="D2713" t="str">
            <v>920041054 PIN(12X142)   F</v>
          </cell>
        </row>
        <row r="2714">
          <cell r="C2714">
            <v>104346.08</v>
          </cell>
          <cell r="D2714" t="str">
            <v>920041055 PIN(16X137)   F</v>
          </cell>
        </row>
        <row r="2715">
          <cell r="C2715">
            <v>104346.09</v>
          </cell>
          <cell r="D2715" t="str">
            <v>920041063 PIN(15X54)    F</v>
          </cell>
        </row>
        <row r="2716">
          <cell r="C2716">
            <v>104346.1</v>
          </cell>
          <cell r="D2716" t="str">
            <v>920041064 PIN(20X53)    F</v>
          </cell>
        </row>
        <row r="2717">
          <cell r="C2717">
            <v>104346.11</v>
          </cell>
          <cell r="D2717" t="str">
            <v>920041065 PIN(12X62)    F</v>
          </cell>
        </row>
        <row r="2718">
          <cell r="C2718">
            <v>104346.12</v>
          </cell>
          <cell r="D2718" t="str">
            <v>920041066pinmsdia12x23ccF</v>
          </cell>
        </row>
        <row r="2719">
          <cell r="C2719">
            <v>104346.13</v>
          </cell>
          <cell r="D2719" t="str">
            <v>920041154collarpindia 12F</v>
          </cell>
        </row>
        <row r="2720">
          <cell r="C2720">
            <v>104346.14</v>
          </cell>
          <cell r="D2720" t="str">
            <v>920041030pinmsdia12x81spF</v>
          </cell>
        </row>
        <row r="2721">
          <cell r="C2721">
            <v>104346.15</v>
          </cell>
          <cell r="D2721" t="str">
            <v>920041004 COLLAR PIN    F</v>
          </cell>
        </row>
        <row r="2722">
          <cell r="C2722">
            <v>104346.16</v>
          </cell>
          <cell r="D2722" t="str">
            <v>920041011BAR PIN 16X48  F</v>
          </cell>
        </row>
        <row r="2723">
          <cell r="C2723">
            <v>104346.17</v>
          </cell>
          <cell r="D2723" t="str">
            <v>920041001PINMSDIA 10X24 F</v>
          </cell>
        </row>
        <row r="2724">
          <cell r="C2724">
            <v>104346.18</v>
          </cell>
          <cell r="D2724" t="str">
            <v>920041003 PIN 13X38     F</v>
          </cell>
        </row>
        <row r="2725">
          <cell r="C2725">
            <v>104346.19</v>
          </cell>
          <cell r="D2725" t="str">
            <v>9200410153PHLEVER DIA30 F</v>
          </cell>
        </row>
        <row r="2726">
          <cell r="C2726">
            <v>104346.2</v>
          </cell>
          <cell r="D2726" t="str">
            <v>920041010 PIN 16X42     F</v>
          </cell>
        </row>
        <row r="2727">
          <cell r="C2727">
            <v>104346.21</v>
          </cell>
          <cell r="D2727" t="str">
            <v>920041089               F</v>
          </cell>
        </row>
        <row r="2728">
          <cell r="C2728">
            <v>104346.22</v>
          </cell>
          <cell r="D2728" t="str">
            <v>920041088B619 PIN 16X78 F</v>
          </cell>
        </row>
        <row r="2729">
          <cell r="C2729">
            <v>104347.01</v>
          </cell>
          <cell r="D2729" t="str">
            <v>940041361 BAR PIN       F</v>
          </cell>
        </row>
        <row r="2730">
          <cell r="C2730">
            <v>104347.02</v>
          </cell>
          <cell r="D2730" t="str">
            <v>940041314BARPIN 10X55.5 F</v>
          </cell>
        </row>
        <row r="2731">
          <cell r="C2731">
            <v>104347.03</v>
          </cell>
          <cell r="D2731" t="str">
            <v>940041348BARPIN 10X118  F</v>
          </cell>
        </row>
        <row r="2732">
          <cell r="C2732">
            <v>104347.04</v>
          </cell>
          <cell r="D2732" t="str">
            <v>940041356BARPIN 20X76   F</v>
          </cell>
        </row>
        <row r="2733">
          <cell r="C2733">
            <v>104347.05</v>
          </cell>
          <cell r="D2733" t="str">
            <v>940041333BARPIN 25X61   F</v>
          </cell>
        </row>
        <row r="2734">
          <cell r="C2734">
            <v>104347.06</v>
          </cell>
          <cell r="D2734" t="str">
            <v>940041311BARPIN 13X137  F</v>
          </cell>
        </row>
        <row r="2735">
          <cell r="C2735">
            <v>104347.07</v>
          </cell>
          <cell r="D2735" t="str">
            <v>940041353BARPIN         F</v>
          </cell>
        </row>
        <row r="2736">
          <cell r="C2736">
            <v>104347.08</v>
          </cell>
          <cell r="D2736" t="str">
            <v>940041322BARPIN 8X31    F</v>
          </cell>
        </row>
        <row r="2737">
          <cell r="C2737">
            <v>104347.09</v>
          </cell>
          <cell r="D2737" t="str">
            <v>940041388BARPIN 8X28    F</v>
          </cell>
        </row>
        <row r="2738">
          <cell r="C2738">
            <v>104347.1</v>
          </cell>
          <cell r="D2738" t="str">
            <v>940041342BARPIN 16X150  F</v>
          </cell>
        </row>
        <row r="2739">
          <cell r="C2739">
            <v>104347.11</v>
          </cell>
          <cell r="D2739" t="str">
            <v>940041307BARPIN 13X150  F</v>
          </cell>
        </row>
        <row r="2740">
          <cell r="C2740">
            <v>104347.12</v>
          </cell>
          <cell r="D2740" t="str">
            <v>940041354BARPIN 10X160  F</v>
          </cell>
        </row>
        <row r="2741">
          <cell r="C2741">
            <v>104347.13</v>
          </cell>
          <cell r="D2741" t="str">
            <v>930041110BARPIN 5X21S.S F</v>
          </cell>
        </row>
        <row r="2742">
          <cell r="C2742">
            <v>104347.14</v>
          </cell>
          <cell r="D2742" t="str">
            <v>930041342PREVENTION PIN F</v>
          </cell>
        </row>
        <row r="2743">
          <cell r="C2743">
            <v>104347.15</v>
          </cell>
          <cell r="D2743" t="str">
            <v>940041358BAR PIN 22X42  F</v>
          </cell>
        </row>
        <row r="2744">
          <cell r="C2744">
            <v>104347.16</v>
          </cell>
          <cell r="D2744" t="str">
            <v>940041359BAR PIN 22X48  F</v>
          </cell>
        </row>
        <row r="2745">
          <cell r="C2745">
            <v>104347.17</v>
          </cell>
          <cell r="D2745" t="str">
            <v>940041337BAR PIN 22X81  F</v>
          </cell>
        </row>
        <row r="2746">
          <cell r="C2746">
            <v>104347.18</v>
          </cell>
          <cell r="D2746" t="str">
            <v>930041108BAR PIN 20X138 F</v>
          </cell>
        </row>
        <row r="2747">
          <cell r="C2747">
            <v>104347.19</v>
          </cell>
          <cell r="D2747" t="str">
            <v>940041405BARPIDIA 24SSI F</v>
          </cell>
        </row>
        <row r="2748">
          <cell r="C2748">
            <v>104347.2</v>
          </cell>
          <cell r="D2748" t="str">
            <v>940041357BARPIDIA 16X42 F</v>
          </cell>
        </row>
        <row r="2749">
          <cell r="C2749">
            <v>104347.21</v>
          </cell>
          <cell r="D2749" t="str">
            <v>940041360BARPIDIA 13X34 F</v>
          </cell>
        </row>
        <row r="2750">
          <cell r="C2750">
            <v>104347.22</v>
          </cell>
          <cell r="D2750" t="str">
            <v>940041352BARPIDIA 30X101F</v>
          </cell>
        </row>
        <row r="2751">
          <cell r="C2751">
            <v>104348.01</v>
          </cell>
          <cell r="D2751" t="str">
            <v>940041611BAR PIN 13X128 F</v>
          </cell>
        </row>
        <row r="2752">
          <cell r="C2752">
            <v>104348.02</v>
          </cell>
          <cell r="D2752" t="str">
            <v>920041859BARPIN FOR25KV F</v>
          </cell>
        </row>
        <row r="2753">
          <cell r="C2753">
            <v>104348.03</v>
          </cell>
          <cell r="D2753" t="str">
            <v>920041109PIN 33kv SSI   F</v>
          </cell>
        </row>
        <row r="2754">
          <cell r="C2754">
            <v>104348.04</v>
          </cell>
          <cell r="D2754" t="str">
            <v>940041614               F</v>
          </cell>
        </row>
        <row r="2755">
          <cell r="C2755">
            <v>104349.01</v>
          </cell>
          <cell r="D2755" t="str">
            <v>920041047BARPIN 8X14    F</v>
          </cell>
        </row>
        <row r="2756">
          <cell r="C2756">
            <v>104349.02</v>
          </cell>
          <cell r="D2756" t="str">
            <v>930041106BARPIN 10X140  F</v>
          </cell>
        </row>
        <row r="2757">
          <cell r="C2757">
            <v>104349.18</v>
          </cell>
          <cell r="D2757" t="str">
            <v>930041052BARPIN 30X87.5 F</v>
          </cell>
        </row>
        <row r="2758">
          <cell r="C2758">
            <v>104349.19</v>
          </cell>
          <cell r="D2758" t="str">
            <v>930041053BARPIN 32X97.5 F</v>
          </cell>
        </row>
        <row r="2759">
          <cell r="C2759">
            <v>104349.21</v>
          </cell>
          <cell r="D2759" t="str">
            <v>930041701BARPIN PU 245  F</v>
          </cell>
        </row>
        <row r="2760">
          <cell r="C2760">
            <v>104349.25</v>
          </cell>
          <cell r="D2760" t="str">
            <v>940041392BARPIN 16X158  F</v>
          </cell>
        </row>
        <row r="2761">
          <cell r="C2761">
            <v>104350.16</v>
          </cell>
          <cell r="D2761" t="str">
            <v>930041250BARPIN 16X40   F</v>
          </cell>
        </row>
        <row r="2762">
          <cell r="C2762">
            <v>1422351.01</v>
          </cell>
          <cell r="D2762" t="str">
            <v>6001 ZZ MATERIAL</v>
          </cell>
        </row>
        <row r="2763">
          <cell r="C2763">
            <v>913068</v>
          </cell>
          <cell r="D2763" t="str">
            <v>BOX R.P.C 38X300</v>
          </cell>
        </row>
        <row r="2764">
          <cell r="C2764">
            <v>1422351.02</v>
          </cell>
          <cell r="D2764" t="str">
            <v>6002 ZZ MATERIAL</v>
          </cell>
        </row>
        <row r="2765">
          <cell r="C2765">
            <v>913068</v>
          </cell>
          <cell r="D2765" t="str">
            <v>BOX R.P.C 38X300</v>
          </cell>
        </row>
        <row r="2766">
          <cell r="C2766">
            <v>1422351.04</v>
          </cell>
          <cell r="D2766" t="str">
            <v>6004 ZZ MATERIAL</v>
          </cell>
        </row>
        <row r="2767">
          <cell r="C2767">
            <v>1422351.05</v>
          </cell>
          <cell r="D2767" t="str">
            <v>6005 ZZ MATERIAL</v>
          </cell>
        </row>
        <row r="2768">
          <cell r="C2768">
            <v>1422351.06</v>
          </cell>
          <cell r="D2768" t="str">
            <v>6006 ZZ MATERIAL</v>
          </cell>
        </row>
        <row r="2769">
          <cell r="C2769">
            <v>913021</v>
          </cell>
          <cell r="D2769" t="str">
            <v>Box 55X20X55</v>
          </cell>
        </row>
        <row r="2770">
          <cell r="C2770">
            <v>1422351.07</v>
          </cell>
          <cell r="D2770" t="str">
            <v>6007 ZZ MATERIAL</v>
          </cell>
        </row>
        <row r="2771">
          <cell r="C2771">
            <v>1422351.08</v>
          </cell>
          <cell r="D2771" t="str">
            <v>6008 ZZ MATERIAL</v>
          </cell>
        </row>
        <row r="2772">
          <cell r="C2772">
            <v>1422351.09</v>
          </cell>
          <cell r="D2772" t="str">
            <v>6009 ZZ MATERIAL</v>
          </cell>
        </row>
        <row r="2773">
          <cell r="C2773">
            <v>913002</v>
          </cell>
          <cell r="D2773" t="str">
            <v>Box 75x30x75</v>
          </cell>
        </row>
        <row r="2774">
          <cell r="C2774">
            <v>1421351.1</v>
          </cell>
          <cell r="D2774" t="str">
            <v>6010 ZZ MATERIAL</v>
          </cell>
        </row>
        <row r="2775">
          <cell r="C2775">
            <v>1421351.1</v>
          </cell>
          <cell r="D2775" t="str">
            <v>6010 ZZ MATERIAL</v>
          </cell>
        </row>
        <row r="2776">
          <cell r="C2776">
            <v>1422351.12</v>
          </cell>
          <cell r="D2776" t="str">
            <v>6012 ZZ MATERIAL.</v>
          </cell>
        </row>
        <row r="2777">
          <cell r="C2777">
            <v>1421351.13</v>
          </cell>
          <cell r="D2777" t="str">
            <v>6013 ZZ MATERIAL</v>
          </cell>
        </row>
        <row r="2778">
          <cell r="C2778">
            <v>1421351.14</v>
          </cell>
          <cell r="D2778" t="str">
            <v>6014 ZZ MATERIAL</v>
          </cell>
        </row>
        <row r="2779">
          <cell r="C2779">
            <v>1421351.15</v>
          </cell>
          <cell r="D2779" t="str">
            <v>6015 ZZ MATERIAL</v>
          </cell>
        </row>
        <row r="2780">
          <cell r="C2780">
            <v>1422351.18</v>
          </cell>
          <cell r="D2780" t="str">
            <v>6018 ZZ MATERIAL</v>
          </cell>
        </row>
        <row r="2781">
          <cell r="C2781">
            <v>1422351.18</v>
          </cell>
          <cell r="D2781" t="str">
            <v>6018 ZZ MATERIAL</v>
          </cell>
        </row>
        <row r="2782">
          <cell r="C2782">
            <v>1422351.2</v>
          </cell>
          <cell r="D2782" t="str">
            <v>6004 2RS MATERIAL</v>
          </cell>
        </row>
        <row r="2783">
          <cell r="C2783">
            <v>1422351.2</v>
          </cell>
          <cell r="D2783" t="str">
            <v>6004 2RS MATERIAL</v>
          </cell>
        </row>
        <row r="2784">
          <cell r="C2784">
            <v>1422351.3</v>
          </cell>
          <cell r="D2784" t="str">
            <v>6004 ZZ NR MATERIAL</v>
          </cell>
        </row>
        <row r="2785">
          <cell r="C2785">
            <v>1422351.31</v>
          </cell>
          <cell r="D2785" t="str">
            <v>607 2RS MATERIAL</v>
          </cell>
        </row>
        <row r="2786">
          <cell r="C2786">
            <v>1422351.32</v>
          </cell>
          <cell r="D2786" t="str">
            <v>608 2RS MATERIAL</v>
          </cell>
        </row>
        <row r="2787">
          <cell r="C2787">
            <v>1422351.33</v>
          </cell>
          <cell r="D2787" t="str">
            <v>628 2RS MATERIAL</v>
          </cell>
        </row>
        <row r="2788">
          <cell r="C2788">
            <v>1422351.34</v>
          </cell>
          <cell r="D2788" t="str">
            <v>6010 2RS MATERIAL</v>
          </cell>
        </row>
        <row r="2789">
          <cell r="C2789">
            <v>1422351.35</v>
          </cell>
          <cell r="D2789" t="str">
            <v>6014 2RS MATERIAL</v>
          </cell>
        </row>
        <row r="2790">
          <cell r="C2790">
            <v>1422351.3600000001</v>
          </cell>
          <cell r="D2790" t="str">
            <v>6201 2RS MATERIAL</v>
          </cell>
        </row>
        <row r="2791">
          <cell r="C2791">
            <v>1422351.37</v>
          </cell>
          <cell r="D2791" t="str">
            <v>6202 2RS MATERIAL</v>
          </cell>
        </row>
        <row r="2792">
          <cell r="C2792">
            <v>1422351.38</v>
          </cell>
          <cell r="D2792" t="str">
            <v>6210 2RS MATERIAL</v>
          </cell>
        </row>
        <row r="2793">
          <cell r="C2793">
            <v>1422351.39</v>
          </cell>
          <cell r="D2793" t="str">
            <v>6302 2RS MATERIAL</v>
          </cell>
        </row>
        <row r="2794">
          <cell r="C2794">
            <v>1422351.4</v>
          </cell>
          <cell r="D2794" t="str">
            <v>6304 2RS MATERIAL</v>
          </cell>
        </row>
        <row r="2795">
          <cell r="C2795">
            <v>1422351.41</v>
          </cell>
          <cell r="D2795" t="str">
            <v>6310 2RS MATERIAL</v>
          </cell>
        </row>
        <row r="2796">
          <cell r="C2796">
            <v>1422351.42</v>
          </cell>
          <cell r="D2796" t="str">
            <v>6311 2RS MATERIAL</v>
          </cell>
        </row>
        <row r="2797">
          <cell r="C2797">
            <v>1422351.43</v>
          </cell>
          <cell r="D2797" t="str">
            <v>6305 2RS MATERIAL</v>
          </cell>
        </row>
        <row r="2798">
          <cell r="C2798">
            <v>1422351.44</v>
          </cell>
          <cell r="D2798" t="str">
            <v>6009 2RS MATERIAL</v>
          </cell>
        </row>
        <row r="2799">
          <cell r="C2799">
            <v>1422351.45</v>
          </cell>
          <cell r="D2799" t="str">
            <v>6301 2RS MATERIAL</v>
          </cell>
        </row>
        <row r="2800">
          <cell r="C2800">
            <v>1422351.46</v>
          </cell>
          <cell r="D2800" t="str">
            <v>6013 2RS C3 MATERIAL</v>
          </cell>
        </row>
        <row r="2801">
          <cell r="C2801">
            <v>1422352.01</v>
          </cell>
          <cell r="D2801" t="str">
            <v>6001 2RS MATERIAL</v>
          </cell>
        </row>
        <row r="2802">
          <cell r="C2802">
            <v>913068</v>
          </cell>
          <cell r="D2802" t="str">
            <v>BOX R.P.C 38X300</v>
          </cell>
        </row>
        <row r="2803">
          <cell r="C2803">
            <v>1422352.02</v>
          </cell>
          <cell r="D2803" t="str">
            <v>6002 2RS MATERIAL</v>
          </cell>
        </row>
        <row r="2804">
          <cell r="C2804">
            <v>913068</v>
          </cell>
          <cell r="D2804" t="str">
            <v>BOX R.P.C 38X300</v>
          </cell>
        </row>
        <row r="2805">
          <cell r="C2805">
            <v>1422352.03</v>
          </cell>
          <cell r="D2805" t="str">
            <v>6003 2RS MATERIAL.</v>
          </cell>
        </row>
        <row r="2806">
          <cell r="C2806">
            <v>913068</v>
          </cell>
          <cell r="D2806" t="str">
            <v>BOX R.P.C 38X300</v>
          </cell>
        </row>
        <row r="2807">
          <cell r="C2807">
            <v>1422353.02</v>
          </cell>
          <cell r="D2807" t="str">
            <v>6202 ZZ MATERIAL</v>
          </cell>
        </row>
        <row r="2808">
          <cell r="C2808">
            <v>1422353.03</v>
          </cell>
          <cell r="D2808" t="str">
            <v>6200 2RS MATERIAL</v>
          </cell>
        </row>
        <row r="2809">
          <cell r="C2809">
            <v>1422353.04</v>
          </cell>
          <cell r="D2809" t="str">
            <v>6204 ZZ MATERIAL</v>
          </cell>
        </row>
        <row r="2810">
          <cell r="C2810">
            <v>913069</v>
          </cell>
          <cell r="D2810" t="str">
            <v>BOX R.P.C 55X300</v>
          </cell>
        </row>
        <row r="2811">
          <cell r="C2811">
            <v>1422353.05</v>
          </cell>
          <cell r="D2811" t="str">
            <v>6205 ZZ MATERIAL</v>
          </cell>
        </row>
        <row r="2812">
          <cell r="C2812">
            <v>913069</v>
          </cell>
          <cell r="D2812" t="str">
            <v>BOX R.P.C 55X300</v>
          </cell>
        </row>
        <row r="2813">
          <cell r="C2813">
            <v>1422353.06</v>
          </cell>
          <cell r="D2813" t="str">
            <v>6206 ZZ MATERIAL</v>
          </cell>
        </row>
        <row r="2814">
          <cell r="C2814">
            <v>913031</v>
          </cell>
          <cell r="D2814" t="str">
            <v>BOX 67X16X67</v>
          </cell>
        </row>
        <row r="2815">
          <cell r="C2815">
            <v>1422353.07</v>
          </cell>
          <cell r="D2815" t="str">
            <v>6207 ZZ MATERIAL</v>
          </cell>
        </row>
        <row r="2816">
          <cell r="C2816">
            <v>913029</v>
          </cell>
          <cell r="D2816" t="str">
            <v>BOX 85X20X85</v>
          </cell>
        </row>
        <row r="2817">
          <cell r="C2817">
            <v>1422353.08</v>
          </cell>
          <cell r="D2817" t="str">
            <v>6208 ZZ MATERIAL</v>
          </cell>
        </row>
        <row r="2818">
          <cell r="C2818">
            <v>1422353.08</v>
          </cell>
          <cell r="D2818" t="str">
            <v>6208 ZZ MATERIAL</v>
          </cell>
        </row>
        <row r="2819">
          <cell r="C2819">
            <v>1422353.09</v>
          </cell>
          <cell r="D2819" t="str">
            <v>6209 ZZ MATERIAL</v>
          </cell>
        </row>
        <row r="2820">
          <cell r="C2820">
            <v>1422353.1</v>
          </cell>
          <cell r="D2820" t="str">
            <v>6203 2RS MATERIAL</v>
          </cell>
        </row>
        <row r="2821">
          <cell r="C2821">
            <v>1422353.11</v>
          </cell>
          <cell r="D2821" t="str">
            <v>6207 2RS MATERIAL</v>
          </cell>
        </row>
        <row r="2822">
          <cell r="C2822">
            <v>1422353.12</v>
          </cell>
          <cell r="D2822" t="str">
            <v>6212ZZ MATERIAL.</v>
          </cell>
        </row>
        <row r="2823">
          <cell r="C2823">
            <v>1422353.13</v>
          </cell>
          <cell r="D2823" t="str">
            <v>6204 2RS MATERIAL</v>
          </cell>
        </row>
        <row r="2824">
          <cell r="C2824">
            <v>1422353.14</v>
          </cell>
          <cell r="D2824" t="str">
            <v>6205 MATERIAL</v>
          </cell>
        </row>
        <row r="2825">
          <cell r="C2825">
            <v>1422353.15</v>
          </cell>
          <cell r="D2825" t="str">
            <v>6000 2RS MATERIAL</v>
          </cell>
        </row>
        <row r="2826">
          <cell r="C2826">
            <v>1422353.16</v>
          </cell>
          <cell r="D2826" t="str">
            <v>6005  MATERIAL</v>
          </cell>
        </row>
        <row r="2827">
          <cell r="C2827">
            <v>1422353.17</v>
          </cell>
          <cell r="D2827" t="str">
            <v>6212 2RS MATERIAL</v>
          </cell>
        </row>
        <row r="2828">
          <cell r="C2828">
            <v>1422353.18</v>
          </cell>
          <cell r="D2828" t="str">
            <v>6212 MATERIAL</v>
          </cell>
        </row>
        <row r="2829">
          <cell r="C2829">
            <v>1422353.12</v>
          </cell>
          <cell r="D2829" t="str">
            <v>6212ZZ MATERIAL.</v>
          </cell>
        </row>
        <row r="2830">
          <cell r="C2830">
            <v>1422353.22</v>
          </cell>
          <cell r="D2830" t="str">
            <v>6207 MATERIAL</v>
          </cell>
        </row>
        <row r="2831">
          <cell r="C2831">
            <v>1422353.23</v>
          </cell>
          <cell r="D2831" t="str">
            <v>6214 2RS MATEIRAL</v>
          </cell>
        </row>
        <row r="2832">
          <cell r="C2832">
            <v>1422353.24</v>
          </cell>
          <cell r="D2832" t="str">
            <v>6206 ZZ C3 MATERIAL</v>
          </cell>
        </row>
        <row r="2833">
          <cell r="C2833">
            <v>1422353.25</v>
          </cell>
          <cell r="D2833" t="str">
            <v>6208 ZZ C3 MATERIAL</v>
          </cell>
        </row>
        <row r="2834">
          <cell r="C2834">
            <v>1422353.26</v>
          </cell>
          <cell r="D2834" t="str">
            <v>6200 ZZ MATERIAL</v>
          </cell>
        </row>
        <row r="2835">
          <cell r="C2835">
            <v>1422353.27</v>
          </cell>
          <cell r="D2835" t="str">
            <v>6300 ZZ MATERIAL</v>
          </cell>
        </row>
        <row r="2836">
          <cell r="C2836">
            <v>1422353.28</v>
          </cell>
          <cell r="D2836" t="str">
            <v>6201 ZZ MATERIAL</v>
          </cell>
        </row>
        <row r="2837">
          <cell r="C2837">
            <v>1422353.29</v>
          </cell>
          <cell r="D2837" t="str">
            <v>6003 ZZ MATERIAL</v>
          </cell>
        </row>
        <row r="2838">
          <cell r="C2838">
            <v>1422353.3</v>
          </cell>
          <cell r="D2838" t="str">
            <v>6203 ZZ MATERIAL</v>
          </cell>
        </row>
        <row r="2839">
          <cell r="C2839">
            <v>1422353.31</v>
          </cell>
          <cell r="D2839" t="str">
            <v>6008 2RS MATERIAL</v>
          </cell>
        </row>
        <row r="2840">
          <cell r="C2840">
            <v>1422353.32</v>
          </cell>
          <cell r="D2840" t="str">
            <v>6303 ZZ MATERIAL</v>
          </cell>
        </row>
        <row r="2841">
          <cell r="C2841">
            <v>1422353.33</v>
          </cell>
          <cell r="D2841" t="str">
            <v>6303 2RS MATERIAL</v>
          </cell>
        </row>
        <row r="2842">
          <cell r="C2842">
            <v>1422353.34</v>
          </cell>
          <cell r="D2842" t="str">
            <v>6210 ZZ MATERIAL</v>
          </cell>
        </row>
        <row r="2843">
          <cell r="C2843">
            <v>1422353.35</v>
          </cell>
          <cell r="D2843" t="str">
            <v>6011 ZZ MATERIAL</v>
          </cell>
        </row>
        <row r="2844">
          <cell r="C2844">
            <v>1422353.36</v>
          </cell>
          <cell r="D2844" t="str">
            <v>6211 ZZ MATERIAL</v>
          </cell>
        </row>
        <row r="2845">
          <cell r="C2845">
            <v>1422353.37</v>
          </cell>
          <cell r="D2845" t="str">
            <v>6312 ZZ MATERIAL</v>
          </cell>
        </row>
        <row r="2846">
          <cell r="C2846">
            <v>1422354.05</v>
          </cell>
          <cell r="D2846" t="str">
            <v>6205 2RS MATERIAL</v>
          </cell>
        </row>
        <row r="2847">
          <cell r="C2847">
            <v>1422354.06</v>
          </cell>
          <cell r="D2847" t="str">
            <v>6206 2RS MATERIAL</v>
          </cell>
        </row>
        <row r="2848">
          <cell r="C2848">
            <v>913031</v>
          </cell>
          <cell r="D2848" t="str">
            <v>BOX 67X16X67</v>
          </cell>
        </row>
        <row r="2849">
          <cell r="C2849">
            <v>1422354.07</v>
          </cell>
          <cell r="D2849" t="str">
            <v>6206 MATEIRAL</v>
          </cell>
        </row>
        <row r="2850">
          <cell r="C2850">
            <v>1422355.02</v>
          </cell>
          <cell r="D2850" t="str">
            <v>6302 ZZ MATERIAL</v>
          </cell>
        </row>
        <row r="2851">
          <cell r="C2851">
            <v>1422355.04</v>
          </cell>
          <cell r="D2851" t="str">
            <v>6304 ZZ MATERIAL</v>
          </cell>
        </row>
        <row r="2852">
          <cell r="C2852">
            <v>913069</v>
          </cell>
          <cell r="D2852" t="str">
            <v>BOX R.P.C 55X300</v>
          </cell>
        </row>
        <row r="2853">
          <cell r="C2853">
            <v>1422355.05</v>
          </cell>
          <cell r="D2853" t="str">
            <v>6305 ZZ MATERIAL</v>
          </cell>
        </row>
        <row r="2854">
          <cell r="C2854">
            <v>913031</v>
          </cell>
          <cell r="D2854" t="str">
            <v>BOX 67X16X67</v>
          </cell>
        </row>
        <row r="2855">
          <cell r="C2855">
            <v>1422355.06</v>
          </cell>
          <cell r="D2855" t="str">
            <v>6306 ZZ MATERIAL.</v>
          </cell>
        </row>
        <row r="2856">
          <cell r="C2856">
            <v>913002</v>
          </cell>
          <cell r="D2856" t="str">
            <v>Box 75x30x75</v>
          </cell>
        </row>
        <row r="2857">
          <cell r="C2857">
            <v>1422355.06</v>
          </cell>
          <cell r="D2857" t="str">
            <v>6306 ZZ MATERIAL.</v>
          </cell>
        </row>
        <row r="2858">
          <cell r="C2858">
            <v>1422355.08</v>
          </cell>
          <cell r="D2858" t="str">
            <v>6305 ZZ C3 MATERIAL</v>
          </cell>
        </row>
        <row r="2859">
          <cell r="C2859">
            <v>100355.1</v>
          </cell>
          <cell r="D2859" t="str">
            <v>IR.6305 2RS (70MM DIA)</v>
          </cell>
        </row>
        <row r="2860">
          <cell r="C2860">
            <v>200355.1</v>
          </cell>
          <cell r="D2860" t="str">
            <v>OR.6305 2RS (70MM DIA)</v>
          </cell>
        </row>
        <row r="2861">
          <cell r="C2861">
            <v>300355.09999999998</v>
          </cell>
          <cell r="D2861" t="str">
            <v>NCG.6305 2RS (70MM DIA)</v>
          </cell>
        </row>
        <row r="2862">
          <cell r="C2862">
            <v>500355.1</v>
          </cell>
          <cell r="D2862" t="str">
            <v>BALL 29/64"(IS:2898-1976)</v>
          </cell>
        </row>
        <row r="2863">
          <cell r="C2863">
            <v>5221247</v>
          </cell>
          <cell r="D2863" t="str">
            <v>O G SHELL GADUS S2 V100 3</v>
          </cell>
        </row>
        <row r="2864">
          <cell r="C2864">
            <v>700355.1</v>
          </cell>
          <cell r="D2864" t="str">
            <v>SEAL.6305 2RS (70MM DIA)</v>
          </cell>
        </row>
        <row r="2865">
          <cell r="C2865">
            <v>1422355.11</v>
          </cell>
          <cell r="D2865" t="str">
            <v>6311 ZZ MATERIAL</v>
          </cell>
        </row>
        <row r="2866">
          <cell r="C2866">
            <v>100355.12</v>
          </cell>
          <cell r="D2866" t="str">
            <v>IR.6305-2RS N</v>
          </cell>
        </row>
        <row r="2867">
          <cell r="C2867">
            <v>200355.12</v>
          </cell>
          <cell r="D2867" t="str">
            <v>OR.6305-2RS N</v>
          </cell>
        </row>
        <row r="2868">
          <cell r="C2868">
            <v>300355.12</v>
          </cell>
          <cell r="D2868" t="str">
            <v>NCG.6305-2RS N</v>
          </cell>
        </row>
        <row r="2869">
          <cell r="C2869">
            <v>500355.1</v>
          </cell>
          <cell r="D2869" t="str">
            <v>BALL 29/64"(IS:2898-1976)</v>
          </cell>
        </row>
        <row r="2870">
          <cell r="C2870">
            <v>5221247.03</v>
          </cell>
          <cell r="D2870" t="str">
            <v>O G Super N</v>
          </cell>
        </row>
        <row r="2871">
          <cell r="C2871">
            <v>700355.12</v>
          </cell>
          <cell r="D2871" t="str">
            <v>SEALHNBR.6305-2RS N</v>
          </cell>
        </row>
        <row r="2872">
          <cell r="C2872">
            <v>1422355.13</v>
          </cell>
          <cell r="D2872" t="str">
            <v>6311 MATERIAL</v>
          </cell>
        </row>
        <row r="2873">
          <cell r="C2873">
            <v>100355.15</v>
          </cell>
          <cell r="D2873" t="str">
            <v>IR.6305 2RS (70MM DIA)SPL</v>
          </cell>
        </row>
        <row r="2874">
          <cell r="C2874">
            <v>200355.1</v>
          </cell>
          <cell r="D2874" t="str">
            <v>OR.6305 2RS (70MM DIA)</v>
          </cell>
        </row>
        <row r="2875">
          <cell r="C2875">
            <v>300355.09999999998</v>
          </cell>
          <cell r="D2875" t="str">
            <v>NCG.6305 2RS (70MM DIA)</v>
          </cell>
        </row>
        <row r="2876">
          <cell r="C2876">
            <v>500355.1</v>
          </cell>
          <cell r="D2876" t="str">
            <v>BALL 29/64"(IS:2898-1976)</v>
          </cell>
        </row>
        <row r="2877">
          <cell r="C2877">
            <v>5221247</v>
          </cell>
          <cell r="D2877" t="str">
            <v>O G SHELL GADUS S2 V100 3</v>
          </cell>
        </row>
        <row r="2878">
          <cell r="C2878">
            <v>612689</v>
          </cell>
          <cell r="D2878" t="str">
            <v>G.SCREW M5X0.8X5MM</v>
          </cell>
        </row>
        <row r="2879">
          <cell r="C2879">
            <v>700355.1</v>
          </cell>
          <cell r="D2879" t="str">
            <v>SEAL.6305 2RS (70MM DIA)</v>
          </cell>
        </row>
        <row r="2880">
          <cell r="C2880">
            <v>1422355.04</v>
          </cell>
          <cell r="D2880" t="str">
            <v>6304 ZZ MATERIAL</v>
          </cell>
        </row>
        <row r="2881">
          <cell r="C2881">
            <v>1422355.06</v>
          </cell>
          <cell r="D2881" t="str">
            <v>6306 ZZ MATERIAL.</v>
          </cell>
        </row>
        <row r="2882">
          <cell r="C2882">
            <v>1422355.04</v>
          </cell>
          <cell r="D2882" t="str">
            <v>6304 ZZ MATERIAL</v>
          </cell>
        </row>
        <row r="2883">
          <cell r="C2883">
            <v>1422356.06</v>
          </cell>
          <cell r="D2883" t="str">
            <v>6306 2RS MATEIRAL.</v>
          </cell>
        </row>
        <row r="2884">
          <cell r="C2884">
            <v>1422356.08</v>
          </cell>
          <cell r="D2884" t="str">
            <v>6308 2RS MATERIAL</v>
          </cell>
        </row>
        <row r="2885">
          <cell r="C2885">
            <v>1422356.09</v>
          </cell>
          <cell r="D2885" t="str">
            <v>6308 ZZ MATERIAL</v>
          </cell>
        </row>
        <row r="2886">
          <cell r="C2886">
            <v>1422356.1</v>
          </cell>
          <cell r="D2886" t="str">
            <v>6308 ZZ C3 MATERIAL</v>
          </cell>
        </row>
        <row r="2887">
          <cell r="C2887">
            <v>1422357</v>
          </cell>
          <cell r="D2887" t="str">
            <v>6211 2RS MATERIAL</v>
          </cell>
        </row>
        <row r="2888">
          <cell r="C2888">
            <v>104358</v>
          </cell>
          <cell r="D2888" t="str">
            <v>IR 6211 2RS SPL</v>
          </cell>
        </row>
        <row r="2889">
          <cell r="C2889">
            <v>208358</v>
          </cell>
          <cell r="D2889" t="str">
            <v>OR 6211 2RS SPL</v>
          </cell>
        </row>
        <row r="2890">
          <cell r="C2890">
            <v>309357</v>
          </cell>
          <cell r="D2890" t="str">
            <v>CAGE 6211 2RS</v>
          </cell>
        </row>
        <row r="2891">
          <cell r="C2891">
            <v>511357</v>
          </cell>
          <cell r="D2891" t="str">
            <v>BALL 9/16" (IS:2898-1976)</v>
          </cell>
        </row>
        <row r="2892">
          <cell r="C2892">
            <v>5221247</v>
          </cell>
          <cell r="D2892" t="str">
            <v>O G SHELL GADUS S2 V100 3</v>
          </cell>
        </row>
        <row r="2893">
          <cell r="C2893">
            <v>717358</v>
          </cell>
          <cell r="D2893" t="str">
            <v>SEAL 6211 SPL</v>
          </cell>
        </row>
        <row r="2894">
          <cell r="C2894">
            <v>1422359.06</v>
          </cell>
          <cell r="D2894" t="str">
            <v>6310 ZZ MATERIAL</v>
          </cell>
        </row>
        <row r="2895">
          <cell r="C2895">
            <v>1422359.06</v>
          </cell>
          <cell r="D2895" t="str">
            <v>6310 ZZ MATERIAL</v>
          </cell>
        </row>
        <row r="2896">
          <cell r="C2896">
            <v>1422359.07</v>
          </cell>
          <cell r="D2896" t="str">
            <v>6310 MATEIRAL</v>
          </cell>
        </row>
        <row r="2897">
          <cell r="C2897">
            <v>1422359.08</v>
          </cell>
          <cell r="D2897" t="str">
            <v>62304 2RS MATERIAL</v>
          </cell>
        </row>
        <row r="2898">
          <cell r="C2898">
            <v>1422359.09</v>
          </cell>
          <cell r="D2898" t="str">
            <v>62201 2RS MATERIAL</v>
          </cell>
        </row>
        <row r="2899">
          <cell r="C2899">
            <v>1422359.1</v>
          </cell>
          <cell r="D2899" t="str">
            <v>6005 2RS MATERIAL</v>
          </cell>
        </row>
        <row r="2900">
          <cell r="C2900">
            <v>1422359.11</v>
          </cell>
          <cell r="D2900" t="str">
            <v>6006 Z MATERIAL</v>
          </cell>
        </row>
        <row r="2901">
          <cell r="C2901">
            <v>1422359.12</v>
          </cell>
          <cell r="D2901" t="str">
            <v>6012 2RS MATERIAL</v>
          </cell>
        </row>
        <row r="2902">
          <cell r="C2902">
            <v>208360</v>
          </cell>
          <cell r="D2902" t="str">
            <v>BE.OR 202420</v>
          </cell>
        </row>
        <row r="2903">
          <cell r="C2903">
            <v>208361</v>
          </cell>
          <cell r="D2903" t="str">
            <v>BE.OR 252920</v>
          </cell>
        </row>
        <row r="2904">
          <cell r="C2904">
            <v>208362</v>
          </cell>
          <cell r="D2904" t="str">
            <v>BE.OR 283220</v>
          </cell>
        </row>
        <row r="2905">
          <cell r="C2905">
            <v>208363</v>
          </cell>
          <cell r="D2905" t="str">
            <v>BE.OR 354020</v>
          </cell>
        </row>
        <row r="2906">
          <cell r="C2906">
            <v>208364</v>
          </cell>
          <cell r="D2906" t="str">
            <v>BE.OR 252940</v>
          </cell>
        </row>
        <row r="2907">
          <cell r="C2907">
            <v>208364.02</v>
          </cell>
          <cell r="D2907" t="str">
            <v>BE.OR 252940 SP.</v>
          </cell>
        </row>
        <row r="2908">
          <cell r="C2908">
            <v>913010</v>
          </cell>
          <cell r="D2908" t="str">
            <v>Box 150x40x50</v>
          </cell>
        </row>
        <row r="2909">
          <cell r="C2909">
            <v>208365</v>
          </cell>
          <cell r="D2909" t="str">
            <v>OR.OR 252926</v>
          </cell>
        </row>
        <row r="2910">
          <cell r="C2910">
            <v>208365</v>
          </cell>
          <cell r="D2910" t="str">
            <v>OR.OR 252926</v>
          </cell>
        </row>
        <row r="2911">
          <cell r="C2911">
            <v>208366</v>
          </cell>
          <cell r="D2911" t="str">
            <v>HA.OR 4530 SPL.</v>
          </cell>
        </row>
        <row r="2912">
          <cell r="C2912">
            <v>309366</v>
          </cell>
          <cell r="D2912" t="str">
            <v>HA.MCG 4530 SPL.</v>
          </cell>
        </row>
        <row r="2913">
          <cell r="C2913">
            <v>511366</v>
          </cell>
          <cell r="D2913" t="str">
            <v>RO 6X28 BPM</v>
          </cell>
        </row>
        <row r="2914">
          <cell r="C2914">
            <v>208367</v>
          </cell>
          <cell r="D2914" t="str">
            <v>HB.OR 4933 SPL.</v>
          </cell>
        </row>
        <row r="2915">
          <cell r="C2915">
            <v>309367</v>
          </cell>
          <cell r="D2915" t="str">
            <v>HB.MCG 4933 SPL.</v>
          </cell>
        </row>
        <row r="2916">
          <cell r="C2916">
            <v>511367</v>
          </cell>
          <cell r="D2916" t="str">
            <v>RO 6.5X31.4 BPM</v>
          </cell>
        </row>
        <row r="2917">
          <cell r="C2917">
            <v>208368</v>
          </cell>
          <cell r="D2917" t="str">
            <v>BE.OR 253240 SP.</v>
          </cell>
        </row>
        <row r="2918">
          <cell r="C2918">
            <v>104370</v>
          </cell>
          <cell r="D2918" t="str">
            <v>IR.IR 172216.4</v>
          </cell>
        </row>
        <row r="2919">
          <cell r="C2919">
            <v>104371</v>
          </cell>
          <cell r="D2919" t="str">
            <v>IR.IR 283520.4</v>
          </cell>
        </row>
        <row r="2920">
          <cell r="C2920">
            <v>104371.01</v>
          </cell>
          <cell r="D2920" t="str">
            <v>IR.IR 283520.4 READIOUS F</v>
          </cell>
        </row>
        <row r="2921">
          <cell r="C2921">
            <v>104371.4</v>
          </cell>
          <cell r="D2921" t="str">
            <v>IR.IR 283520.4</v>
          </cell>
        </row>
        <row r="2922">
          <cell r="C2922">
            <v>104372</v>
          </cell>
          <cell r="D2922" t="str">
            <v>IR.IR 303530.4</v>
          </cell>
        </row>
        <row r="2923">
          <cell r="C2923">
            <v>104373</v>
          </cell>
          <cell r="D2923" t="str">
            <v>IR.IR 354030.4</v>
          </cell>
        </row>
        <row r="2924">
          <cell r="C2924">
            <v>4374.01</v>
          </cell>
        </row>
        <row r="2925">
          <cell r="C2925">
            <v>8374.01</v>
          </cell>
        </row>
        <row r="2926">
          <cell r="C2926">
            <v>9374.01</v>
          </cell>
        </row>
        <row r="2927">
          <cell r="C2927">
            <v>8374.01</v>
          </cell>
        </row>
        <row r="2928">
          <cell r="C2928">
            <v>9374.01</v>
          </cell>
        </row>
        <row r="2929">
          <cell r="C2929">
            <v>104375.01</v>
          </cell>
          <cell r="D2929" t="str">
            <v>NKIS.IR 20</v>
          </cell>
        </row>
        <row r="2930">
          <cell r="C2930">
            <v>208375.01</v>
          </cell>
          <cell r="D2930" t="str">
            <v>NKIS.OR 20</v>
          </cell>
        </row>
        <row r="2931">
          <cell r="C2931">
            <v>309375.01</v>
          </cell>
          <cell r="D2931" t="str">
            <v>NKIS.MCG 20</v>
          </cell>
        </row>
        <row r="2932">
          <cell r="C2932">
            <v>511375.01</v>
          </cell>
          <cell r="D2932" t="str">
            <v>RO 4.5X15.8</v>
          </cell>
        </row>
        <row r="2933">
          <cell r="C2933">
            <v>208375.01</v>
          </cell>
          <cell r="D2933" t="str">
            <v>NKIS.OR 20</v>
          </cell>
        </row>
        <row r="2934">
          <cell r="C2934">
            <v>309375.01</v>
          </cell>
          <cell r="D2934" t="str">
            <v>NKIS.MCG 20</v>
          </cell>
        </row>
        <row r="2935">
          <cell r="C2935">
            <v>511375.01</v>
          </cell>
          <cell r="D2935" t="str">
            <v>RO 4.5X15.8</v>
          </cell>
        </row>
        <row r="2936">
          <cell r="C2936">
            <v>913006</v>
          </cell>
          <cell r="D2936" t="str">
            <v>Box 50x35x50</v>
          </cell>
        </row>
        <row r="2937">
          <cell r="C2937">
            <v>104375.01</v>
          </cell>
          <cell r="D2937" t="str">
            <v>NKIS.IR 20</v>
          </cell>
        </row>
        <row r="2938">
          <cell r="C2938">
            <v>104376.01</v>
          </cell>
          <cell r="D2938" t="str">
            <v>NKIS.IR 25</v>
          </cell>
        </row>
        <row r="2939">
          <cell r="C2939">
            <v>208376.01</v>
          </cell>
          <cell r="D2939" t="str">
            <v>NKIS.OR 25</v>
          </cell>
        </row>
        <row r="2940">
          <cell r="C2940">
            <v>309376</v>
          </cell>
          <cell r="D2940" t="str">
            <v>NKIS.MCG 25</v>
          </cell>
        </row>
        <row r="2941">
          <cell r="C2941">
            <v>511308.01</v>
          </cell>
          <cell r="D2941" t="str">
            <v>RO 5X16.8</v>
          </cell>
        </row>
        <row r="2942">
          <cell r="C2942">
            <v>208376.01</v>
          </cell>
          <cell r="D2942" t="str">
            <v>NKIS.OR 25</v>
          </cell>
        </row>
        <row r="2943">
          <cell r="C2943">
            <v>309376</v>
          </cell>
          <cell r="D2943" t="str">
            <v>NKIS.MCG 25</v>
          </cell>
        </row>
        <row r="2944">
          <cell r="C2944">
            <v>511308.01</v>
          </cell>
          <cell r="D2944" t="str">
            <v>RO 5X16.8</v>
          </cell>
        </row>
        <row r="2945">
          <cell r="C2945">
            <v>913006</v>
          </cell>
          <cell r="D2945" t="str">
            <v>Box 50x35x50</v>
          </cell>
        </row>
        <row r="2946">
          <cell r="C2946">
            <v>104376.01</v>
          </cell>
          <cell r="D2946" t="str">
            <v>NKIS.IR 25</v>
          </cell>
        </row>
        <row r="2947">
          <cell r="C2947">
            <v>104377.01</v>
          </cell>
          <cell r="D2947" t="str">
            <v>NKIS.IR 30 (IR 303722)</v>
          </cell>
        </row>
        <row r="2948">
          <cell r="C2948">
            <v>208377.01</v>
          </cell>
          <cell r="D2948" t="str">
            <v>NKIS.OR 30 (NKS 37)</v>
          </cell>
        </row>
        <row r="2949">
          <cell r="C2949">
            <v>309377.01</v>
          </cell>
          <cell r="D2949" t="str">
            <v>NKIS.MCG 30 (NKS 37)</v>
          </cell>
        </row>
        <row r="2950">
          <cell r="C2950">
            <v>208377.01</v>
          </cell>
          <cell r="D2950" t="str">
            <v>NKIS.OR 30 (NKS 37)</v>
          </cell>
        </row>
        <row r="2951">
          <cell r="C2951">
            <v>309377.01</v>
          </cell>
          <cell r="D2951" t="str">
            <v>NKIS.MCG 30 (NKS 37)</v>
          </cell>
        </row>
        <row r="2952">
          <cell r="C2952">
            <v>913006</v>
          </cell>
          <cell r="D2952" t="str">
            <v>Box 50x35x50</v>
          </cell>
        </row>
        <row r="2953">
          <cell r="C2953">
            <v>104377.01</v>
          </cell>
          <cell r="D2953" t="str">
            <v>NKIS.IR 30 (IR 303722)</v>
          </cell>
        </row>
        <row r="2954">
          <cell r="C2954">
            <v>208378.01</v>
          </cell>
          <cell r="D2954" t="str">
            <v>NKS.OR 35</v>
          </cell>
        </row>
        <row r="2955">
          <cell r="C2955">
            <v>309377</v>
          </cell>
          <cell r="D2955" t="str">
            <v>NKS.MCG 35</v>
          </cell>
        </row>
        <row r="2956">
          <cell r="C2956">
            <v>511308.01</v>
          </cell>
          <cell r="D2956" t="str">
            <v>RO 5X16.8</v>
          </cell>
        </row>
        <row r="2957">
          <cell r="C2957">
            <v>913006</v>
          </cell>
          <cell r="D2957" t="str">
            <v>Box 50x35x50</v>
          </cell>
        </row>
        <row r="2958">
          <cell r="C2958">
            <v>104379.01</v>
          </cell>
          <cell r="D2958" t="str">
            <v>NKIS.IR 45 (IR 455522)</v>
          </cell>
        </row>
        <row r="2959">
          <cell r="C2959">
            <v>208379.01</v>
          </cell>
          <cell r="D2959" t="str">
            <v>NKIS.OR 45 (NKS 55)</v>
          </cell>
        </row>
        <row r="2960">
          <cell r="C2960">
            <v>309379.01</v>
          </cell>
          <cell r="D2960" t="str">
            <v>NKIS.MCG 45 (NKS 55)</v>
          </cell>
        </row>
        <row r="2961">
          <cell r="C2961">
            <v>511308.01</v>
          </cell>
          <cell r="D2961" t="str">
            <v>RO 5X16.8</v>
          </cell>
        </row>
        <row r="2962">
          <cell r="C2962">
            <v>913002</v>
          </cell>
          <cell r="D2962" t="str">
            <v>Box 75x30x75</v>
          </cell>
        </row>
        <row r="2963">
          <cell r="C2963">
            <v>208379.01</v>
          </cell>
          <cell r="D2963" t="str">
            <v>NKIS.OR 45 (NKS 55)</v>
          </cell>
        </row>
        <row r="2964">
          <cell r="C2964">
            <v>309379.01</v>
          </cell>
          <cell r="D2964" t="str">
            <v>NKIS.MCG 45 (NKS 55)</v>
          </cell>
        </row>
        <row r="2965">
          <cell r="C2965">
            <v>511308.01</v>
          </cell>
          <cell r="D2965" t="str">
            <v>RO 5X16.8</v>
          </cell>
        </row>
        <row r="2966">
          <cell r="C2966">
            <v>913002</v>
          </cell>
          <cell r="D2966" t="str">
            <v>Box 75x30x75</v>
          </cell>
        </row>
        <row r="2967">
          <cell r="C2967">
            <v>104379.01</v>
          </cell>
          <cell r="D2967" t="str">
            <v>NKIS.IR 45 (IR 455522)</v>
          </cell>
        </row>
        <row r="2968">
          <cell r="C2968">
            <v>104380.01</v>
          </cell>
          <cell r="D2968" t="str">
            <v>NKIS.IR 40</v>
          </cell>
        </row>
        <row r="2969">
          <cell r="C2969">
            <v>208380.01</v>
          </cell>
          <cell r="D2969" t="str">
            <v>NKS.OR 50(NKIS 40)</v>
          </cell>
        </row>
        <row r="2970">
          <cell r="C2970">
            <v>309380.01</v>
          </cell>
          <cell r="D2970" t="str">
            <v>NKIS.MCG 40 (NKS 50)</v>
          </cell>
        </row>
        <row r="2971">
          <cell r="C2971">
            <v>511308.01</v>
          </cell>
          <cell r="D2971" t="str">
            <v>RO 5X16.8</v>
          </cell>
        </row>
        <row r="2972">
          <cell r="C2972">
            <v>913002</v>
          </cell>
          <cell r="D2972" t="str">
            <v>Box 75x30x75</v>
          </cell>
        </row>
        <row r="2973">
          <cell r="C2973">
            <v>208380.01</v>
          </cell>
          <cell r="D2973" t="str">
            <v>NKS.OR 50(NKIS 40)</v>
          </cell>
        </row>
        <row r="2974">
          <cell r="C2974">
            <v>309380.01</v>
          </cell>
          <cell r="D2974" t="str">
            <v>NKIS.MCG 40 (NKS 50)</v>
          </cell>
        </row>
        <row r="2975">
          <cell r="C2975">
            <v>511308.01</v>
          </cell>
          <cell r="D2975" t="str">
            <v>RO 5X16.8</v>
          </cell>
        </row>
        <row r="2976">
          <cell r="C2976">
            <v>104380.01</v>
          </cell>
          <cell r="D2976" t="str">
            <v>NKIS.IR 40</v>
          </cell>
        </row>
        <row r="2977">
          <cell r="C2977">
            <v>104381.01</v>
          </cell>
          <cell r="D2977" t="str">
            <v>NKIS.IR 35 (IR 354322)</v>
          </cell>
        </row>
        <row r="2978">
          <cell r="C2978">
            <v>208381.01</v>
          </cell>
          <cell r="D2978" t="str">
            <v>NKIS.OR 35 (NKS 43)</v>
          </cell>
        </row>
        <row r="2979">
          <cell r="C2979">
            <v>309381.01</v>
          </cell>
          <cell r="D2979" t="str">
            <v>NKIS.MCG 35 (NKS 43)</v>
          </cell>
        </row>
        <row r="2980">
          <cell r="C2980">
            <v>208381.01</v>
          </cell>
          <cell r="D2980" t="str">
            <v>NKIS.OR 35 (NKS 43)</v>
          </cell>
        </row>
        <row r="2981">
          <cell r="C2981">
            <v>309381.01</v>
          </cell>
          <cell r="D2981" t="str">
            <v>NKIS.MCG 35 (NKS 43)</v>
          </cell>
        </row>
        <row r="2982">
          <cell r="C2982">
            <v>104381.01</v>
          </cell>
          <cell r="D2982" t="str">
            <v>NKIS.IR 35 (IR 354322)</v>
          </cell>
        </row>
        <row r="2983">
          <cell r="C2983">
            <v>104382.01</v>
          </cell>
          <cell r="D2983" t="str">
            <v>NKIS.IR 50 (IR 506028)</v>
          </cell>
        </row>
        <row r="2984">
          <cell r="C2984">
            <v>208382.01</v>
          </cell>
          <cell r="D2984" t="str">
            <v>NKIS.OR 50 (NKS 60)</v>
          </cell>
        </row>
        <row r="2985">
          <cell r="C2985">
            <v>309382.01</v>
          </cell>
          <cell r="D2985" t="str">
            <v>NKIS.MCG 50 (NKS 60)</v>
          </cell>
        </row>
        <row r="2986">
          <cell r="C2986">
            <v>511338.01</v>
          </cell>
          <cell r="D2986" t="str">
            <v>RO 6.5X19.8</v>
          </cell>
        </row>
        <row r="2987">
          <cell r="C2987">
            <v>208382.01</v>
          </cell>
          <cell r="D2987" t="str">
            <v>NKIS.OR 50 (NKS 60)</v>
          </cell>
        </row>
        <row r="2988">
          <cell r="C2988">
            <v>309382.01</v>
          </cell>
          <cell r="D2988" t="str">
            <v>NKIS.MCG 50 (NKS 60)</v>
          </cell>
        </row>
        <row r="2989">
          <cell r="C2989">
            <v>511338.01</v>
          </cell>
          <cell r="D2989" t="str">
            <v>RO 6.5X19.8</v>
          </cell>
        </row>
        <row r="2990">
          <cell r="C2990">
            <v>104382.01</v>
          </cell>
          <cell r="D2990" t="str">
            <v>NKIS.IR 50 (IR 506028)</v>
          </cell>
        </row>
        <row r="2991">
          <cell r="C2991">
            <v>208383.01</v>
          </cell>
          <cell r="D2991" t="str">
            <v>NKS.OR 20</v>
          </cell>
        </row>
        <row r="2992">
          <cell r="C2992">
            <v>309383.01</v>
          </cell>
          <cell r="D2992" t="str">
            <v>NKS.MCG 20</v>
          </cell>
        </row>
        <row r="2993">
          <cell r="C2993">
            <v>511375.01</v>
          </cell>
          <cell r="D2993" t="str">
            <v>RO 4.5X15.8</v>
          </cell>
        </row>
        <row r="2994">
          <cell r="C2994">
            <v>208383.01</v>
          </cell>
          <cell r="D2994" t="str">
            <v>NKS.OR 20</v>
          </cell>
        </row>
        <row r="2995">
          <cell r="C2995">
            <v>309383.01</v>
          </cell>
          <cell r="D2995" t="str">
            <v>NKS.MCG 20</v>
          </cell>
        </row>
        <row r="2996">
          <cell r="C2996">
            <v>511375.01</v>
          </cell>
          <cell r="D2996" t="str">
            <v>RO 4.5X15.8</v>
          </cell>
        </row>
        <row r="2997">
          <cell r="C2997">
            <v>208384.01</v>
          </cell>
          <cell r="D2997" t="str">
            <v>NKS.OR 22</v>
          </cell>
        </row>
        <row r="2998">
          <cell r="C2998">
            <v>9384.01</v>
          </cell>
        </row>
        <row r="2999">
          <cell r="C2999">
            <v>208385.01</v>
          </cell>
          <cell r="D2999" t="str">
            <v>NKS.OR 25</v>
          </cell>
        </row>
        <row r="3000">
          <cell r="C3000">
            <v>309385.01</v>
          </cell>
          <cell r="D3000" t="str">
            <v>NKS.MCG 25</v>
          </cell>
        </row>
        <row r="3001">
          <cell r="C3001">
            <v>208386.01</v>
          </cell>
          <cell r="D3001" t="str">
            <v>NKS.OR 30</v>
          </cell>
        </row>
        <row r="3002">
          <cell r="C3002">
            <v>309386.01</v>
          </cell>
          <cell r="D3002" t="str">
            <v>NKS.MCG 30</v>
          </cell>
        </row>
        <row r="3003">
          <cell r="C3003">
            <v>511375.01</v>
          </cell>
          <cell r="D3003" t="str">
            <v>RO 4.5X15.8</v>
          </cell>
        </row>
        <row r="3004">
          <cell r="C3004">
            <v>208387.01</v>
          </cell>
          <cell r="D3004" t="str">
            <v>NKS.OR 40</v>
          </cell>
        </row>
        <row r="3005">
          <cell r="C3005">
            <v>309387.01</v>
          </cell>
          <cell r="D3005" t="str">
            <v>NKS.MCG 40</v>
          </cell>
        </row>
        <row r="3006">
          <cell r="C3006">
            <v>511308.01</v>
          </cell>
          <cell r="D3006" t="str">
            <v>RO 5X16.8</v>
          </cell>
        </row>
        <row r="3007">
          <cell r="C3007">
            <v>208388.01</v>
          </cell>
          <cell r="D3007" t="str">
            <v>NKS.OR 45</v>
          </cell>
        </row>
        <row r="3008">
          <cell r="C3008">
            <v>309388.01</v>
          </cell>
          <cell r="D3008" t="str">
            <v>NKS.MCG 45</v>
          </cell>
        </row>
        <row r="3009">
          <cell r="C3009">
            <v>309389</v>
          </cell>
          <cell r="D3009" t="str">
            <v>NCG34.92X52.37X0.8materal</v>
          </cell>
        </row>
        <row r="3010">
          <cell r="C3010">
            <v>511390</v>
          </cell>
          <cell r="D3010" t="str">
            <v>RO 1.984X6.1 BP</v>
          </cell>
        </row>
        <row r="3011">
          <cell r="C3011">
            <v>1422389</v>
          </cell>
          <cell r="D3011" t="str">
            <v>WASHER 34.975X52.1200.810</v>
          </cell>
        </row>
        <row r="3012">
          <cell r="C3012">
            <v>309390</v>
          </cell>
          <cell r="D3012" t="str">
            <v>NCG 31.75X49.2X0.8materal</v>
          </cell>
        </row>
        <row r="3013">
          <cell r="C3013">
            <v>511390</v>
          </cell>
          <cell r="D3013" t="str">
            <v>RO 1.984X6.1 BP</v>
          </cell>
        </row>
        <row r="3014">
          <cell r="C3014">
            <v>1422390</v>
          </cell>
          <cell r="D3014" t="str">
            <v>WASHER 31.750X49.2X0.8</v>
          </cell>
        </row>
        <row r="3015">
          <cell r="C3015">
            <v>300390.09999999998</v>
          </cell>
          <cell r="D3015" t="str">
            <v>NTA.CAGE 2840</v>
          </cell>
        </row>
        <row r="3016">
          <cell r="C3016">
            <v>500390.1</v>
          </cell>
          <cell r="D3016" t="str">
            <v>RO 1.984X5.8 BP</v>
          </cell>
        </row>
        <row r="3017">
          <cell r="C3017">
            <v>200390.1</v>
          </cell>
          <cell r="D3017" t="str">
            <v>TRD.W 2840</v>
          </cell>
        </row>
        <row r="3018">
          <cell r="C3018">
            <v>309391</v>
          </cell>
          <cell r="D3018" t="str">
            <v>NCG 35X52X2</v>
          </cell>
        </row>
        <row r="3019">
          <cell r="C3019">
            <v>511391</v>
          </cell>
          <cell r="D3019" t="str">
            <v>RO 2X4.8 SP</v>
          </cell>
        </row>
        <row r="3020">
          <cell r="C3020">
            <v>309391</v>
          </cell>
          <cell r="D3020" t="str">
            <v>NCG 35X52X2</v>
          </cell>
        </row>
        <row r="3021">
          <cell r="C3021">
            <v>511391</v>
          </cell>
          <cell r="D3021" t="str">
            <v>RO 2X4.8 SP</v>
          </cell>
        </row>
        <row r="3022">
          <cell r="C3022">
            <v>300391.21999999997</v>
          </cell>
          <cell r="D3022" t="str">
            <v>MCG.MCG 35X52X2</v>
          </cell>
        </row>
        <row r="3023">
          <cell r="C3023">
            <v>500391.22</v>
          </cell>
          <cell r="D3023" t="str">
            <v>RO 2X6.8 BP</v>
          </cell>
        </row>
        <row r="3024">
          <cell r="C3024">
            <v>309392</v>
          </cell>
          <cell r="D3024" t="str">
            <v>NCG 30X47X2</v>
          </cell>
        </row>
        <row r="3025">
          <cell r="C3025">
            <v>511391</v>
          </cell>
          <cell r="D3025" t="str">
            <v>RO 2X4.8 SP</v>
          </cell>
        </row>
        <row r="3026">
          <cell r="C3026">
            <v>309393</v>
          </cell>
          <cell r="D3026" t="str">
            <v>NCG 25X42X2</v>
          </cell>
        </row>
        <row r="3027">
          <cell r="C3027">
            <v>511391</v>
          </cell>
          <cell r="D3027" t="str">
            <v>RO 2X4.8 SP</v>
          </cell>
        </row>
        <row r="3028">
          <cell r="C3028">
            <v>309393</v>
          </cell>
          <cell r="D3028" t="str">
            <v>NCG 25X42X2</v>
          </cell>
        </row>
        <row r="3029">
          <cell r="C3029">
            <v>511391</v>
          </cell>
          <cell r="D3029" t="str">
            <v>RO 2X4.8 SP</v>
          </cell>
        </row>
        <row r="3030">
          <cell r="C3030">
            <v>309394</v>
          </cell>
          <cell r="D3030" t="str">
            <v>NCG 22.5X35.8X2</v>
          </cell>
        </row>
        <row r="3031">
          <cell r="C3031">
            <v>511391</v>
          </cell>
          <cell r="D3031" t="str">
            <v>RO 2X4.8 SP</v>
          </cell>
        </row>
        <row r="3032">
          <cell r="C3032">
            <v>309394</v>
          </cell>
          <cell r="D3032" t="str">
            <v>NCG 22.5X35.8X2</v>
          </cell>
        </row>
        <row r="3033">
          <cell r="C3033">
            <v>511391</v>
          </cell>
          <cell r="D3033" t="str">
            <v>RO 2X4.8 SP</v>
          </cell>
        </row>
        <row r="3034">
          <cell r="C3034">
            <v>309395</v>
          </cell>
          <cell r="D3034" t="str">
            <v>KXK.BRASS 1126(130X170X4)</v>
          </cell>
        </row>
        <row r="3035">
          <cell r="C3035">
            <v>511431</v>
          </cell>
          <cell r="D3035" t="str">
            <v>RO 5X13.8(CAGE 431)</v>
          </cell>
        </row>
        <row r="3036">
          <cell r="C3036">
            <v>309395.01</v>
          </cell>
          <cell r="D3036" t="str">
            <v>AXK.CAGE 4060</v>
          </cell>
        </row>
        <row r="3037">
          <cell r="C3037">
            <v>511395.01</v>
          </cell>
          <cell r="D3037" t="str">
            <v>RO 3X5.8</v>
          </cell>
        </row>
        <row r="3038">
          <cell r="C3038">
            <v>309395.02</v>
          </cell>
          <cell r="D3038" t="str">
            <v>AXK.CAGE 5070</v>
          </cell>
        </row>
        <row r="3039">
          <cell r="C3039">
            <v>511395.01</v>
          </cell>
          <cell r="D3039" t="str">
            <v>RO 3X5.8</v>
          </cell>
        </row>
        <row r="3040">
          <cell r="C3040">
            <v>309395.03000000003</v>
          </cell>
          <cell r="D3040" t="str">
            <v>AXK.CAGE 85110</v>
          </cell>
        </row>
        <row r="3041">
          <cell r="C3041">
            <v>511395.03</v>
          </cell>
          <cell r="D3041" t="str">
            <v>RO 4X7.8</v>
          </cell>
        </row>
        <row r="3042">
          <cell r="C3042">
            <v>309395.03999999998</v>
          </cell>
          <cell r="D3042" t="str">
            <v>AXK.CAGE 90120</v>
          </cell>
        </row>
        <row r="3043">
          <cell r="C3043">
            <v>511395.04</v>
          </cell>
          <cell r="D3043" t="str">
            <v>RO 4X10.8</v>
          </cell>
        </row>
        <row r="3044">
          <cell r="C3044">
            <v>300395.05</v>
          </cell>
          <cell r="D3044" t="str">
            <v>AXK.NCG 0821 TN</v>
          </cell>
        </row>
        <row r="3045">
          <cell r="C3045">
            <v>511391</v>
          </cell>
          <cell r="D3045" t="str">
            <v>RO 2X4.8 SP</v>
          </cell>
        </row>
        <row r="3046">
          <cell r="C3046">
            <v>309395.01</v>
          </cell>
          <cell r="D3046" t="str">
            <v>AXK.CAGE 4060</v>
          </cell>
        </row>
        <row r="3047">
          <cell r="C3047">
            <v>511395.01</v>
          </cell>
          <cell r="D3047" t="str">
            <v>RO 3X5.8</v>
          </cell>
        </row>
        <row r="3048">
          <cell r="C3048">
            <v>309395.02</v>
          </cell>
          <cell r="D3048" t="str">
            <v>AXK.CAGE 5070</v>
          </cell>
        </row>
        <row r="3049">
          <cell r="C3049">
            <v>511395.01</v>
          </cell>
          <cell r="D3049" t="str">
            <v>RO 3X5.8</v>
          </cell>
        </row>
        <row r="3050">
          <cell r="C3050">
            <v>309395.03000000003</v>
          </cell>
          <cell r="D3050" t="str">
            <v>AXK.CAGE 85110</v>
          </cell>
        </row>
        <row r="3051">
          <cell r="C3051">
            <v>511395.03</v>
          </cell>
          <cell r="D3051" t="str">
            <v>RO 4X7.8</v>
          </cell>
        </row>
        <row r="3052">
          <cell r="C3052">
            <v>309395.03999999998</v>
          </cell>
          <cell r="D3052" t="str">
            <v>AXK.CAGE 90120</v>
          </cell>
        </row>
        <row r="3053">
          <cell r="C3053">
            <v>511395.04</v>
          </cell>
          <cell r="D3053" t="str">
            <v>RO 4X10.8</v>
          </cell>
        </row>
        <row r="3054">
          <cell r="C3054">
            <v>309396</v>
          </cell>
          <cell r="D3054" t="str">
            <v>NCG.NCG 143X149X6</v>
          </cell>
        </row>
        <row r="3055">
          <cell r="C3055">
            <v>511464</v>
          </cell>
          <cell r="D3055" t="str">
            <v>BALL 7/32"(IS:2898-1976)</v>
          </cell>
        </row>
        <row r="3056">
          <cell r="C3056">
            <v>309397</v>
          </cell>
          <cell r="D3056" t="str">
            <v>NCG.NCG 1730</v>
          </cell>
        </row>
        <row r="3057">
          <cell r="C3057">
            <v>511397</v>
          </cell>
          <cell r="D3057" t="str">
            <v>RO 2X4.5 BP</v>
          </cell>
        </row>
        <row r="3058">
          <cell r="C3058">
            <v>913010</v>
          </cell>
          <cell r="D3058" t="str">
            <v>Box 150x40x50</v>
          </cell>
        </row>
        <row r="3059">
          <cell r="C3059">
            <v>100397.21</v>
          </cell>
          <cell r="D3059" t="str">
            <v>W.35.01X51.054X3.590</v>
          </cell>
        </row>
        <row r="3060">
          <cell r="C3060">
            <v>100397.22</v>
          </cell>
          <cell r="D3060" t="str">
            <v>W.35.01X51.54X3.315</v>
          </cell>
        </row>
        <row r="3061">
          <cell r="C3061">
            <v>200397.23</v>
          </cell>
          <cell r="D3061" t="str">
            <v>OR.MNA 6869</v>
          </cell>
        </row>
        <row r="3062">
          <cell r="C3062">
            <v>300397.23</v>
          </cell>
          <cell r="D3062" t="str">
            <v>MCG.MNA 6869</v>
          </cell>
        </row>
        <row r="3063">
          <cell r="C3063">
            <v>500397.23</v>
          </cell>
          <cell r="D3063" t="str">
            <v>RO 5.75X32.3 BP</v>
          </cell>
        </row>
        <row r="3064">
          <cell r="C3064">
            <v>300397.24</v>
          </cell>
          <cell r="D3064" t="str">
            <v>MCG 35X52X2</v>
          </cell>
        </row>
        <row r="3065">
          <cell r="C3065">
            <v>511391</v>
          </cell>
          <cell r="D3065" t="str">
            <v>RO 2X4.8 SP</v>
          </cell>
        </row>
        <row r="3066">
          <cell r="C3066">
            <v>200397.25</v>
          </cell>
          <cell r="D3066" t="str">
            <v>MNA.SLEEVE 50</v>
          </cell>
        </row>
        <row r="3067">
          <cell r="C3067">
            <v>300397.25</v>
          </cell>
          <cell r="D3067" t="str">
            <v>MNA.NCG 50</v>
          </cell>
        </row>
        <row r="3068">
          <cell r="C3068">
            <v>500397.25</v>
          </cell>
          <cell r="D3068" t="str">
            <v>RO 3.175X23.6 BP</v>
          </cell>
        </row>
        <row r="3069">
          <cell r="C3069">
            <v>200397.26</v>
          </cell>
          <cell r="D3069" t="str">
            <v>MNA.OR 7504-162</v>
          </cell>
        </row>
        <row r="3070">
          <cell r="C3070">
            <v>300397.26</v>
          </cell>
          <cell r="D3070" t="str">
            <v>MNA.MCG 7504-162</v>
          </cell>
        </row>
        <row r="3071">
          <cell r="C3071">
            <v>500397.26</v>
          </cell>
          <cell r="D3071" t="str">
            <v>RO 5.75X34.5 BP</v>
          </cell>
        </row>
        <row r="3072">
          <cell r="C3072">
            <v>200397.27</v>
          </cell>
          <cell r="D3072" t="str">
            <v>MNA.OR 6037-125</v>
          </cell>
        </row>
        <row r="3073">
          <cell r="C3073">
            <v>300397.27</v>
          </cell>
          <cell r="D3073" t="str">
            <v>MNA.MCG 6037-125</v>
          </cell>
        </row>
        <row r="3074">
          <cell r="C3074">
            <v>500397.27</v>
          </cell>
          <cell r="D3074" t="str">
            <v>RO 4.760X25 BP</v>
          </cell>
        </row>
        <row r="3075">
          <cell r="C3075">
            <v>200397.28</v>
          </cell>
          <cell r="D3075" t="str">
            <v>MNA.OR 5401-100</v>
          </cell>
        </row>
        <row r="3076">
          <cell r="C3076">
            <v>300397.28000000003</v>
          </cell>
          <cell r="D3076" t="str">
            <v>MNA.MCG 5401-100</v>
          </cell>
        </row>
        <row r="3077">
          <cell r="C3077">
            <v>500397.28</v>
          </cell>
          <cell r="D3077" t="str">
            <v>RO 4.760X20 BP</v>
          </cell>
        </row>
        <row r="3078">
          <cell r="C3078">
            <v>200397.29</v>
          </cell>
          <cell r="D3078" t="str">
            <v>MNA.OR 6037-100</v>
          </cell>
        </row>
        <row r="3079">
          <cell r="C3079">
            <v>300397.28999999998</v>
          </cell>
          <cell r="D3079" t="str">
            <v>MNA.MCG 6037-100</v>
          </cell>
        </row>
        <row r="3080">
          <cell r="C3080">
            <v>500397.28</v>
          </cell>
          <cell r="D3080" t="str">
            <v>RO 4.760X20 BP</v>
          </cell>
        </row>
        <row r="3081">
          <cell r="C3081">
            <v>200397.3</v>
          </cell>
          <cell r="D3081" t="str">
            <v>MNA.OR 6869-125</v>
          </cell>
        </row>
        <row r="3082">
          <cell r="C3082">
            <v>300397.3</v>
          </cell>
          <cell r="D3082" t="str">
            <v>MNA.MCG 6869-125</v>
          </cell>
        </row>
        <row r="3083">
          <cell r="C3083">
            <v>500397.3</v>
          </cell>
          <cell r="D3083" t="str">
            <v>RO 5.75X25 BP</v>
          </cell>
        </row>
        <row r="3084">
          <cell r="C3084">
            <v>309398</v>
          </cell>
          <cell r="D3084" t="str">
            <v>NCG.NCG 70X78X8.7</v>
          </cell>
        </row>
        <row r="3085">
          <cell r="C3085">
            <v>511462</v>
          </cell>
          <cell r="D3085" t="str">
            <v>RO 4X6 (R 462)</v>
          </cell>
        </row>
        <row r="3086">
          <cell r="C3086">
            <v>913008</v>
          </cell>
          <cell r="D3086" t="str">
            <v>Box 95x50x95</v>
          </cell>
        </row>
        <row r="3087">
          <cell r="C3087">
            <v>309399</v>
          </cell>
          <cell r="D3087" t="str">
            <v>NCG.NCG 127X135X5.5</v>
          </cell>
        </row>
        <row r="3088">
          <cell r="C3088">
            <v>511212</v>
          </cell>
          <cell r="D3088" t="str">
            <v>RO 4X4</v>
          </cell>
        </row>
        <row r="3089">
          <cell r="C3089">
            <v>309400</v>
          </cell>
          <cell r="D3089" t="str">
            <v>TCG.TCG 16/13 D</v>
          </cell>
        </row>
        <row r="3090">
          <cell r="C3090">
            <v>511001</v>
          </cell>
          <cell r="D3090" t="str">
            <v>RO 2X9.8</v>
          </cell>
        </row>
        <row r="3091">
          <cell r="C3091">
            <v>309401</v>
          </cell>
          <cell r="D3091" t="str">
            <v>TCG.TCG 21/13 D</v>
          </cell>
        </row>
        <row r="3092">
          <cell r="C3092">
            <v>511001</v>
          </cell>
          <cell r="D3092" t="str">
            <v>RO 2X9.8</v>
          </cell>
        </row>
        <row r="3093">
          <cell r="C3093">
            <v>309402</v>
          </cell>
          <cell r="D3093" t="str">
            <v>TCG.TCG 24/13 D</v>
          </cell>
        </row>
        <row r="3094">
          <cell r="C3094">
            <v>309403</v>
          </cell>
          <cell r="D3094" t="str">
            <v>TCG.TCG 30/13 D</v>
          </cell>
        </row>
        <row r="3095">
          <cell r="C3095">
            <v>511060</v>
          </cell>
          <cell r="D3095" t="str">
            <v>RO 2.5X9.8</v>
          </cell>
        </row>
        <row r="3096">
          <cell r="C3096">
            <v>309404</v>
          </cell>
          <cell r="D3096" t="str">
            <v>TCG.TCG 21/17 D</v>
          </cell>
        </row>
        <row r="3097">
          <cell r="C3097">
            <v>309404</v>
          </cell>
          <cell r="D3097" t="str">
            <v>TCG.TCG 21/17 D</v>
          </cell>
        </row>
        <row r="3098">
          <cell r="C3098">
            <v>511404</v>
          </cell>
          <cell r="D3098" t="str">
            <v>RO 2X13.8</v>
          </cell>
        </row>
        <row r="3099">
          <cell r="C3099">
            <v>309405</v>
          </cell>
          <cell r="D3099" t="str">
            <v>CAGE.CAGE 405</v>
          </cell>
        </row>
        <row r="3100">
          <cell r="C3100">
            <v>511405</v>
          </cell>
          <cell r="D3100" t="str">
            <v>RO 6X10 (BPM)</v>
          </cell>
        </row>
        <row r="3101">
          <cell r="C3101">
            <v>913008</v>
          </cell>
          <cell r="D3101" t="str">
            <v>Box 95x50x95</v>
          </cell>
        </row>
        <row r="3102">
          <cell r="C3102">
            <v>511405</v>
          </cell>
          <cell r="D3102" t="str">
            <v>RO 6X10 (BPM)</v>
          </cell>
        </row>
        <row r="3103">
          <cell r="C3103">
            <v>309406</v>
          </cell>
          <cell r="D3103" t="str">
            <v>CAGE.CAGE 12X17X10</v>
          </cell>
        </row>
        <row r="3104">
          <cell r="C3104">
            <v>511406</v>
          </cell>
          <cell r="D3104" t="str">
            <v>RO 2.5X6.8 BP</v>
          </cell>
        </row>
        <row r="3105">
          <cell r="C3105">
            <v>309406.01</v>
          </cell>
          <cell r="D3105" t="str">
            <v>MCG.MCG 55X63X25</v>
          </cell>
        </row>
        <row r="3106">
          <cell r="C3106">
            <v>511282.01</v>
          </cell>
          <cell r="D3106" t="str">
            <v>RO 4X19.8</v>
          </cell>
        </row>
        <row r="3107">
          <cell r="C3107">
            <v>309406.02</v>
          </cell>
          <cell r="D3107" t="str">
            <v>MCG.MCG 45X52X18</v>
          </cell>
        </row>
        <row r="3108">
          <cell r="C3108">
            <v>511141</v>
          </cell>
          <cell r="D3108" t="str">
            <v>RO 3.5X12.8</v>
          </cell>
        </row>
        <row r="3109">
          <cell r="C3109">
            <v>309406.03000000003</v>
          </cell>
          <cell r="D3109" t="str">
            <v>MCG.MCG 55X60X20</v>
          </cell>
        </row>
        <row r="3110">
          <cell r="C3110">
            <v>511451</v>
          </cell>
          <cell r="D3110" t="str">
            <v>RO 2.5X15.8</v>
          </cell>
        </row>
        <row r="3111">
          <cell r="C3111">
            <v>309406.03999999998</v>
          </cell>
          <cell r="D3111" t="str">
            <v>MCG.MCG 55X63X15</v>
          </cell>
        </row>
        <row r="3112">
          <cell r="C3112">
            <v>511395.04</v>
          </cell>
          <cell r="D3112" t="str">
            <v>RO 4X10.8</v>
          </cell>
        </row>
        <row r="3113">
          <cell r="C3113">
            <v>309406.05</v>
          </cell>
          <cell r="D3113" t="str">
            <v>MCG.MCG 50X56X23</v>
          </cell>
        </row>
        <row r="3114">
          <cell r="C3114">
            <v>511406.05</v>
          </cell>
          <cell r="D3114" t="str">
            <v>RO 3X17.8</v>
          </cell>
        </row>
        <row r="3115">
          <cell r="C3115">
            <v>300406.09999999998</v>
          </cell>
          <cell r="D3115" t="str">
            <v>CAG.MCG 55X63X38</v>
          </cell>
        </row>
        <row r="3116">
          <cell r="C3116">
            <v>511504.01</v>
          </cell>
          <cell r="D3116" t="str">
            <v>RO 4X14.8</v>
          </cell>
        </row>
        <row r="3117">
          <cell r="C3117">
            <v>1422407</v>
          </cell>
          <cell r="D3117" t="str">
            <v>HOUSING (TFO BEARING)</v>
          </cell>
        </row>
        <row r="3118">
          <cell r="C3118">
            <v>208407.01</v>
          </cell>
          <cell r="D3118" t="str">
            <v>OR 394215</v>
          </cell>
        </row>
        <row r="3119">
          <cell r="C3119">
            <v>208407.02</v>
          </cell>
          <cell r="D3119" t="str">
            <v>R.OR 407.02</v>
          </cell>
        </row>
        <row r="3120">
          <cell r="C3120">
            <v>309407.01</v>
          </cell>
          <cell r="D3120" t="str">
            <v>CAGE.394215</v>
          </cell>
        </row>
        <row r="3121">
          <cell r="C3121">
            <v>309407.02</v>
          </cell>
          <cell r="D3121" t="str">
            <v>R.MCG 407.02</v>
          </cell>
        </row>
        <row r="3122">
          <cell r="C3122">
            <v>511170</v>
          </cell>
          <cell r="D3122" t="str">
            <v>BALL 3/16" (IS:2898-1976)</v>
          </cell>
        </row>
        <row r="3123">
          <cell r="C3123">
            <v>511470</v>
          </cell>
          <cell r="D3123" t="str">
            <v>RO 3.5X7.8</v>
          </cell>
        </row>
        <row r="3124">
          <cell r="C3124">
            <v>717407.01</v>
          </cell>
          <cell r="D3124" t="str">
            <v>25.5 MM INTERNAL CARCLIP</v>
          </cell>
        </row>
        <row r="3125">
          <cell r="C3125">
            <v>717407.02</v>
          </cell>
          <cell r="D3125" t="str">
            <v>27.8MM OD WASHER</v>
          </cell>
        </row>
        <row r="3126">
          <cell r="C3126">
            <v>717407.03</v>
          </cell>
          <cell r="D3126" t="str">
            <v>13X24X5.5 CUP WASHER</v>
          </cell>
        </row>
        <row r="3127">
          <cell r="C3127">
            <v>717407.04</v>
          </cell>
          <cell r="D3127" t="str">
            <v>18X28X4.4 WAHER ALUMINIUM</v>
          </cell>
        </row>
        <row r="3128">
          <cell r="C3128">
            <v>717407.05</v>
          </cell>
          <cell r="D3128" t="str">
            <v>13X24X6.85 WASHER  ALUM</v>
          </cell>
        </row>
        <row r="3129">
          <cell r="C3129">
            <v>717407.06</v>
          </cell>
          <cell r="D3129" t="str">
            <v>6.6X24X9.3 WASHER  ALUM</v>
          </cell>
        </row>
        <row r="3130">
          <cell r="C3130">
            <v>717407.07</v>
          </cell>
          <cell r="D3130" t="str">
            <v>35 MM EXTERNAL SARCLIP</v>
          </cell>
        </row>
        <row r="3131">
          <cell r="C3131">
            <v>913016</v>
          </cell>
          <cell r="D3131" t="str">
            <v>Box 250x40x50</v>
          </cell>
        </row>
        <row r="3132">
          <cell r="C3132">
            <v>208407.01</v>
          </cell>
          <cell r="D3132" t="str">
            <v>OR 394215</v>
          </cell>
        </row>
        <row r="3133">
          <cell r="C3133">
            <v>309407.01</v>
          </cell>
          <cell r="D3133" t="str">
            <v>CAGE.394215</v>
          </cell>
        </row>
        <row r="3134">
          <cell r="C3134">
            <v>511170</v>
          </cell>
          <cell r="D3134" t="str">
            <v>BALL 3/16" (IS:2898-1976)</v>
          </cell>
        </row>
        <row r="3135">
          <cell r="C3135">
            <v>913016</v>
          </cell>
          <cell r="D3135" t="str">
            <v>Box 250x40x50</v>
          </cell>
        </row>
        <row r="3136">
          <cell r="C3136">
            <v>208407.02</v>
          </cell>
          <cell r="D3136" t="str">
            <v>R.OR 407.02</v>
          </cell>
        </row>
        <row r="3137">
          <cell r="C3137">
            <v>309407.02</v>
          </cell>
          <cell r="D3137" t="str">
            <v>R.MCG 407.02</v>
          </cell>
        </row>
        <row r="3138">
          <cell r="C3138">
            <v>511470</v>
          </cell>
          <cell r="D3138" t="str">
            <v>RO 3.5X7.8</v>
          </cell>
        </row>
        <row r="3139">
          <cell r="C3139">
            <v>913016</v>
          </cell>
          <cell r="D3139" t="str">
            <v>Box 250x40x50</v>
          </cell>
        </row>
        <row r="3140">
          <cell r="C3140">
            <v>300407.06</v>
          </cell>
          <cell r="D3140" t="str">
            <v>MCG.MC 42.422X51.948X25.4</v>
          </cell>
        </row>
        <row r="3141">
          <cell r="C3141">
            <v>500407.06</v>
          </cell>
          <cell r="D3141" t="str">
            <v>RO 4.7625X22.225 BP</v>
          </cell>
        </row>
        <row r="3142">
          <cell r="C3142">
            <v>104408</v>
          </cell>
          <cell r="D3142" t="str">
            <v>R.STADE 408             F</v>
          </cell>
        </row>
        <row r="3143">
          <cell r="C3143">
            <v>208408</v>
          </cell>
          <cell r="D3143" t="str">
            <v>R.OR 408                F</v>
          </cell>
        </row>
        <row r="3144">
          <cell r="C3144">
            <v>511408</v>
          </cell>
          <cell r="D3144" t="str">
            <v>RO 4X8 BPM</v>
          </cell>
        </row>
        <row r="3145">
          <cell r="C3145">
            <v>717408</v>
          </cell>
          <cell r="D3145" t="str">
            <v>R.WASHER 408</v>
          </cell>
        </row>
        <row r="3146">
          <cell r="C3146">
            <v>717408.01</v>
          </cell>
          <cell r="D3146" t="str">
            <v>R.SHEET WASHER 408</v>
          </cell>
        </row>
        <row r="3147">
          <cell r="C3147">
            <v>913001</v>
          </cell>
          <cell r="D3147" t="str">
            <v>Box 48x30x40</v>
          </cell>
        </row>
        <row r="3148">
          <cell r="C3148">
            <v>104409</v>
          </cell>
          <cell r="D3148" t="str">
            <v>R.STADE 409             F</v>
          </cell>
        </row>
        <row r="3149">
          <cell r="C3149">
            <v>208409</v>
          </cell>
          <cell r="D3149" t="str">
            <v>R.OR 409                F</v>
          </cell>
        </row>
        <row r="3150">
          <cell r="C3150">
            <v>511408</v>
          </cell>
          <cell r="D3150" t="str">
            <v>RO 4X8 BPM</v>
          </cell>
        </row>
        <row r="3151">
          <cell r="C3151">
            <v>717409</v>
          </cell>
          <cell r="D3151" t="str">
            <v>R.WASHER 409</v>
          </cell>
        </row>
        <row r="3152">
          <cell r="C3152">
            <v>717409.01</v>
          </cell>
          <cell r="D3152" t="str">
            <v>R.SHEET WASHER 409</v>
          </cell>
        </row>
        <row r="3153">
          <cell r="C3153">
            <v>913001</v>
          </cell>
          <cell r="D3153" t="str">
            <v>Box 48x30x40</v>
          </cell>
        </row>
        <row r="3154">
          <cell r="C3154">
            <v>104410</v>
          </cell>
          <cell r="D3154" t="str">
            <v>R.STADE 410             F</v>
          </cell>
        </row>
        <row r="3155">
          <cell r="C3155">
            <v>208410</v>
          </cell>
          <cell r="D3155" t="str">
            <v>R.OR 410                F</v>
          </cell>
        </row>
        <row r="3156">
          <cell r="C3156">
            <v>511410</v>
          </cell>
          <cell r="D3156" t="str">
            <v>RO 5X5 BPM</v>
          </cell>
        </row>
        <row r="3157">
          <cell r="C3157">
            <v>717410</v>
          </cell>
          <cell r="D3157" t="str">
            <v>R.WASHER 410</v>
          </cell>
        </row>
        <row r="3158">
          <cell r="C3158">
            <v>717410.01</v>
          </cell>
          <cell r="D3158" t="str">
            <v>R.SHEET WASHER 410</v>
          </cell>
        </row>
        <row r="3159">
          <cell r="C3159">
            <v>717410.02</v>
          </cell>
          <cell r="D3159" t="str">
            <v>R.SHEET RING WASHER 410</v>
          </cell>
        </row>
        <row r="3160">
          <cell r="C3160">
            <v>913006</v>
          </cell>
          <cell r="D3160" t="str">
            <v>Box 50x35x50</v>
          </cell>
        </row>
        <row r="3161">
          <cell r="C3161">
            <v>104411</v>
          </cell>
          <cell r="D3161" t="str">
            <v>R.STADE 411             F</v>
          </cell>
        </row>
        <row r="3162">
          <cell r="C3162">
            <v>208411</v>
          </cell>
          <cell r="D3162" t="str">
            <v>R.OR 411                F</v>
          </cell>
        </row>
        <row r="3163">
          <cell r="C3163">
            <v>511408</v>
          </cell>
          <cell r="D3163" t="str">
            <v>RO 4X8 BPM</v>
          </cell>
        </row>
        <row r="3164">
          <cell r="C3164">
            <v>717411</v>
          </cell>
          <cell r="D3164" t="str">
            <v>R.WASHER 411</v>
          </cell>
        </row>
        <row r="3165">
          <cell r="C3165">
            <v>717411.01</v>
          </cell>
          <cell r="D3165" t="str">
            <v>R.SHEET WASHER 411</v>
          </cell>
        </row>
        <row r="3166">
          <cell r="C3166">
            <v>208412</v>
          </cell>
          <cell r="D3166" t="str">
            <v>R.OR 412                F</v>
          </cell>
        </row>
        <row r="3167">
          <cell r="C3167">
            <v>309412</v>
          </cell>
          <cell r="D3167" t="str">
            <v>R.MCG 412(SMALL)</v>
          </cell>
        </row>
        <row r="3168">
          <cell r="C3168">
            <v>309412.01</v>
          </cell>
          <cell r="D3168" t="str">
            <v>R.MCG 412(BIG)</v>
          </cell>
        </row>
        <row r="3169">
          <cell r="C3169">
            <v>500391.22</v>
          </cell>
          <cell r="D3169" t="str">
            <v>RO 2X6.8 BP</v>
          </cell>
        </row>
        <row r="3170">
          <cell r="C3170">
            <v>511001</v>
          </cell>
          <cell r="D3170" t="str">
            <v>RO 2X9.8</v>
          </cell>
        </row>
        <row r="3171">
          <cell r="C3171">
            <v>717412</v>
          </cell>
          <cell r="D3171" t="str">
            <v>R.SNAP RING 412</v>
          </cell>
        </row>
        <row r="3172">
          <cell r="C3172">
            <v>309413</v>
          </cell>
          <cell r="D3172" t="str">
            <v>AXK.BRS R 413</v>
          </cell>
        </row>
        <row r="3173">
          <cell r="C3173">
            <v>511475</v>
          </cell>
          <cell r="D3173" t="str">
            <v>RO 11X11 BPM</v>
          </cell>
        </row>
        <row r="3174">
          <cell r="C3174">
            <v>104414</v>
          </cell>
          <cell r="D3174" t="str">
            <v>MR.IR 31                F</v>
          </cell>
        </row>
        <row r="3175">
          <cell r="C3175">
            <v>208414</v>
          </cell>
          <cell r="D3175" t="str">
            <v>MR.OR 31                F</v>
          </cell>
        </row>
        <row r="3176">
          <cell r="C3176">
            <v>309414</v>
          </cell>
          <cell r="D3176" t="str">
            <v>MR.MCG 31</v>
          </cell>
        </row>
        <row r="3177">
          <cell r="C3177">
            <v>511414</v>
          </cell>
          <cell r="D3177" t="str">
            <v>RO 4.762X25.8</v>
          </cell>
        </row>
        <row r="3178">
          <cell r="C3178">
            <v>208414</v>
          </cell>
          <cell r="D3178" t="str">
            <v>MR.OR 31                F</v>
          </cell>
        </row>
        <row r="3179">
          <cell r="C3179">
            <v>309414</v>
          </cell>
          <cell r="D3179" t="str">
            <v>MR.MCG 31</v>
          </cell>
        </row>
        <row r="3180">
          <cell r="C3180">
            <v>511414</v>
          </cell>
          <cell r="D3180" t="str">
            <v>RO 4.762X25.8</v>
          </cell>
        </row>
        <row r="3181">
          <cell r="C3181">
            <v>104414</v>
          </cell>
          <cell r="D3181" t="str">
            <v>MR.IR 31                F</v>
          </cell>
        </row>
        <row r="3182">
          <cell r="C3182">
            <v>1422415</v>
          </cell>
          <cell r="D3182" t="str">
            <v>AS 2542 MATERIAL</v>
          </cell>
        </row>
        <row r="3183">
          <cell r="C3183">
            <v>1421415.01</v>
          </cell>
          <cell r="D3183" t="str">
            <v>AS 2643 material</v>
          </cell>
        </row>
        <row r="3184">
          <cell r="C3184">
            <v>1422415</v>
          </cell>
          <cell r="D3184" t="str">
            <v>AS 2542 MATERIAL</v>
          </cell>
        </row>
        <row r="3185">
          <cell r="C3185">
            <v>1421415.01</v>
          </cell>
          <cell r="D3185" t="str">
            <v>AS 2643 material</v>
          </cell>
        </row>
        <row r="3186">
          <cell r="C3186">
            <v>1422416</v>
          </cell>
          <cell r="D3186" t="str">
            <v>AS 3552 MATERIAL</v>
          </cell>
        </row>
        <row r="3187">
          <cell r="C3187">
            <v>208417</v>
          </cell>
          <cell r="D3187" t="str">
            <v>JC.OR 8008</v>
          </cell>
        </row>
        <row r="3188">
          <cell r="C3188">
            <v>511448</v>
          </cell>
          <cell r="D3188" t="str">
            <v>RO 11X15 BPM</v>
          </cell>
        </row>
        <row r="3189">
          <cell r="C3189">
            <v>717417</v>
          </cell>
          <cell r="D3189" t="str">
            <v>NYLON INSERT(JC 8046)25%</v>
          </cell>
        </row>
        <row r="3190">
          <cell r="C3190">
            <v>208417</v>
          </cell>
          <cell r="D3190" t="str">
            <v>JC.OR 8008</v>
          </cell>
        </row>
        <row r="3191">
          <cell r="C3191">
            <v>511448</v>
          </cell>
          <cell r="D3191" t="str">
            <v>RO 11X15 BPM</v>
          </cell>
        </row>
        <row r="3192">
          <cell r="C3192">
            <v>717417</v>
          </cell>
          <cell r="D3192" t="str">
            <v>NYLON INSERT(JC 8046)25%</v>
          </cell>
        </row>
        <row r="3193">
          <cell r="C3193">
            <v>309418</v>
          </cell>
          <cell r="D3193" t="str">
            <v>NCG 08X21X2</v>
          </cell>
        </row>
        <row r="3194">
          <cell r="C3194">
            <v>511391</v>
          </cell>
          <cell r="D3194" t="str">
            <v>RO 2X4.8 SP</v>
          </cell>
        </row>
        <row r="3195">
          <cell r="C3195">
            <v>511410</v>
          </cell>
          <cell r="D3195" t="str">
            <v>RO 5X5 BPM</v>
          </cell>
        </row>
        <row r="3196">
          <cell r="C3196">
            <v>8418</v>
          </cell>
        </row>
        <row r="3197">
          <cell r="C3197">
            <v>8418.01</v>
          </cell>
        </row>
        <row r="3198">
          <cell r="C3198">
            <v>9418</v>
          </cell>
        </row>
        <row r="3199">
          <cell r="C3199">
            <v>104419</v>
          </cell>
          <cell r="D3199" t="str">
            <v>IR.567833               F</v>
          </cell>
        </row>
        <row r="3200">
          <cell r="C3200">
            <v>208419</v>
          </cell>
          <cell r="D3200" t="str">
            <v>OR.567833               F</v>
          </cell>
        </row>
        <row r="3201">
          <cell r="C3201">
            <v>208419.01</v>
          </cell>
          <cell r="D3201" t="str">
            <v>WASHER.567833           F</v>
          </cell>
        </row>
        <row r="3202">
          <cell r="C3202">
            <v>511612.06</v>
          </cell>
          <cell r="D3202" t="str">
            <v>RO 10X11</v>
          </cell>
        </row>
        <row r="3203">
          <cell r="C3203">
            <v>208419</v>
          </cell>
          <cell r="D3203" t="str">
            <v>OR.567833               F</v>
          </cell>
        </row>
        <row r="3204">
          <cell r="C3204">
            <v>208419.01</v>
          </cell>
          <cell r="D3204" t="str">
            <v>WASHER.567833           F</v>
          </cell>
        </row>
        <row r="3205">
          <cell r="C3205">
            <v>511612.06</v>
          </cell>
          <cell r="D3205" t="str">
            <v>RO 10X11</v>
          </cell>
        </row>
        <row r="3206">
          <cell r="C3206">
            <v>104419</v>
          </cell>
          <cell r="D3206" t="str">
            <v>IR.567833               F</v>
          </cell>
        </row>
        <row r="3207">
          <cell r="C3207">
            <v>104419</v>
          </cell>
          <cell r="D3207" t="str">
            <v>IR.567833               F</v>
          </cell>
        </row>
        <row r="3208">
          <cell r="C3208">
            <v>208419</v>
          </cell>
          <cell r="D3208" t="str">
            <v>OR.567833               F</v>
          </cell>
        </row>
        <row r="3209">
          <cell r="C3209">
            <v>511612.06</v>
          </cell>
          <cell r="D3209" t="str">
            <v>RO 10X11</v>
          </cell>
        </row>
        <row r="3210">
          <cell r="C3210">
            <v>208419.01</v>
          </cell>
          <cell r="D3210" t="str">
            <v>WASHER.567833           F</v>
          </cell>
        </row>
        <row r="3211">
          <cell r="C3211">
            <v>208420</v>
          </cell>
          <cell r="D3211" t="str">
            <v>RSTO.OR 5               F</v>
          </cell>
        </row>
        <row r="3212">
          <cell r="C3212">
            <v>309420</v>
          </cell>
          <cell r="D3212" t="str">
            <v>RSTO.NCG 5</v>
          </cell>
        </row>
        <row r="3213">
          <cell r="C3213">
            <v>511699</v>
          </cell>
          <cell r="D3213" t="str">
            <v>RO 1.5X5.8</v>
          </cell>
        </row>
        <row r="3214">
          <cell r="C3214">
            <v>104421</v>
          </cell>
          <cell r="D3214" t="str">
            <v>STO.IR 6                F</v>
          </cell>
        </row>
        <row r="3215">
          <cell r="C3215">
            <v>208421</v>
          </cell>
          <cell r="D3215" t="str">
            <v>STO.OR 6                F</v>
          </cell>
        </row>
        <row r="3216">
          <cell r="C3216">
            <v>309804.01</v>
          </cell>
          <cell r="D3216" t="str">
            <v>NKI.NCG 7/12(NK 10/12 TN)</v>
          </cell>
        </row>
        <row r="3217">
          <cell r="C3217">
            <v>511427</v>
          </cell>
          <cell r="D3217" t="str">
            <v>RO 1.5X7.8 BP</v>
          </cell>
        </row>
        <row r="3218">
          <cell r="C3218">
            <v>208421</v>
          </cell>
          <cell r="D3218" t="str">
            <v>STO.OR 6                F</v>
          </cell>
        </row>
        <row r="3219">
          <cell r="C3219">
            <v>309804.01</v>
          </cell>
          <cell r="D3219" t="str">
            <v>NKI.NCG 7/12(NK 10/12 TN)</v>
          </cell>
        </row>
        <row r="3220">
          <cell r="C3220">
            <v>511427</v>
          </cell>
          <cell r="D3220" t="str">
            <v>RO 1.5X7.8 BP</v>
          </cell>
        </row>
        <row r="3221">
          <cell r="C3221">
            <v>208422</v>
          </cell>
          <cell r="D3221" t="str">
            <v>RSTO.OR 10              F</v>
          </cell>
        </row>
        <row r="3222">
          <cell r="C3222">
            <v>309422</v>
          </cell>
          <cell r="D3222" t="str">
            <v>RSTO.MCG 10</v>
          </cell>
        </row>
        <row r="3223">
          <cell r="C3223">
            <v>511423</v>
          </cell>
          <cell r="D3223" t="str">
            <v>RO 3X8.8</v>
          </cell>
        </row>
        <row r="3224">
          <cell r="C3224">
            <v>104423</v>
          </cell>
          <cell r="D3224" t="str">
            <v>R.IR 423 (STO 12)       F</v>
          </cell>
        </row>
        <row r="3225">
          <cell r="C3225">
            <v>208423</v>
          </cell>
          <cell r="D3225" t="str">
            <v>R.OR 423 (STO 12)       F</v>
          </cell>
        </row>
        <row r="3226">
          <cell r="C3226">
            <v>309423</v>
          </cell>
          <cell r="D3226" t="str">
            <v>R.MCG 423 (STO 12)</v>
          </cell>
        </row>
        <row r="3227">
          <cell r="C3227">
            <v>511423</v>
          </cell>
          <cell r="D3227" t="str">
            <v>RO 3X8.8</v>
          </cell>
        </row>
        <row r="3228">
          <cell r="C3228">
            <v>309424</v>
          </cell>
          <cell r="D3228" t="str">
            <v>CAGE.CAGE 424(38x52x44)</v>
          </cell>
        </row>
        <row r="3229">
          <cell r="C3229">
            <v>104425</v>
          </cell>
          <cell r="D3229" t="str">
            <v>IR.JC 8017              F</v>
          </cell>
        </row>
        <row r="3230">
          <cell r="C3230">
            <v>208425</v>
          </cell>
          <cell r="D3230" t="str">
            <v>OR.JC 8017              F</v>
          </cell>
        </row>
        <row r="3231">
          <cell r="C3231">
            <v>511425</v>
          </cell>
          <cell r="D3231" t="str">
            <v>RO 13.5X15 BPM</v>
          </cell>
        </row>
        <row r="3232">
          <cell r="C3232">
            <v>717425</v>
          </cell>
          <cell r="D3232" t="str">
            <v>SNAP RING JC 8017</v>
          </cell>
        </row>
        <row r="3233">
          <cell r="C3233">
            <v>104425.01</v>
          </cell>
          <cell r="D3233" t="str">
            <v>IR.JC 8018              F</v>
          </cell>
        </row>
        <row r="3234">
          <cell r="C3234">
            <v>208425.01</v>
          </cell>
          <cell r="D3234" t="str">
            <v>OR.JC 8018              F</v>
          </cell>
        </row>
        <row r="3235">
          <cell r="C3235">
            <v>511425.01</v>
          </cell>
          <cell r="D3235" t="str">
            <v>RO 10X14</v>
          </cell>
        </row>
        <row r="3236">
          <cell r="C3236">
            <v>717425.01</v>
          </cell>
          <cell r="D3236" t="str">
            <v>SNAP RING JC 8018</v>
          </cell>
        </row>
        <row r="3237">
          <cell r="C3237">
            <v>104425.02</v>
          </cell>
          <cell r="D3237" t="str">
            <v>IR.JC 8019              F</v>
          </cell>
        </row>
        <row r="3238">
          <cell r="C3238">
            <v>208425.02</v>
          </cell>
          <cell r="D3238" t="str">
            <v>OR.JC 8019              F</v>
          </cell>
        </row>
        <row r="3239">
          <cell r="C3239">
            <v>511612.06</v>
          </cell>
          <cell r="D3239" t="str">
            <v>RO 10X11</v>
          </cell>
        </row>
        <row r="3240">
          <cell r="C3240">
            <v>717425.02</v>
          </cell>
          <cell r="D3240" t="str">
            <v>SNAP RING JC 8019</v>
          </cell>
        </row>
        <row r="3241">
          <cell r="C3241">
            <v>104425.03</v>
          </cell>
          <cell r="D3241" t="str">
            <v>IR.JC 8011              F</v>
          </cell>
        </row>
        <row r="3242">
          <cell r="C3242">
            <v>208425.03</v>
          </cell>
          <cell r="D3242" t="str">
            <v>OR.JC 8011              F</v>
          </cell>
        </row>
        <row r="3243">
          <cell r="C3243">
            <v>511997</v>
          </cell>
          <cell r="D3243" t="str">
            <v>RO 9X11</v>
          </cell>
        </row>
        <row r="3244">
          <cell r="C3244">
            <v>717425.03</v>
          </cell>
          <cell r="D3244" t="str">
            <v>SNAP RING JC 8011</v>
          </cell>
        </row>
        <row r="3245">
          <cell r="C3245">
            <v>208426</v>
          </cell>
          <cell r="D3245" t="str">
            <v>R.OR 426(43.5X95X11.025)</v>
          </cell>
        </row>
        <row r="3246">
          <cell r="C3246">
            <v>208426.01</v>
          </cell>
          <cell r="D3246" t="str">
            <v>R.OR 426.01 (50X95X3.75)</v>
          </cell>
        </row>
        <row r="3247">
          <cell r="C3247">
            <v>208426.02</v>
          </cell>
          <cell r="D3247" t="str">
            <v>R.OR 426.02 (52X93X3.75)</v>
          </cell>
        </row>
        <row r="3248">
          <cell r="C3248">
            <v>309426.01</v>
          </cell>
          <cell r="D3248" t="str">
            <v>ASSEMBLED CAGE 426</v>
          </cell>
        </row>
        <row r="3249">
          <cell r="C3249">
            <v>309426</v>
          </cell>
          <cell r="D3249" t="str">
            <v>R.NCG 426</v>
          </cell>
        </row>
        <row r="3250">
          <cell r="C3250">
            <v>511439</v>
          </cell>
          <cell r="D3250" t="str">
            <v>RO 8X8</v>
          </cell>
        </row>
        <row r="3251">
          <cell r="C3251">
            <v>309427</v>
          </cell>
          <cell r="D3251" t="str">
            <v>CAGE.CAGE 81110</v>
          </cell>
        </row>
        <row r="3252">
          <cell r="C3252">
            <v>511427</v>
          </cell>
          <cell r="D3252" t="str">
            <v>RO 1.5X7.8 BP</v>
          </cell>
        </row>
        <row r="3253">
          <cell r="C3253">
            <v>913010</v>
          </cell>
          <cell r="D3253" t="str">
            <v>Box 150x40x50</v>
          </cell>
        </row>
        <row r="3254">
          <cell r="C3254">
            <v>104428</v>
          </cell>
          <cell r="D3254" t="str">
            <v>R.IR 428 (JC 8002)</v>
          </cell>
        </row>
        <row r="3255">
          <cell r="C3255">
            <v>208428</v>
          </cell>
          <cell r="D3255" t="str">
            <v>R.OR 428 (JC 8002)</v>
          </cell>
        </row>
        <row r="3256">
          <cell r="C3256">
            <v>511428</v>
          </cell>
          <cell r="D3256" t="str">
            <v>RO 8X12</v>
          </cell>
        </row>
        <row r="3257">
          <cell r="C3257">
            <v>717428</v>
          </cell>
          <cell r="D3257" t="str">
            <v>R.CARCLIP 428(JC 8002)</v>
          </cell>
        </row>
        <row r="3258">
          <cell r="C3258">
            <v>309429</v>
          </cell>
          <cell r="D3258" t="str">
            <v>MCG.MCG 344238</v>
          </cell>
        </row>
        <row r="3259">
          <cell r="C3259">
            <v>511416</v>
          </cell>
          <cell r="D3259" t="str">
            <v>RO 4X31.8 BR</v>
          </cell>
        </row>
        <row r="3260">
          <cell r="C3260">
            <v>309429.01</v>
          </cell>
          <cell r="D3260" t="str">
            <v>MCG.MCG 395520.5</v>
          </cell>
        </row>
        <row r="3261">
          <cell r="C3261">
            <v>511171</v>
          </cell>
          <cell r="D3261" t="str">
            <v>RO 8X16</v>
          </cell>
        </row>
        <row r="3262">
          <cell r="C3262">
            <v>104430</v>
          </cell>
          <cell r="D3262" t="str">
            <v>R.IR 430</v>
          </cell>
        </row>
        <row r="3263">
          <cell r="C3263">
            <v>208430</v>
          </cell>
          <cell r="D3263" t="str">
            <v>R.OR 430</v>
          </cell>
        </row>
        <row r="3264">
          <cell r="C3264">
            <v>511430</v>
          </cell>
          <cell r="D3264" t="str">
            <v>RO 5X6</v>
          </cell>
        </row>
        <row r="3265">
          <cell r="C3265">
            <v>5221208.0199999996</v>
          </cell>
          <cell r="D3265" t="str">
            <v>O Centoplex BE41 103BH</v>
          </cell>
        </row>
        <row r="3266">
          <cell r="C3266">
            <v>717430</v>
          </cell>
          <cell r="D3266" t="str">
            <v>WASHER R 430</v>
          </cell>
        </row>
        <row r="3267">
          <cell r="C3267">
            <v>913016</v>
          </cell>
          <cell r="D3267" t="str">
            <v>Box 250x40x50</v>
          </cell>
        </row>
        <row r="3268">
          <cell r="C3268">
            <v>104430</v>
          </cell>
          <cell r="D3268" t="str">
            <v>R.IR 430</v>
          </cell>
        </row>
        <row r="3269">
          <cell r="C3269">
            <v>208430</v>
          </cell>
          <cell r="D3269" t="str">
            <v>R.OR 430</v>
          </cell>
        </row>
        <row r="3270">
          <cell r="C3270">
            <v>511430</v>
          </cell>
          <cell r="D3270" t="str">
            <v>RO 5X6</v>
          </cell>
        </row>
        <row r="3271">
          <cell r="C3271">
            <v>5221208</v>
          </cell>
          <cell r="D3271" t="str">
            <v>O G NBU 12/300 KP</v>
          </cell>
        </row>
        <row r="3272">
          <cell r="C3272">
            <v>717430</v>
          </cell>
          <cell r="D3272" t="str">
            <v>WASHER R 430</v>
          </cell>
        </row>
        <row r="3273">
          <cell r="C3273">
            <v>104430</v>
          </cell>
          <cell r="D3273" t="str">
            <v>R.IR 430</v>
          </cell>
        </row>
        <row r="3274">
          <cell r="C3274">
            <v>208430</v>
          </cell>
          <cell r="D3274" t="str">
            <v>R.OR 430</v>
          </cell>
        </row>
        <row r="3275">
          <cell r="C3275">
            <v>511430</v>
          </cell>
          <cell r="D3275" t="str">
            <v>RO 5X6</v>
          </cell>
        </row>
        <row r="3276">
          <cell r="C3276">
            <v>5221208.01</v>
          </cell>
        </row>
        <row r="3277">
          <cell r="C3277">
            <v>717430</v>
          </cell>
          <cell r="D3277" t="str">
            <v>WASHER R 430</v>
          </cell>
        </row>
        <row r="3278">
          <cell r="C3278">
            <v>309431</v>
          </cell>
          <cell r="D3278" t="str">
            <v>CAGE.CAGE 431(28x38x16.5)</v>
          </cell>
        </row>
        <row r="3279">
          <cell r="C3279">
            <v>511431</v>
          </cell>
          <cell r="D3279" t="str">
            <v>RO 5X13.8(CAGE 431)</v>
          </cell>
        </row>
        <row r="3280">
          <cell r="C3280">
            <v>208432</v>
          </cell>
          <cell r="D3280" t="str">
            <v>R.OR 432(AJ 15836)</v>
          </cell>
        </row>
        <row r="3281">
          <cell r="C3281">
            <v>309432</v>
          </cell>
          <cell r="D3281" t="str">
            <v>CAGE.R 432(AJ 15836)</v>
          </cell>
        </row>
        <row r="3282">
          <cell r="C3282">
            <v>511432</v>
          </cell>
          <cell r="D3282" t="str">
            <v>RO 4X26.8(BP)</v>
          </cell>
        </row>
        <row r="3283">
          <cell r="C3283">
            <v>913006</v>
          </cell>
          <cell r="D3283" t="str">
            <v>Box 50x35x50</v>
          </cell>
        </row>
        <row r="3284">
          <cell r="C3284">
            <v>104433.01</v>
          </cell>
          <cell r="D3284" t="str">
            <v>R.IR 433(SHAFT 6902 SPL)</v>
          </cell>
        </row>
        <row r="3285">
          <cell r="C3285">
            <v>208433.01</v>
          </cell>
          <cell r="D3285" t="str">
            <v>R.OR 433(RNA 6902 SPL)</v>
          </cell>
        </row>
        <row r="3286">
          <cell r="C3286">
            <v>309433.01</v>
          </cell>
          <cell r="D3286" t="str">
            <v>R.MCG 433(RNA 6902 SPL)</v>
          </cell>
        </row>
        <row r="3287">
          <cell r="C3287">
            <v>511433.01</v>
          </cell>
          <cell r="D3287" t="str">
            <v>RO 3.175X17.8</v>
          </cell>
        </row>
        <row r="3288">
          <cell r="C3288">
            <v>717433.01</v>
          </cell>
          <cell r="D3288" t="str">
            <v>R.SEAL 433(RNA 6902 SPL)</v>
          </cell>
        </row>
        <row r="3289">
          <cell r="C3289">
            <v>913010</v>
          </cell>
          <cell r="D3289" t="str">
            <v>Box 150x40x50</v>
          </cell>
        </row>
        <row r="3290">
          <cell r="C3290">
            <v>208433.01</v>
          </cell>
          <cell r="D3290" t="str">
            <v>R.OR 433(RNA 6902 SPL)</v>
          </cell>
        </row>
        <row r="3291">
          <cell r="C3291">
            <v>309433.01</v>
          </cell>
          <cell r="D3291" t="str">
            <v>R.MCG 433(RNA 6902 SPL)</v>
          </cell>
        </row>
        <row r="3292">
          <cell r="C3292">
            <v>511433.01</v>
          </cell>
          <cell r="D3292" t="str">
            <v>RO 3.175X17.8</v>
          </cell>
        </row>
        <row r="3293">
          <cell r="C3293">
            <v>717433.01</v>
          </cell>
          <cell r="D3293" t="str">
            <v>R.SEAL 433(RNA 6902 SPL)</v>
          </cell>
        </row>
        <row r="3294">
          <cell r="C3294">
            <v>913010</v>
          </cell>
          <cell r="D3294" t="str">
            <v>Box 150x40x50</v>
          </cell>
        </row>
        <row r="3295">
          <cell r="C3295">
            <v>104433.01</v>
          </cell>
          <cell r="D3295" t="str">
            <v>R.IR 433(SHAFT 6902 SPL)</v>
          </cell>
        </row>
        <row r="3296">
          <cell r="C3296">
            <v>913010</v>
          </cell>
          <cell r="D3296" t="str">
            <v>Box 150x40x50</v>
          </cell>
        </row>
        <row r="3297">
          <cell r="C3297">
            <v>104433.01</v>
          </cell>
          <cell r="D3297" t="str">
            <v>R.IR 433(SHAFT 6902 SPL)</v>
          </cell>
        </row>
        <row r="3298">
          <cell r="C3298">
            <v>208433.01</v>
          </cell>
          <cell r="D3298" t="str">
            <v>R.OR 433(RNA 6902 SPL)</v>
          </cell>
        </row>
        <row r="3299">
          <cell r="C3299">
            <v>309433.01</v>
          </cell>
          <cell r="D3299" t="str">
            <v>R.MCG 433(RNA 6902 SPL)</v>
          </cell>
        </row>
        <row r="3300">
          <cell r="C3300">
            <v>511433.01</v>
          </cell>
          <cell r="D3300" t="str">
            <v>RO 3.175X17.8</v>
          </cell>
        </row>
        <row r="3301">
          <cell r="C3301">
            <v>717433.01</v>
          </cell>
          <cell r="D3301" t="str">
            <v>R.SEAL 433(RNA 6902 SPL)</v>
          </cell>
        </row>
        <row r="3302">
          <cell r="C3302">
            <v>208433.01</v>
          </cell>
          <cell r="D3302" t="str">
            <v>R.OR 433(RNA 6902 SPL)</v>
          </cell>
        </row>
        <row r="3303">
          <cell r="C3303">
            <v>309433.01</v>
          </cell>
          <cell r="D3303" t="str">
            <v>R.MCG 433(RNA 6902 SPL)</v>
          </cell>
        </row>
        <row r="3304">
          <cell r="C3304">
            <v>511433.01</v>
          </cell>
          <cell r="D3304" t="str">
            <v>RO 3.175X17.8</v>
          </cell>
        </row>
        <row r="3305">
          <cell r="C3305">
            <v>717433.01</v>
          </cell>
          <cell r="D3305" t="str">
            <v>R.SEAL 433(RNA 6902 SPL)</v>
          </cell>
        </row>
        <row r="3306">
          <cell r="C3306">
            <v>913010</v>
          </cell>
          <cell r="D3306" t="str">
            <v>Box 150x40x50</v>
          </cell>
        </row>
        <row r="3307">
          <cell r="C3307">
            <v>104433.01</v>
          </cell>
          <cell r="D3307" t="str">
            <v>R.IR 433(SHAFT 6902 SPL)</v>
          </cell>
        </row>
        <row r="3308">
          <cell r="C3308">
            <v>208434</v>
          </cell>
          <cell r="D3308" t="str">
            <v>R.OR 434(NAST 17)       F</v>
          </cell>
        </row>
        <row r="3309">
          <cell r="C3309">
            <v>309434</v>
          </cell>
          <cell r="D3309" t="str">
            <v>R.MCG 434(NAST 17)</v>
          </cell>
        </row>
        <row r="3310">
          <cell r="C3310">
            <v>511434</v>
          </cell>
          <cell r="D3310" t="str">
            <v>RO 3.5X11.8</v>
          </cell>
        </row>
        <row r="3311">
          <cell r="C3311">
            <v>208435</v>
          </cell>
          <cell r="D3311" t="str">
            <v>R.OR 435(RNA 69/32 SPL)</v>
          </cell>
        </row>
        <row r="3312">
          <cell r="C3312">
            <v>309343.01</v>
          </cell>
          <cell r="D3312" t="str">
            <v>NA/RNA.MCG 69/32</v>
          </cell>
        </row>
        <row r="3313">
          <cell r="C3313">
            <v>511304.01</v>
          </cell>
          <cell r="D3313" t="str">
            <v>RO 4X12.8</v>
          </cell>
        </row>
        <row r="3314">
          <cell r="C3314">
            <v>913015</v>
          </cell>
          <cell r="D3314" t="str">
            <v>Box 75X40X75</v>
          </cell>
        </row>
        <row r="3315">
          <cell r="C3315">
            <v>208436</v>
          </cell>
          <cell r="D3315" t="str">
            <v>R.OR 436(NB 95076)</v>
          </cell>
        </row>
        <row r="3316">
          <cell r="C3316">
            <v>309436</v>
          </cell>
          <cell r="D3316" t="str">
            <v>CAGE.R 436(NB 95076)</v>
          </cell>
        </row>
        <row r="3317">
          <cell r="C3317">
            <v>511436</v>
          </cell>
          <cell r="D3317" t="str">
            <v>RO 4X15.8 (CRA)</v>
          </cell>
        </row>
        <row r="3318">
          <cell r="C3318">
            <v>104437</v>
          </cell>
          <cell r="D3318" t="str">
            <v>R.IR 437(STO 25 ZZ)</v>
          </cell>
        </row>
        <row r="3319">
          <cell r="C3319">
            <v>208437</v>
          </cell>
          <cell r="D3319" t="str">
            <v>R.OR 437(STO 25 ZZ)</v>
          </cell>
        </row>
        <row r="3320">
          <cell r="C3320">
            <v>309437</v>
          </cell>
          <cell r="D3320" t="str">
            <v>CAGE.R 437(STO 25 ZZ)</v>
          </cell>
        </row>
        <row r="3321">
          <cell r="C3321">
            <v>511304.01</v>
          </cell>
          <cell r="D3321" t="str">
            <v>RO 4X12.8</v>
          </cell>
        </row>
        <row r="3322">
          <cell r="C3322">
            <v>717437</v>
          </cell>
          <cell r="D3322" t="str">
            <v>METAL WASHER (STO 25 ZZ)</v>
          </cell>
        </row>
        <row r="3323">
          <cell r="C3323">
            <v>913021</v>
          </cell>
          <cell r="D3323" t="str">
            <v>Box 55X20X55</v>
          </cell>
        </row>
        <row r="3324">
          <cell r="C3324">
            <v>104438</v>
          </cell>
          <cell r="D3324" t="str">
            <v>R.IR 438(NURT 35)-1</v>
          </cell>
        </row>
        <row r="3325">
          <cell r="C3325">
            <v>104438.01</v>
          </cell>
          <cell r="D3325" t="str">
            <v>R.IR 438(NURT 35)-2     F</v>
          </cell>
        </row>
        <row r="3326">
          <cell r="C3326">
            <v>208438</v>
          </cell>
          <cell r="D3326" t="str">
            <v>R.OR 438(NURT 35)</v>
          </cell>
        </row>
        <row r="3327">
          <cell r="C3327">
            <v>511438</v>
          </cell>
          <cell r="D3327" t="str">
            <v>RO 6.5X9(BPM)</v>
          </cell>
        </row>
        <row r="3328">
          <cell r="C3328">
            <v>717438</v>
          </cell>
          <cell r="D3328" t="str">
            <v>METAL WASHER (NURT 35)</v>
          </cell>
        </row>
        <row r="3329">
          <cell r="C3329">
            <v>104440</v>
          </cell>
          <cell r="D3329" t="str">
            <v>R.IR 440(JC 8021)</v>
          </cell>
        </row>
        <row r="3330">
          <cell r="C3330">
            <v>511440</v>
          </cell>
          <cell r="D3330" t="str">
            <v>RO 10X22</v>
          </cell>
        </row>
        <row r="3331">
          <cell r="C3331">
            <v>717440</v>
          </cell>
          <cell r="D3331" t="str">
            <v>NYLONE BUSH 64X70X24.7</v>
          </cell>
        </row>
        <row r="3332">
          <cell r="C3332">
            <v>104441</v>
          </cell>
          <cell r="D3332" t="str">
            <v>R.IR 441(JC 8024)</v>
          </cell>
        </row>
        <row r="3333">
          <cell r="C3333">
            <v>511441</v>
          </cell>
          <cell r="D3333" t="str">
            <v>RO 10X20</v>
          </cell>
        </row>
        <row r="3334">
          <cell r="C3334">
            <v>208442</v>
          </cell>
          <cell r="D3334" t="str">
            <v>R.OR 442(JC 8015)</v>
          </cell>
        </row>
        <row r="3335">
          <cell r="C3335">
            <v>309442</v>
          </cell>
          <cell r="D3335" t="str">
            <v>R.NCG 442(JC 8015)</v>
          </cell>
        </row>
        <row r="3336">
          <cell r="C3336">
            <v>511442</v>
          </cell>
          <cell r="D3336" t="str">
            <v>RO 8X9</v>
          </cell>
        </row>
        <row r="3337">
          <cell r="C3337">
            <v>1422443</v>
          </cell>
          <cell r="D3337" t="str">
            <v>NATV 15 material</v>
          </cell>
        </row>
        <row r="3338">
          <cell r="C3338">
            <v>104443</v>
          </cell>
          <cell r="D3338" t="str">
            <v>R.IR 443(NATV 15 PP A)</v>
          </cell>
        </row>
        <row r="3339">
          <cell r="C3339">
            <v>208443</v>
          </cell>
          <cell r="D3339" t="str">
            <v>R.OR 443(NATV 15 PP A)</v>
          </cell>
        </row>
        <row r="3340">
          <cell r="C3340">
            <v>511443</v>
          </cell>
          <cell r="D3340" t="str">
            <v>RO 2.20X13.25 (BP)</v>
          </cell>
        </row>
        <row r="3341">
          <cell r="C3341">
            <v>717443</v>
          </cell>
          <cell r="D3341" t="str">
            <v>NYLON WASHER (NATV 15)</v>
          </cell>
        </row>
        <row r="3342">
          <cell r="C3342">
            <v>717443.01</v>
          </cell>
          <cell r="D3342" t="str">
            <v>METAL WASHER NATV 15</v>
          </cell>
        </row>
        <row r="3343">
          <cell r="C3343">
            <v>104443</v>
          </cell>
          <cell r="D3343" t="str">
            <v>R.IR 443(NATV 15 PP A)</v>
          </cell>
        </row>
        <row r="3344">
          <cell r="C3344">
            <v>208443</v>
          </cell>
          <cell r="D3344" t="str">
            <v>R.OR 443(NATV 15 PP A)</v>
          </cell>
        </row>
        <row r="3345">
          <cell r="C3345">
            <v>511443</v>
          </cell>
          <cell r="D3345" t="str">
            <v>RO 2.20X13.25 (BP)</v>
          </cell>
        </row>
        <row r="3346">
          <cell r="C3346">
            <v>717443.01</v>
          </cell>
          <cell r="D3346" t="str">
            <v>METAL WASHER NATV 15</v>
          </cell>
        </row>
        <row r="3347">
          <cell r="C3347">
            <v>104444</v>
          </cell>
          <cell r="D3347" t="str">
            <v>R.IR 444 (1041400) 44MM</v>
          </cell>
        </row>
        <row r="3348">
          <cell r="C3348">
            <v>208444</v>
          </cell>
          <cell r="D3348" t="str">
            <v>R.OR 444 (1041400) 44MM</v>
          </cell>
        </row>
        <row r="3349">
          <cell r="C3349">
            <v>511210.01</v>
          </cell>
          <cell r="D3349" t="str">
            <v>RO 4X5.6BPM</v>
          </cell>
        </row>
        <row r="3350">
          <cell r="C3350">
            <v>717444</v>
          </cell>
          <cell r="D3350" t="str">
            <v>WASHER R 444</v>
          </cell>
        </row>
        <row r="3351">
          <cell r="C3351">
            <v>913010</v>
          </cell>
          <cell r="D3351" t="str">
            <v>Box 150x40x50</v>
          </cell>
        </row>
        <row r="3352">
          <cell r="C3352">
            <v>1422444.01</v>
          </cell>
          <cell r="D3352" t="str">
            <v>R 444(1041400) materilRS</v>
          </cell>
        </row>
        <row r="3353">
          <cell r="C3353">
            <v>1422444.01</v>
          </cell>
          <cell r="D3353" t="str">
            <v>R 444(1041400) materilRS</v>
          </cell>
        </row>
        <row r="3354">
          <cell r="C3354">
            <v>5221208</v>
          </cell>
          <cell r="D3354" t="str">
            <v>O G NBU 12/300 KP</v>
          </cell>
        </row>
        <row r="3355">
          <cell r="C3355">
            <v>1422444.03</v>
          </cell>
          <cell r="D3355" t="str">
            <v>R 444 (16mm ID) material.</v>
          </cell>
        </row>
        <row r="3356">
          <cell r="C3356">
            <v>104445</v>
          </cell>
          <cell r="D3356" t="str">
            <v>R.IR 445(310-4715)</v>
          </cell>
        </row>
        <row r="3357">
          <cell r="C3357">
            <v>208445</v>
          </cell>
          <cell r="D3357" t="str">
            <v>R.OR 445(310-4715)</v>
          </cell>
        </row>
        <row r="3358">
          <cell r="C3358">
            <v>511445</v>
          </cell>
          <cell r="D3358" t="str">
            <v>RO 2.96X5.8</v>
          </cell>
        </row>
        <row r="3359">
          <cell r="C3359">
            <v>717445</v>
          </cell>
          <cell r="D3359" t="str">
            <v>PLATIC CAP R 445</v>
          </cell>
        </row>
        <row r="3360">
          <cell r="C3360">
            <v>913016</v>
          </cell>
          <cell r="D3360" t="str">
            <v>Box 250x40x50</v>
          </cell>
        </row>
        <row r="3361">
          <cell r="C3361">
            <v>104445</v>
          </cell>
          <cell r="D3361" t="str">
            <v>R.IR 445(310-4715)</v>
          </cell>
        </row>
        <row r="3362">
          <cell r="C3362">
            <v>208445</v>
          </cell>
          <cell r="D3362" t="str">
            <v>R.OR 445(310-4715)</v>
          </cell>
        </row>
        <row r="3363">
          <cell r="C3363">
            <v>511445.01</v>
          </cell>
          <cell r="D3363" t="str">
            <v>RO 3.150X5.8</v>
          </cell>
        </row>
        <row r="3364">
          <cell r="C3364">
            <v>208445</v>
          </cell>
          <cell r="D3364" t="str">
            <v>R.OR 445(310-4715)</v>
          </cell>
        </row>
        <row r="3365">
          <cell r="C3365">
            <v>511445.01</v>
          </cell>
          <cell r="D3365" t="str">
            <v>RO 3.150X5.8</v>
          </cell>
        </row>
        <row r="3366">
          <cell r="C3366">
            <v>104445</v>
          </cell>
          <cell r="D3366" t="str">
            <v>R.IR 445(310-4715)</v>
          </cell>
        </row>
        <row r="3367">
          <cell r="C3367">
            <v>1422446</v>
          </cell>
          <cell r="D3367" t="str">
            <v>R 446(KL 205 NPPB AH-01)</v>
          </cell>
        </row>
        <row r="3368">
          <cell r="C3368">
            <v>913006</v>
          </cell>
          <cell r="D3368" t="str">
            <v>Box 50x35x50</v>
          </cell>
        </row>
        <row r="3369">
          <cell r="C3369">
            <v>1422447</v>
          </cell>
          <cell r="D3369" t="str">
            <v>R 447 material</v>
          </cell>
        </row>
        <row r="3370">
          <cell r="C3370">
            <v>208448</v>
          </cell>
          <cell r="D3370" t="str">
            <v>R.OR 448(JC 8007)</v>
          </cell>
        </row>
        <row r="3371">
          <cell r="C3371">
            <v>511448</v>
          </cell>
          <cell r="D3371" t="str">
            <v>RO 11X15 BPM</v>
          </cell>
        </row>
        <row r="3372">
          <cell r="C3372">
            <v>717448</v>
          </cell>
          <cell r="D3372" t="str">
            <v>NYLON INSAERT(JC 8007)25%</v>
          </cell>
        </row>
        <row r="3373">
          <cell r="C3373">
            <v>208449</v>
          </cell>
          <cell r="D3373" t="str">
            <v>R.OR 449(JC 8037)</v>
          </cell>
        </row>
        <row r="3374">
          <cell r="C3374">
            <v>208450</v>
          </cell>
          <cell r="D3374" t="str">
            <v>R.OR 450(CY-600-168) CF</v>
          </cell>
        </row>
        <row r="3375">
          <cell r="C3375">
            <v>511450</v>
          </cell>
          <cell r="D3375" t="str">
            <v>RO 2.5X7.8</v>
          </cell>
        </row>
        <row r="3376">
          <cell r="C3376">
            <v>913016</v>
          </cell>
          <cell r="D3376" t="str">
            <v>Box 250x40x50</v>
          </cell>
        </row>
        <row r="3377">
          <cell r="C3377">
            <v>511325.01</v>
          </cell>
          <cell r="D3377" t="str">
            <v>RO 2.5X17.8</v>
          </cell>
        </row>
        <row r="3378">
          <cell r="C3378">
            <v>208451</v>
          </cell>
          <cell r="D3378" t="str">
            <v>R.OR 451 (NK 50/20)</v>
          </cell>
        </row>
        <row r="3379">
          <cell r="C3379">
            <v>309451</v>
          </cell>
          <cell r="D3379" t="str">
            <v>R.MCG 451 (NK 50/20)</v>
          </cell>
        </row>
        <row r="3380">
          <cell r="C3380">
            <v>511451</v>
          </cell>
          <cell r="D3380" t="str">
            <v>RO 2.5X15.8</v>
          </cell>
        </row>
        <row r="3381">
          <cell r="C3381">
            <v>913002</v>
          </cell>
          <cell r="D3381" t="str">
            <v>Box 75x30x75</v>
          </cell>
        </row>
        <row r="3382">
          <cell r="C3382">
            <v>200451.1</v>
          </cell>
          <cell r="D3382" t="str">
            <v>NK.OR 50/12</v>
          </cell>
        </row>
        <row r="3383">
          <cell r="C3383">
            <v>300451.09999999998</v>
          </cell>
          <cell r="D3383" t="str">
            <v>NK.MCG 50/12</v>
          </cell>
        </row>
        <row r="3384">
          <cell r="C3384">
            <v>511450</v>
          </cell>
          <cell r="D3384" t="str">
            <v>RO 2.5X7.8</v>
          </cell>
        </row>
        <row r="3385">
          <cell r="C3385">
            <v>208452</v>
          </cell>
          <cell r="D3385" t="str">
            <v>R.OR 452 (NK 121816)</v>
          </cell>
        </row>
        <row r="3386">
          <cell r="C3386">
            <v>309452</v>
          </cell>
          <cell r="D3386" t="str">
            <v>R.MCG 452 (NK 121816)</v>
          </cell>
        </row>
        <row r="3387">
          <cell r="C3387">
            <v>511200</v>
          </cell>
          <cell r="D3387" t="str">
            <v>RO 1.5X9.3</v>
          </cell>
        </row>
        <row r="3388">
          <cell r="C3388">
            <v>913010</v>
          </cell>
          <cell r="D3388" t="str">
            <v>Box 150x40x50</v>
          </cell>
        </row>
        <row r="3389">
          <cell r="C3389">
            <v>208453</v>
          </cell>
          <cell r="D3389" t="str">
            <v>R.OR 453 (S 1032)</v>
          </cell>
        </row>
        <row r="3390">
          <cell r="C3390">
            <v>913006</v>
          </cell>
          <cell r="D3390" t="str">
            <v>Box 50x35x50</v>
          </cell>
        </row>
        <row r="3391">
          <cell r="C3391">
            <v>9953</v>
          </cell>
        </row>
        <row r="3392">
          <cell r="C3392">
            <v>200453.1</v>
          </cell>
          <cell r="D3392" t="str">
            <v>OR.S 1032</v>
          </cell>
        </row>
        <row r="3393">
          <cell r="C3393">
            <v>300453.09999999998</v>
          </cell>
          <cell r="D3393" t="str">
            <v>MCG.S 1032</v>
          </cell>
        </row>
        <row r="3394">
          <cell r="C3394">
            <v>500453.1</v>
          </cell>
          <cell r="D3394" t="str">
            <v>RO 5.95X24.0 BPER</v>
          </cell>
        </row>
        <row r="3395">
          <cell r="C3395">
            <v>208455</v>
          </cell>
          <cell r="D3395" t="str">
            <v>R.OR 455 (Y 1032)</v>
          </cell>
        </row>
        <row r="3396">
          <cell r="C3396">
            <v>309455</v>
          </cell>
          <cell r="D3396" t="str">
            <v>R.MCG 455 (Y 1032)</v>
          </cell>
        </row>
        <row r="3397">
          <cell r="C3397">
            <v>208455.1</v>
          </cell>
          <cell r="D3397" t="str">
            <v>OR.Y 1032</v>
          </cell>
        </row>
        <row r="3398">
          <cell r="C3398">
            <v>309455.09999999998</v>
          </cell>
          <cell r="D3398" t="str">
            <v>MCG.Y 1032</v>
          </cell>
        </row>
        <row r="3399">
          <cell r="C3399">
            <v>511455.1</v>
          </cell>
          <cell r="D3399" t="str">
            <v>RO 6.37X20.8 BPER</v>
          </cell>
        </row>
        <row r="3400">
          <cell r="C3400">
            <v>104456</v>
          </cell>
          <cell r="D3400" t="str">
            <v>R.IR 456 (XR 12072)</v>
          </cell>
        </row>
        <row r="3401">
          <cell r="C3401">
            <v>208456</v>
          </cell>
          <cell r="D3401" t="str">
            <v>R.OR 456 (XR 12072)</v>
          </cell>
        </row>
        <row r="3402">
          <cell r="C3402">
            <v>511493</v>
          </cell>
          <cell r="D3402" t="str">
            <v>RO 6.5X6.5</v>
          </cell>
        </row>
        <row r="3403">
          <cell r="C3403">
            <v>717456</v>
          </cell>
          <cell r="D3403" t="str">
            <v>WASHER XR 12072</v>
          </cell>
        </row>
        <row r="3404">
          <cell r="C3404">
            <v>208457</v>
          </cell>
          <cell r="D3404" t="str">
            <v>R.OR 457 (NB 152312)</v>
          </cell>
        </row>
        <row r="3405">
          <cell r="C3405">
            <v>309457</v>
          </cell>
          <cell r="D3405" t="str">
            <v>R.MCG 457 (NB 152312)</v>
          </cell>
        </row>
        <row r="3406">
          <cell r="C3406">
            <v>511450</v>
          </cell>
          <cell r="D3406" t="str">
            <v>RO 2.5X7.8</v>
          </cell>
        </row>
        <row r="3407">
          <cell r="C3407">
            <v>913010</v>
          </cell>
          <cell r="D3407" t="str">
            <v>Box 150x40x50</v>
          </cell>
        </row>
        <row r="3408">
          <cell r="C3408">
            <v>200458</v>
          </cell>
          <cell r="D3408" t="str">
            <v>JC.OR 8038</v>
          </cell>
        </row>
        <row r="3409">
          <cell r="C3409">
            <v>511954</v>
          </cell>
          <cell r="D3409" t="str">
            <v>RO 9X13</v>
          </cell>
        </row>
        <row r="3410">
          <cell r="C3410">
            <v>717458</v>
          </cell>
          <cell r="D3410" t="str">
            <v>NYLON INSAERT(JC 8038)25%</v>
          </cell>
        </row>
        <row r="3411">
          <cell r="C3411">
            <v>1422459</v>
          </cell>
          <cell r="D3411" t="str">
            <v>R 459(WPB 781415) materi</v>
          </cell>
        </row>
        <row r="3412">
          <cell r="C3412">
            <v>1421460</v>
          </cell>
          <cell r="D3412" t="str">
            <v>R 460 material</v>
          </cell>
        </row>
        <row r="3413">
          <cell r="C3413">
            <v>104461</v>
          </cell>
          <cell r="D3413" t="str">
            <v>R.IR 461(108-2381)SIDE</v>
          </cell>
        </row>
        <row r="3414">
          <cell r="C3414">
            <v>208461</v>
          </cell>
          <cell r="D3414" t="str">
            <v>R.OR 461(108-2381)</v>
          </cell>
        </row>
        <row r="3415">
          <cell r="C3415">
            <v>309461</v>
          </cell>
          <cell r="D3415" t="str">
            <v>R.MCG 461(108-2381)</v>
          </cell>
        </row>
        <row r="3416">
          <cell r="C3416">
            <v>511461</v>
          </cell>
          <cell r="D3416" t="str">
            <v>RO 6X6</v>
          </cell>
        </row>
        <row r="3417">
          <cell r="C3417">
            <v>717461</v>
          </cell>
          <cell r="D3417" t="str">
            <v>RUBBERSEAL R461(108-2381)</v>
          </cell>
        </row>
        <row r="3418">
          <cell r="C3418">
            <v>913016</v>
          </cell>
          <cell r="D3418" t="str">
            <v>Box 250x40x50</v>
          </cell>
        </row>
        <row r="3419">
          <cell r="C3419">
            <v>208462</v>
          </cell>
          <cell r="D3419" t="str">
            <v>R.OR 462 (12.24 SPL.)</v>
          </cell>
        </row>
        <row r="3420">
          <cell r="C3420">
            <v>309462</v>
          </cell>
          <cell r="D3420" t="str">
            <v>R.NCG 462 (12.24 SPL.)</v>
          </cell>
        </row>
        <row r="3421">
          <cell r="C3421">
            <v>511462</v>
          </cell>
          <cell r="D3421" t="str">
            <v>RO 4X6 (R 462)</v>
          </cell>
        </row>
        <row r="3422">
          <cell r="C3422">
            <v>717462</v>
          </cell>
          <cell r="D3422" t="str">
            <v>WASHER FOR R 462(12.24SPL</v>
          </cell>
        </row>
        <row r="3423">
          <cell r="C3423">
            <v>913010</v>
          </cell>
          <cell r="D3423" t="str">
            <v>Box 150x40x50</v>
          </cell>
        </row>
        <row r="3424">
          <cell r="C3424">
            <v>208463</v>
          </cell>
          <cell r="D3424" t="str">
            <v>R.OR 463(F 82925)</v>
          </cell>
        </row>
        <row r="3425">
          <cell r="C3425">
            <v>309463</v>
          </cell>
          <cell r="D3425" t="str">
            <v>R.MCG 463(F 82925)</v>
          </cell>
        </row>
        <row r="3426">
          <cell r="C3426">
            <v>511261.01</v>
          </cell>
          <cell r="D3426" t="str">
            <v>RO 3X23.8</v>
          </cell>
        </row>
        <row r="3427">
          <cell r="C3427">
            <v>913010</v>
          </cell>
          <cell r="D3427" t="str">
            <v>Box 150x40x50</v>
          </cell>
        </row>
        <row r="3428">
          <cell r="C3428">
            <v>208464</v>
          </cell>
          <cell r="D3428" t="str">
            <v>R.OR 464</v>
          </cell>
        </row>
        <row r="3429">
          <cell r="C3429">
            <v>309464</v>
          </cell>
          <cell r="D3429" t="str">
            <v>R.MCG 464</v>
          </cell>
        </row>
        <row r="3430">
          <cell r="C3430">
            <v>511464</v>
          </cell>
          <cell r="D3430" t="str">
            <v>BALL 7/32"(IS:2898-1976)</v>
          </cell>
        </row>
        <row r="3431">
          <cell r="C3431">
            <v>717464</v>
          </cell>
          <cell r="D3431" t="str">
            <v>R COPPER WASHER 464</v>
          </cell>
        </row>
        <row r="3432">
          <cell r="C3432">
            <v>717464.01</v>
          </cell>
          <cell r="D3432" t="str">
            <v>R CAR CLIPS 464</v>
          </cell>
        </row>
        <row r="3433">
          <cell r="C3433">
            <v>913010</v>
          </cell>
          <cell r="D3433" t="str">
            <v>Box 150x40x50</v>
          </cell>
        </row>
        <row r="3434">
          <cell r="C3434">
            <v>1422465</v>
          </cell>
          <cell r="D3434" t="str">
            <v>R 465(7x19x18)   Material</v>
          </cell>
        </row>
        <row r="3435">
          <cell r="C3435">
            <v>913016</v>
          </cell>
          <cell r="D3435" t="str">
            <v>Box 250x40x50</v>
          </cell>
        </row>
        <row r="3436">
          <cell r="C3436">
            <v>1422465.01</v>
          </cell>
          <cell r="D3436" t="str">
            <v>465(7x19x18X10) RS Materi</v>
          </cell>
        </row>
        <row r="3437">
          <cell r="C3437">
            <v>1422465.02</v>
          </cell>
          <cell r="D3437" t="str">
            <v>R 465(7x19x18X10) MS Mate</v>
          </cell>
        </row>
        <row r="3438">
          <cell r="C3438">
            <v>1422466</v>
          </cell>
          <cell r="D3438" t="str">
            <v>R 466(6x18.5x22) Material</v>
          </cell>
        </row>
        <row r="3439">
          <cell r="C3439">
            <v>1422467</v>
          </cell>
          <cell r="D3439" t="str">
            <v>R 467(8406-1)    Material</v>
          </cell>
        </row>
        <row r="3440">
          <cell r="C3440">
            <v>208468</v>
          </cell>
          <cell r="D3440" t="str">
            <v>R.OR 468 (KDL 12/12)</v>
          </cell>
        </row>
        <row r="3441">
          <cell r="C3441">
            <v>309806.01</v>
          </cell>
          <cell r="D3441" t="str">
            <v>NKI.MCG 9/12(NK 12/12)</v>
          </cell>
        </row>
        <row r="3442">
          <cell r="C3442">
            <v>511090</v>
          </cell>
          <cell r="D3442" t="str">
            <v>RO 2X7.8</v>
          </cell>
        </row>
        <row r="3443">
          <cell r="C3443">
            <v>913016</v>
          </cell>
          <cell r="D3443" t="str">
            <v>Box 250x40x50</v>
          </cell>
        </row>
        <row r="3444">
          <cell r="C3444">
            <v>208469</v>
          </cell>
          <cell r="D3444" t="str">
            <v>R.OR 469 (KDL 16/12P)</v>
          </cell>
        </row>
        <row r="3445">
          <cell r="C3445">
            <v>309469</v>
          </cell>
          <cell r="D3445" t="str">
            <v>R.MCG 469 (KDL 16/12P)</v>
          </cell>
        </row>
        <row r="3446">
          <cell r="C3446">
            <v>511090</v>
          </cell>
          <cell r="D3446" t="str">
            <v>RO 2X7.8</v>
          </cell>
        </row>
        <row r="3447">
          <cell r="C3447">
            <v>913016</v>
          </cell>
          <cell r="D3447" t="str">
            <v>Box 250x40x50</v>
          </cell>
        </row>
        <row r="3448">
          <cell r="C3448">
            <v>1422470</v>
          </cell>
          <cell r="D3448" t="str">
            <v>R 470            material</v>
          </cell>
        </row>
        <row r="3449">
          <cell r="C3449">
            <v>5221208</v>
          </cell>
          <cell r="D3449" t="str">
            <v>O G NBU 12/300 KP</v>
          </cell>
        </row>
        <row r="3450">
          <cell r="C3450">
            <v>913016</v>
          </cell>
          <cell r="D3450" t="str">
            <v>Box 250x40x50</v>
          </cell>
        </row>
        <row r="3451">
          <cell r="C3451">
            <v>1422470</v>
          </cell>
          <cell r="D3451" t="str">
            <v>R 470            material</v>
          </cell>
        </row>
        <row r="3452">
          <cell r="C3452">
            <v>5221208.0199999996</v>
          </cell>
          <cell r="D3452" t="str">
            <v>O Centoplex BE41 103BH</v>
          </cell>
        </row>
        <row r="3453">
          <cell r="C3453">
            <v>913016</v>
          </cell>
          <cell r="D3453" t="str">
            <v>Box 250x40x50</v>
          </cell>
        </row>
        <row r="3454">
          <cell r="C3454">
            <v>1422471</v>
          </cell>
          <cell r="D3454" t="str">
            <v>R 471 (42mmDia)  Material</v>
          </cell>
        </row>
        <row r="3455">
          <cell r="C3455">
            <v>511210.01</v>
          </cell>
          <cell r="D3455" t="str">
            <v>RO 4X5.6BPM</v>
          </cell>
        </row>
        <row r="3456">
          <cell r="C3456">
            <v>5221208.0199999996</v>
          </cell>
          <cell r="D3456" t="str">
            <v>O Centoplex BE41 103BH</v>
          </cell>
        </row>
        <row r="3457">
          <cell r="C3457">
            <v>913016</v>
          </cell>
          <cell r="D3457" t="str">
            <v>Box 250x40x50</v>
          </cell>
        </row>
        <row r="3458">
          <cell r="C3458">
            <v>1422471</v>
          </cell>
          <cell r="D3458" t="str">
            <v>R 471 (42mmDia)  Material</v>
          </cell>
        </row>
        <row r="3459">
          <cell r="C3459">
            <v>511210.01</v>
          </cell>
          <cell r="D3459" t="str">
            <v>RO 4X5.6BPM</v>
          </cell>
        </row>
        <row r="3460">
          <cell r="C3460">
            <v>5221208</v>
          </cell>
          <cell r="D3460" t="str">
            <v>O G NBU 12/300 KP</v>
          </cell>
        </row>
        <row r="3461">
          <cell r="C3461">
            <v>913016</v>
          </cell>
          <cell r="D3461" t="str">
            <v>Box 250x40x50</v>
          </cell>
        </row>
        <row r="3462">
          <cell r="C3462">
            <v>1422472</v>
          </cell>
          <cell r="D3462" t="str">
            <v>R 472           Materials</v>
          </cell>
        </row>
        <row r="3463">
          <cell r="C3463">
            <v>5221208.0199999996</v>
          </cell>
          <cell r="D3463" t="str">
            <v>O Centoplex BE41 103BH</v>
          </cell>
        </row>
        <row r="3464">
          <cell r="C3464">
            <v>913010</v>
          </cell>
          <cell r="D3464" t="str">
            <v>Box 150x40x50</v>
          </cell>
        </row>
        <row r="3465">
          <cell r="C3465">
            <v>1422472</v>
          </cell>
          <cell r="D3465" t="str">
            <v>R 472           Materials</v>
          </cell>
        </row>
        <row r="3466">
          <cell r="C3466">
            <v>5221208</v>
          </cell>
          <cell r="D3466" t="str">
            <v>O G NBU 12/300 KP</v>
          </cell>
        </row>
        <row r="3467">
          <cell r="C3467">
            <v>913010</v>
          </cell>
          <cell r="D3467" t="str">
            <v>Box 150x40x50</v>
          </cell>
        </row>
        <row r="3468">
          <cell r="C3468">
            <v>1422472</v>
          </cell>
          <cell r="D3468" t="str">
            <v>R 472           Materials</v>
          </cell>
        </row>
        <row r="3469">
          <cell r="C3469">
            <v>5221208.01</v>
          </cell>
        </row>
        <row r="3470">
          <cell r="C3470">
            <v>913010</v>
          </cell>
          <cell r="D3470" t="str">
            <v>Box 150x40x50</v>
          </cell>
        </row>
        <row r="3471">
          <cell r="C3471">
            <v>1422472.03</v>
          </cell>
          <cell r="D3471" t="str">
            <v>R 472 WITH 6 MM IDmateria</v>
          </cell>
        </row>
        <row r="3472">
          <cell r="C3472">
            <v>104473</v>
          </cell>
          <cell r="D3472" t="str">
            <v>R.IR 473</v>
          </cell>
        </row>
        <row r="3473">
          <cell r="C3473">
            <v>208473</v>
          </cell>
          <cell r="D3473" t="str">
            <v>R.OR 473</v>
          </cell>
        </row>
        <row r="3474">
          <cell r="C3474">
            <v>511473</v>
          </cell>
          <cell r="D3474" t="str">
            <v>RO 2X5.7 BPM</v>
          </cell>
        </row>
        <row r="3475">
          <cell r="C3475">
            <v>913010</v>
          </cell>
          <cell r="D3475" t="str">
            <v>Box 150x40x50</v>
          </cell>
        </row>
        <row r="3476">
          <cell r="C3476">
            <v>104473</v>
          </cell>
          <cell r="D3476" t="str">
            <v>R.IR 473</v>
          </cell>
        </row>
        <row r="3477">
          <cell r="C3477">
            <v>104474</v>
          </cell>
          <cell r="D3477" t="str">
            <v>R.IR 474</v>
          </cell>
        </row>
        <row r="3478">
          <cell r="C3478">
            <v>208474</v>
          </cell>
          <cell r="D3478" t="str">
            <v>R.OR 474</v>
          </cell>
        </row>
        <row r="3479">
          <cell r="C3479">
            <v>208474.01</v>
          </cell>
          <cell r="D3479" t="str">
            <v>WASHER R 474</v>
          </cell>
        </row>
        <row r="3480">
          <cell r="C3480">
            <v>511474</v>
          </cell>
          <cell r="D3480" t="str">
            <v>RO 15X15 BPM</v>
          </cell>
        </row>
        <row r="3481">
          <cell r="C3481">
            <v>913058</v>
          </cell>
          <cell r="D3481" t="str">
            <v>Box 115x60x115    Exp.</v>
          </cell>
        </row>
        <row r="3482">
          <cell r="C3482">
            <v>208474</v>
          </cell>
          <cell r="D3482" t="str">
            <v>R.OR 474</v>
          </cell>
        </row>
        <row r="3483">
          <cell r="C3483">
            <v>208474.01</v>
          </cell>
          <cell r="D3483" t="str">
            <v>WASHER R 474</v>
          </cell>
        </row>
        <row r="3484">
          <cell r="C3484">
            <v>511474</v>
          </cell>
          <cell r="D3484" t="str">
            <v>RO 15X15 BPM</v>
          </cell>
        </row>
        <row r="3485">
          <cell r="C3485">
            <v>913058</v>
          </cell>
          <cell r="D3485" t="str">
            <v>Box 115x60x115    Exp.</v>
          </cell>
        </row>
        <row r="3486">
          <cell r="C3486">
            <v>104474</v>
          </cell>
          <cell r="D3486" t="str">
            <v>R.IR 474</v>
          </cell>
        </row>
        <row r="3487">
          <cell r="C3487">
            <v>104475</v>
          </cell>
          <cell r="D3487" t="str">
            <v>R.IR 475</v>
          </cell>
        </row>
        <row r="3488">
          <cell r="C3488">
            <v>208419.01</v>
          </cell>
          <cell r="D3488" t="str">
            <v>WASHER.567833           F</v>
          </cell>
        </row>
        <row r="3489">
          <cell r="C3489">
            <v>208475</v>
          </cell>
          <cell r="D3489" t="str">
            <v>R.OR 475</v>
          </cell>
        </row>
        <row r="3490">
          <cell r="C3490">
            <v>511475</v>
          </cell>
          <cell r="D3490" t="str">
            <v>RO 11X11 BPM</v>
          </cell>
        </row>
        <row r="3491">
          <cell r="C3491">
            <v>104475</v>
          </cell>
          <cell r="D3491" t="str">
            <v>R.IR 475</v>
          </cell>
        </row>
        <row r="3492">
          <cell r="C3492">
            <v>208475</v>
          </cell>
          <cell r="D3492" t="str">
            <v>R.OR 475</v>
          </cell>
        </row>
        <row r="3493">
          <cell r="C3493">
            <v>511475</v>
          </cell>
          <cell r="D3493" t="str">
            <v>RO 11X11 BPM</v>
          </cell>
        </row>
        <row r="3494">
          <cell r="C3494">
            <v>104475</v>
          </cell>
          <cell r="D3494" t="str">
            <v>R.IR 475</v>
          </cell>
        </row>
        <row r="3495">
          <cell r="C3495">
            <v>104476</v>
          </cell>
          <cell r="D3495" t="str">
            <v>R.IR 476 (OSN0615/16V)</v>
          </cell>
        </row>
        <row r="3496">
          <cell r="C3496">
            <v>208476</v>
          </cell>
          <cell r="D3496" t="str">
            <v>R.OR 476 (OSN0615/16V)</v>
          </cell>
        </row>
        <row r="3497">
          <cell r="C3497">
            <v>511476</v>
          </cell>
          <cell r="D3497" t="str">
            <v>RO 5.74X11</v>
          </cell>
        </row>
        <row r="3498">
          <cell r="C3498">
            <v>208477</v>
          </cell>
          <cell r="D3498" t="str">
            <v>R.OR 477 (STR 587745)</v>
          </cell>
        </row>
        <row r="3499">
          <cell r="C3499">
            <v>511477</v>
          </cell>
          <cell r="D3499" t="str">
            <v>RO 5.69X42.9</v>
          </cell>
        </row>
        <row r="3500">
          <cell r="C3500">
            <v>104478</v>
          </cell>
          <cell r="D3500" t="str">
            <v>R.IR 478 (40NAN6530)</v>
          </cell>
        </row>
        <row r="3501">
          <cell r="C3501">
            <v>208478</v>
          </cell>
          <cell r="D3501" t="str">
            <v>R.OR 478 (40NAN6530)</v>
          </cell>
        </row>
        <row r="3502">
          <cell r="C3502">
            <v>511478</v>
          </cell>
          <cell r="D3502" t="str">
            <v>RO 3X23.8 (T Type)</v>
          </cell>
        </row>
        <row r="3503">
          <cell r="C3503">
            <v>200479</v>
          </cell>
          <cell r="D3503" t="str">
            <v>R.OR 479</v>
          </cell>
        </row>
        <row r="3504">
          <cell r="C3504">
            <v>511448</v>
          </cell>
          <cell r="D3504" t="str">
            <v>RO 11X15 BPM</v>
          </cell>
        </row>
        <row r="3505">
          <cell r="C3505">
            <v>700479</v>
          </cell>
          <cell r="D3505" t="str">
            <v>NYLON INSAERT(R 479)25%</v>
          </cell>
        </row>
        <row r="3506">
          <cell r="C3506">
            <v>1422480</v>
          </cell>
          <cell r="D3506" t="str">
            <v>R 480           Materials</v>
          </cell>
        </row>
        <row r="3507">
          <cell r="C3507">
            <v>5221208</v>
          </cell>
          <cell r="D3507" t="str">
            <v>O G NBU 12/300 KP</v>
          </cell>
        </row>
        <row r="3508">
          <cell r="C3508">
            <v>913016</v>
          </cell>
          <cell r="D3508" t="str">
            <v>Box 250x40x50</v>
          </cell>
        </row>
        <row r="3509">
          <cell r="C3509">
            <v>104481</v>
          </cell>
          <cell r="D3509" t="str">
            <v>R.IR 481(BR26[P]4344.6)</v>
          </cell>
        </row>
        <row r="3510">
          <cell r="C3510">
            <v>208481</v>
          </cell>
          <cell r="D3510" t="str">
            <v>R.OR 481(BR 26[P]4344.6)</v>
          </cell>
        </row>
        <row r="3511">
          <cell r="C3511">
            <v>309481.01</v>
          </cell>
          <cell r="D3511" t="str">
            <v>R.NCG 481(BR 26[P]4344.6)</v>
          </cell>
        </row>
        <row r="3512">
          <cell r="C3512">
            <v>1422482</v>
          </cell>
          <cell r="D3512" t="str">
            <v>R 482 WASHER (AS 2542)</v>
          </cell>
        </row>
        <row r="3513">
          <cell r="C3513">
            <v>309482</v>
          </cell>
          <cell r="D3513" t="str">
            <v>R.NCG 482(AS 2542)</v>
          </cell>
        </row>
        <row r="3514">
          <cell r="C3514">
            <v>511391</v>
          </cell>
          <cell r="D3514" t="str">
            <v>RO 2X4.8 SP</v>
          </cell>
        </row>
        <row r="3515">
          <cell r="C3515">
            <v>913016</v>
          </cell>
          <cell r="D3515" t="str">
            <v>Box 250x40x50</v>
          </cell>
        </row>
        <row r="3516">
          <cell r="C3516">
            <v>300482.01</v>
          </cell>
          <cell r="D3516" t="str">
            <v>AXK.NCG 2542 SPL</v>
          </cell>
        </row>
        <row r="3517">
          <cell r="C3517">
            <v>511391</v>
          </cell>
          <cell r="D3517" t="str">
            <v>RO 2X4.8 SP</v>
          </cell>
        </row>
        <row r="3518">
          <cell r="C3518">
            <v>1422480</v>
          </cell>
          <cell r="D3518" t="str">
            <v>R 480           Materials</v>
          </cell>
        </row>
        <row r="3519">
          <cell r="C3519">
            <v>5221208.0199999996</v>
          </cell>
          <cell r="D3519" t="str">
            <v>O Centoplex BE41 103BH</v>
          </cell>
        </row>
        <row r="3520">
          <cell r="C3520">
            <v>913016</v>
          </cell>
          <cell r="D3520" t="str">
            <v>Box 250x40x50</v>
          </cell>
        </row>
        <row r="3521">
          <cell r="C3521">
            <v>208484</v>
          </cell>
          <cell r="D3521" t="str">
            <v>R.OR 484 (SPL 1226)</v>
          </cell>
        </row>
        <row r="3522">
          <cell r="C3522">
            <v>208484.01</v>
          </cell>
          <cell r="D3522" t="str">
            <v>R.OR 484 (SPL 1226) W</v>
          </cell>
        </row>
        <row r="3523">
          <cell r="C3523">
            <v>309484</v>
          </cell>
          <cell r="D3523" t="str">
            <v>R.NCG 484 (SPL 1226)</v>
          </cell>
        </row>
        <row r="3524">
          <cell r="C3524">
            <v>511484</v>
          </cell>
          <cell r="D3524" t="str">
            <v>RO 5X8</v>
          </cell>
        </row>
        <row r="3525">
          <cell r="C3525">
            <v>913016</v>
          </cell>
          <cell r="D3525" t="str">
            <v>Box 250x40x50</v>
          </cell>
        </row>
        <row r="3526">
          <cell r="C3526">
            <v>511484</v>
          </cell>
          <cell r="D3526" t="str">
            <v>RO 5X8</v>
          </cell>
        </row>
        <row r="3527">
          <cell r="C3527">
            <v>104111</v>
          </cell>
          <cell r="D3527" t="str">
            <v>BR.IR 3216.3(06)</v>
          </cell>
        </row>
        <row r="3528">
          <cell r="C3528">
            <v>309111</v>
          </cell>
          <cell r="D3528" t="str">
            <v>BR.TCG 3216.3</v>
          </cell>
        </row>
        <row r="3529">
          <cell r="C3529">
            <v>410111</v>
          </cell>
          <cell r="D3529" t="str">
            <v>BR.K 3216.3(06)    WITH R</v>
          </cell>
        </row>
        <row r="3530">
          <cell r="C3530">
            <v>612042</v>
          </cell>
          <cell r="D3530" t="str">
            <v>BR.N 3222</v>
          </cell>
        </row>
        <row r="3531">
          <cell r="C3531">
            <v>913016</v>
          </cell>
          <cell r="D3531" t="str">
            <v>Box 250x40x50</v>
          </cell>
        </row>
        <row r="3532">
          <cell r="C3532">
            <v>104486</v>
          </cell>
          <cell r="D3532" t="str">
            <v>NJ.IR 2206</v>
          </cell>
        </row>
        <row r="3533">
          <cell r="C3533">
            <v>208486</v>
          </cell>
          <cell r="D3533" t="str">
            <v>NJ.OR 2206</v>
          </cell>
        </row>
        <row r="3534">
          <cell r="C3534">
            <v>309486</v>
          </cell>
          <cell r="D3534" t="str">
            <v>NJ.MCG 2206</v>
          </cell>
        </row>
        <row r="3535">
          <cell r="C3535">
            <v>913022</v>
          </cell>
          <cell r="D3535" t="str">
            <v>Box 65X25X65</v>
          </cell>
        </row>
        <row r="3536">
          <cell r="C3536">
            <v>104487</v>
          </cell>
          <cell r="D3536" t="str">
            <v>NJ.IR 206</v>
          </cell>
        </row>
        <row r="3537">
          <cell r="C3537">
            <v>208487</v>
          </cell>
          <cell r="D3537" t="str">
            <v>NJ.OR 206</v>
          </cell>
        </row>
        <row r="3538">
          <cell r="C3538">
            <v>309604.05</v>
          </cell>
          <cell r="D3538" t="str">
            <v>NU/NJ.MCG 206</v>
          </cell>
        </row>
        <row r="3539">
          <cell r="C3539">
            <v>104489</v>
          </cell>
          <cell r="D3539" t="str">
            <v>NU.IR 309</v>
          </cell>
        </row>
        <row r="3540">
          <cell r="C3540">
            <v>208489</v>
          </cell>
          <cell r="D3540" t="str">
            <v>NU.OR 309</v>
          </cell>
        </row>
        <row r="3541">
          <cell r="C3541">
            <v>309489</v>
          </cell>
          <cell r="D3541" t="str">
            <v>NU.MCG 309</v>
          </cell>
        </row>
        <row r="3542">
          <cell r="C3542">
            <v>511998</v>
          </cell>
          <cell r="D3542" t="str">
            <v>RO 14X14</v>
          </cell>
        </row>
        <row r="3543">
          <cell r="C3543">
            <v>104489</v>
          </cell>
          <cell r="D3543" t="str">
            <v>NU.IR 309</v>
          </cell>
        </row>
        <row r="3544">
          <cell r="C3544">
            <v>208489</v>
          </cell>
          <cell r="D3544" t="str">
            <v>NU.OR 309</v>
          </cell>
        </row>
        <row r="3545">
          <cell r="C3545">
            <v>309489</v>
          </cell>
          <cell r="D3545" t="str">
            <v>NU.MCG 309</v>
          </cell>
        </row>
        <row r="3546">
          <cell r="C3546">
            <v>511998</v>
          </cell>
          <cell r="D3546" t="str">
            <v>RO 14X14</v>
          </cell>
        </row>
        <row r="3547">
          <cell r="C3547">
            <v>208489</v>
          </cell>
          <cell r="D3547" t="str">
            <v>NU.OR 309</v>
          </cell>
        </row>
        <row r="3548">
          <cell r="C3548">
            <v>309489</v>
          </cell>
          <cell r="D3548" t="str">
            <v>NU.MCG 309</v>
          </cell>
        </row>
        <row r="3549">
          <cell r="C3549">
            <v>511998</v>
          </cell>
          <cell r="D3549" t="str">
            <v>RO 14X14</v>
          </cell>
        </row>
        <row r="3550">
          <cell r="C3550">
            <v>104489</v>
          </cell>
          <cell r="D3550" t="str">
            <v>NU.IR 309</v>
          </cell>
        </row>
        <row r="3551">
          <cell r="C3551">
            <v>104489</v>
          </cell>
          <cell r="D3551" t="str">
            <v>NU.IR 309</v>
          </cell>
        </row>
        <row r="3552">
          <cell r="C3552">
            <v>208489</v>
          </cell>
          <cell r="D3552" t="str">
            <v>NU.OR 309</v>
          </cell>
        </row>
        <row r="3553">
          <cell r="C3553">
            <v>309489</v>
          </cell>
          <cell r="D3553" t="str">
            <v>NU.MCG 309</v>
          </cell>
        </row>
        <row r="3554">
          <cell r="C3554">
            <v>511998</v>
          </cell>
          <cell r="D3554" t="str">
            <v>RO 14X14</v>
          </cell>
        </row>
        <row r="3555">
          <cell r="C3555">
            <v>104490</v>
          </cell>
          <cell r="D3555" t="str">
            <v>NU.IR 305</v>
          </cell>
        </row>
        <row r="3556">
          <cell r="C3556">
            <v>208490</v>
          </cell>
          <cell r="D3556" t="str">
            <v>NU.OR 305</v>
          </cell>
        </row>
        <row r="3557">
          <cell r="C3557">
            <v>309490</v>
          </cell>
          <cell r="D3557" t="str">
            <v>NU.MCG 305</v>
          </cell>
        </row>
        <row r="3558">
          <cell r="C3558">
            <v>511997</v>
          </cell>
          <cell r="D3558" t="str">
            <v>RO 9X11</v>
          </cell>
        </row>
        <row r="3559">
          <cell r="C3559">
            <v>913002</v>
          </cell>
          <cell r="D3559" t="str">
            <v>Box 75x30x75</v>
          </cell>
        </row>
        <row r="3560">
          <cell r="C3560">
            <v>104491</v>
          </cell>
          <cell r="D3560" t="str">
            <v>NU.IR 205</v>
          </cell>
        </row>
        <row r="3561">
          <cell r="C3561">
            <v>208491</v>
          </cell>
          <cell r="D3561" t="str">
            <v>NU.OR 205</v>
          </cell>
        </row>
        <row r="3562">
          <cell r="C3562">
            <v>309491</v>
          </cell>
          <cell r="D3562" t="str">
            <v>NU.MCG 205</v>
          </cell>
        </row>
        <row r="3563">
          <cell r="C3563">
            <v>913002</v>
          </cell>
          <cell r="D3563" t="str">
            <v>Box 75x30x75</v>
          </cell>
        </row>
        <row r="3564">
          <cell r="C3564">
            <v>104492</v>
          </cell>
          <cell r="D3564" t="str">
            <v>N.IR 305</v>
          </cell>
        </row>
        <row r="3565">
          <cell r="C3565">
            <v>208492</v>
          </cell>
          <cell r="D3565" t="str">
            <v>N.OR 305</v>
          </cell>
        </row>
        <row r="3566">
          <cell r="C3566">
            <v>309492</v>
          </cell>
          <cell r="D3566" t="str">
            <v>N.MCG 305</v>
          </cell>
        </row>
        <row r="3567">
          <cell r="C3567">
            <v>511992</v>
          </cell>
          <cell r="D3567" t="str">
            <v>RO 9X9</v>
          </cell>
        </row>
        <row r="3568">
          <cell r="C3568">
            <v>104493</v>
          </cell>
          <cell r="D3568" t="str">
            <v>N.IR 205</v>
          </cell>
        </row>
        <row r="3569">
          <cell r="C3569">
            <v>208493</v>
          </cell>
          <cell r="D3569" t="str">
            <v>N.OR 205</v>
          </cell>
        </row>
        <row r="3570">
          <cell r="C3570">
            <v>309493</v>
          </cell>
          <cell r="D3570" t="str">
            <v>N.MCG 205</v>
          </cell>
        </row>
        <row r="3571">
          <cell r="C3571">
            <v>511493</v>
          </cell>
          <cell r="D3571" t="str">
            <v>RO 6.5X6.5</v>
          </cell>
        </row>
        <row r="3572">
          <cell r="C3572">
            <v>208161</v>
          </cell>
          <cell r="D3572" t="str">
            <v>BR.OR 32[P]19</v>
          </cell>
        </row>
        <row r="3573">
          <cell r="C3573">
            <v>309040</v>
          </cell>
          <cell r="D3573" t="str">
            <v>BR.NCG 3222</v>
          </cell>
        </row>
        <row r="3574">
          <cell r="C3574">
            <v>511040</v>
          </cell>
          <cell r="D3574" t="str">
            <v>RO 2X11.8</v>
          </cell>
        </row>
        <row r="3575">
          <cell r="C3575">
            <v>612040.4</v>
          </cell>
          <cell r="D3575" t="str">
            <v>BR.N 3200 LMW</v>
          </cell>
        </row>
        <row r="3576">
          <cell r="C3576">
            <v>818150</v>
          </cell>
          <cell r="D3576" t="str">
            <v>3 mm Pin (BR 28[P]16)</v>
          </cell>
        </row>
        <row r="3577">
          <cell r="C3577">
            <v>208495</v>
          </cell>
          <cell r="D3577" t="str">
            <v>NB.OR 3230</v>
          </cell>
        </row>
        <row r="3578">
          <cell r="C3578">
            <v>309495</v>
          </cell>
          <cell r="D3578" t="str">
            <v>NB.MCG 3230</v>
          </cell>
        </row>
        <row r="3579">
          <cell r="C3579">
            <v>4495</v>
          </cell>
        </row>
        <row r="3580">
          <cell r="C3580">
            <v>104496</v>
          </cell>
          <cell r="D3580" t="str">
            <v>NJ.IR 211</v>
          </cell>
        </row>
        <row r="3581">
          <cell r="C3581">
            <v>208496</v>
          </cell>
          <cell r="D3581" t="str">
            <v>NJ.OR 211</v>
          </cell>
        </row>
        <row r="3582">
          <cell r="C3582">
            <v>309496</v>
          </cell>
          <cell r="D3582" t="str">
            <v>NJ.MCG 211</v>
          </cell>
        </row>
        <row r="3583">
          <cell r="C3583">
            <v>511475</v>
          </cell>
          <cell r="D3583" t="str">
            <v>RO 11X11 BPM</v>
          </cell>
        </row>
        <row r="3584">
          <cell r="C3584">
            <v>208497</v>
          </cell>
          <cell r="D3584" t="str">
            <v>NB.OR 95076             F</v>
          </cell>
        </row>
        <row r="3585">
          <cell r="C3585">
            <v>309497</v>
          </cell>
          <cell r="D3585" t="str">
            <v>NB.MCG 95076</v>
          </cell>
        </row>
        <row r="3586">
          <cell r="C3586">
            <v>511436</v>
          </cell>
          <cell r="D3586" t="str">
            <v>RO 4X15.8 (CRA)</v>
          </cell>
        </row>
        <row r="3587">
          <cell r="C3587">
            <v>5221247.0199999996</v>
          </cell>
          <cell r="D3587" t="str">
            <v>O G VEEDOL SPICLE VB GRE.</v>
          </cell>
        </row>
        <row r="3588">
          <cell r="C3588">
            <v>913074</v>
          </cell>
          <cell r="D3588" t="str">
            <v>BOX R.P.C 68X150MM</v>
          </cell>
        </row>
        <row r="3589">
          <cell r="C3589">
            <v>208497.01</v>
          </cell>
          <cell r="D3589" t="str">
            <v>NB.OR 95076 TN</v>
          </cell>
        </row>
        <row r="3590">
          <cell r="C3590">
            <v>309497.01</v>
          </cell>
          <cell r="D3590" t="str">
            <v>NB.NCG 95076</v>
          </cell>
        </row>
        <row r="3591">
          <cell r="C3591">
            <v>511436</v>
          </cell>
          <cell r="D3591" t="str">
            <v>RO 4X15.8 (CRA)</v>
          </cell>
        </row>
        <row r="3592">
          <cell r="C3592">
            <v>5221247.0199999996</v>
          </cell>
          <cell r="D3592" t="str">
            <v>O G VEEDOL SPICLE VB GRE.</v>
          </cell>
        </row>
        <row r="3593">
          <cell r="C3593">
            <v>913074</v>
          </cell>
          <cell r="D3593" t="str">
            <v>BOX R.P.C 68X150MM</v>
          </cell>
        </row>
        <row r="3594">
          <cell r="C3594">
            <v>200497.11</v>
          </cell>
          <cell r="D3594" t="str">
            <v>OR.MNA6718G</v>
          </cell>
        </row>
        <row r="3595">
          <cell r="C3595">
            <v>300497.11</v>
          </cell>
          <cell r="D3595" t="str">
            <v>MCG.MNA6718G</v>
          </cell>
        </row>
        <row r="3596">
          <cell r="C3596">
            <v>500497.11</v>
          </cell>
          <cell r="D3596" t="str">
            <v>RO 5X15.862 BP</v>
          </cell>
        </row>
        <row r="3597">
          <cell r="C3597">
            <v>5221247.0199999996</v>
          </cell>
          <cell r="D3597" t="str">
            <v>O G VEEDOL SPICLE VB GRE.</v>
          </cell>
        </row>
        <row r="3598">
          <cell r="C3598">
            <v>200497.2</v>
          </cell>
          <cell r="D3598" t="str">
            <v>WE.OR 015</v>
          </cell>
        </row>
        <row r="3599">
          <cell r="C3599">
            <v>104164</v>
          </cell>
          <cell r="D3599" t="str">
            <v>BR.IR 32[P]19(26)</v>
          </cell>
        </row>
        <row r="3600">
          <cell r="C3600">
            <v>208161</v>
          </cell>
          <cell r="D3600" t="str">
            <v>BR.OR 32[P]19</v>
          </cell>
        </row>
        <row r="3601">
          <cell r="C3601">
            <v>309040</v>
          </cell>
          <cell r="D3601" t="str">
            <v>BR.NCG 3222</v>
          </cell>
        </row>
        <row r="3602">
          <cell r="C3602">
            <v>104500.01</v>
          </cell>
          <cell r="D3602" t="str">
            <v>BRI.IR 61812(61012)</v>
          </cell>
        </row>
        <row r="3603">
          <cell r="C3603">
            <v>208500.01</v>
          </cell>
          <cell r="D3603" t="str">
            <v>BRI.OR 61812(BR 101812)</v>
          </cell>
        </row>
        <row r="3604">
          <cell r="C3604">
            <v>309500.01</v>
          </cell>
          <cell r="D3604" t="str">
            <v>BRI.MCG 61812(BR 101812)</v>
          </cell>
        </row>
        <row r="3605">
          <cell r="C3605">
            <v>511502.01</v>
          </cell>
          <cell r="D3605" t="str">
            <v>RO 3.5X14.8</v>
          </cell>
        </row>
        <row r="3606">
          <cell r="C3606">
            <v>208500.01</v>
          </cell>
          <cell r="D3606" t="str">
            <v>BRI.OR 61812(BR 101812)</v>
          </cell>
        </row>
        <row r="3607">
          <cell r="C3607">
            <v>309500.01</v>
          </cell>
          <cell r="D3607" t="str">
            <v>BRI.MCG 61812(BR 101812)</v>
          </cell>
        </row>
        <row r="3608">
          <cell r="C3608">
            <v>511502.01</v>
          </cell>
          <cell r="D3608" t="str">
            <v>RO 3.5X14.8</v>
          </cell>
        </row>
        <row r="3609">
          <cell r="C3609">
            <v>913016</v>
          </cell>
          <cell r="D3609" t="str">
            <v>Box 250x40x50</v>
          </cell>
        </row>
        <row r="3610">
          <cell r="C3610">
            <v>104500.01</v>
          </cell>
          <cell r="D3610" t="str">
            <v>BRI.IR 61812(61012)</v>
          </cell>
        </row>
        <row r="3611">
          <cell r="C3611">
            <v>4501.01</v>
          </cell>
        </row>
        <row r="3612">
          <cell r="C3612">
            <v>8501.01</v>
          </cell>
        </row>
        <row r="3613">
          <cell r="C3613">
            <v>9501.01</v>
          </cell>
        </row>
        <row r="3614">
          <cell r="C3614">
            <v>8501.01</v>
          </cell>
        </row>
        <row r="3615">
          <cell r="C3615">
            <v>9501.01</v>
          </cell>
        </row>
        <row r="3616">
          <cell r="C3616">
            <v>4501.01</v>
          </cell>
        </row>
        <row r="3617">
          <cell r="C3617">
            <v>104502.01</v>
          </cell>
          <cell r="D3617" t="str">
            <v>BRI.IR 82012(IR 122012)</v>
          </cell>
        </row>
        <row r="3618">
          <cell r="C3618">
            <v>208502.01</v>
          </cell>
          <cell r="D3618" t="str">
            <v>BRI.OR 82012(BR 122012)</v>
          </cell>
        </row>
        <row r="3619">
          <cell r="C3619">
            <v>309502.01</v>
          </cell>
          <cell r="D3619" t="str">
            <v>BRI.MCG 82012(BR 122012)</v>
          </cell>
        </row>
        <row r="3620">
          <cell r="C3620">
            <v>511502.01</v>
          </cell>
          <cell r="D3620" t="str">
            <v>RO 3.5X14.8</v>
          </cell>
        </row>
        <row r="3621">
          <cell r="C3621">
            <v>208502.01</v>
          </cell>
          <cell r="D3621" t="str">
            <v>BRI.OR 82012(BR 122012)</v>
          </cell>
        </row>
        <row r="3622">
          <cell r="C3622">
            <v>309502.01</v>
          </cell>
          <cell r="D3622" t="str">
            <v>BRI.MCG 82012(BR 122012)</v>
          </cell>
        </row>
        <row r="3623">
          <cell r="C3623">
            <v>511502.01</v>
          </cell>
          <cell r="D3623" t="str">
            <v>RO 3.5X14.8</v>
          </cell>
        </row>
        <row r="3624">
          <cell r="C3624">
            <v>913016</v>
          </cell>
          <cell r="D3624" t="str">
            <v>Box 250x40x50</v>
          </cell>
        </row>
        <row r="3625">
          <cell r="C3625">
            <v>104502.01</v>
          </cell>
          <cell r="D3625" t="str">
            <v>BRI.IR 82012(IR 122012)</v>
          </cell>
        </row>
        <row r="3626">
          <cell r="C3626">
            <v>4503.01</v>
          </cell>
        </row>
        <row r="3627">
          <cell r="C3627">
            <v>8503.01</v>
          </cell>
        </row>
        <row r="3628">
          <cell r="C3628">
            <v>9503.01</v>
          </cell>
        </row>
        <row r="3629">
          <cell r="C3629">
            <v>8503.01</v>
          </cell>
        </row>
        <row r="3630">
          <cell r="C3630">
            <v>9503.01</v>
          </cell>
        </row>
        <row r="3631">
          <cell r="C3631">
            <v>4503.01</v>
          </cell>
        </row>
        <row r="3632">
          <cell r="C3632">
            <v>104504.01</v>
          </cell>
          <cell r="D3632" t="str">
            <v>BRI.IR 102212(IR 142212)</v>
          </cell>
        </row>
        <row r="3633">
          <cell r="C3633">
            <v>208504.01</v>
          </cell>
          <cell r="D3633" t="str">
            <v>BRI.OR 102212(BR 142212)</v>
          </cell>
        </row>
        <row r="3634">
          <cell r="C3634">
            <v>309504.01</v>
          </cell>
          <cell r="D3634" t="str">
            <v>BRI.MCG 102212(142212)</v>
          </cell>
        </row>
        <row r="3635">
          <cell r="C3635">
            <v>511504.01</v>
          </cell>
          <cell r="D3635" t="str">
            <v>RO 4X14.8</v>
          </cell>
        </row>
        <row r="3636">
          <cell r="C3636">
            <v>913016</v>
          </cell>
          <cell r="D3636" t="str">
            <v>Box 250x40x50</v>
          </cell>
        </row>
        <row r="3637">
          <cell r="C3637">
            <v>208504.01</v>
          </cell>
          <cell r="D3637" t="str">
            <v>BRI.OR 102212(BR 142212)</v>
          </cell>
        </row>
        <row r="3638">
          <cell r="C3638">
            <v>309504.01</v>
          </cell>
          <cell r="D3638" t="str">
            <v>BRI.MCG 102212(142212)</v>
          </cell>
        </row>
        <row r="3639">
          <cell r="C3639">
            <v>511504.01</v>
          </cell>
          <cell r="D3639" t="str">
            <v>RO 4X14.8</v>
          </cell>
        </row>
        <row r="3640">
          <cell r="C3640">
            <v>913016</v>
          </cell>
          <cell r="D3640" t="str">
            <v>Box 250x40x50</v>
          </cell>
        </row>
        <row r="3641">
          <cell r="C3641">
            <v>104504.01</v>
          </cell>
          <cell r="D3641" t="str">
            <v>BRI.IR 102212(IR 142212)</v>
          </cell>
        </row>
        <row r="3642">
          <cell r="C3642">
            <v>104505.01</v>
          </cell>
          <cell r="D3642" t="str">
            <v>BRI.IR 102216(IR 142216)</v>
          </cell>
        </row>
        <row r="3643">
          <cell r="C3643">
            <v>208505.01</v>
          </cell>
          <cell r="D3643" t="str">
            <v>BRI.OR 102216(BR 142216)</v>
          </cell>
        </row>
        <row r="3644">
          <cell r="C3644">
            <v>309505.01</v>
          </cell>
          <cell r="D3644" t="str">
            <v>BRI.MCG 102216(142216)</v>
          </cell>
        </row>
        <row r="3645">
          <cell r="C3645">
            <v>511282.01</v>
          </cell>
          <cell r="D3645" t="str">
            <v>RO 4X19.8</v>
          </cell>
        </row>
        <row r="3646">
          <cell r="C3646">
            <v>208505.01</v>
          </cell>
          <cell r="D3646" t="str">
            <v>BRI.OR 102216(BR 142216)</v>
          </cell>
        </row>
        <row r="3647">
          <cell r="C3647">
            <v>309505.01</v>
          </cell>
          <cell r="D3647" t="str">
            <v>BRI.MCG 102216(142216)</v>
          </cell>
        </row>
        <row r="3648">
          <cell r="C3648">
            <v>511282.01</v>
          </cell>
          <cell r="D3648" t="str">
            <v>RO 4X19.8</v>
          </cell>
        </row>
        <row r="3649">
          <cell r="C3649">
            <v>913010</v>
          </cell>
          <cell r="D3649" t="str">
            <v>Box 150x40x50</v>
          </cell>
        </row>
        <row r="3650">
          <cell r="C3650">
            <v>104505.01</v>
          </cell>
          <cell r="D3650" t="str">
            <v>BRI.IR 102216(IR 142216)</v>
          </cell>
        </row>
        <row r="3651">
          <cell r="C3651">
            <v>104506.01</v>
          </cell>
          <cell r="D3651" t="str">
            <v>BRI.IR 122412</v>
          </cell>
        </row>
        <row r="3652">
          <cell r="C3652">
            <v>208506.01</v>
          </cell>
          <cell r="D3652" t="str">
            <v>BRI.OR 122412(BR 162412)</v>
          </cell>
        </row>
        <row r="3653">
          <cell r="C3653">
            <v>309506.01</v>
          </cell>
          <cell r="D3653" t="str">
            <v>BRI.MCG 122412(BR 162412)</v>
          </cell>
        </row>
        <row r="3654">
          <cell r="C3654">
            <v>511504.01</v>
          </cell>
          <cell r="D3654" t="str">
            <v>RO 4X14.8</v>
          </cell>
        </row>
        <row r="3655">
          <cell r="C3655">
            <v>913010</v>
          </cell>
          <cell r="D3655" t="str">
            <v>Box 150x40x50</v>
          </cell>
        </row>
        <row r="3656">
          <cell r="C3656">
            <v>208506.01</v>
          </cell>
          <cell r="D3656" t="str">
            <v>BRI.OR 122412(BR 162412)</v>
          </cell>
        </row>
        <row r="3657">
          <cell r="C3657">
            <v>309506.01</v>
          </cell>
          <cell r="D3657" t="str">
            <v>BRI.MCG 122412(BR 162412)</v>
          </cell>
        </row>
        <row r="3658">
          <cell r="C3658">
            <v>511504.01</v>
          </cell>
          <cell r="D3658" t="str">
            <v>RO 4X14.8</v>
          </cell>
        </row>
        <row r="3659">
          <cell r="C3659">
            <v>913010</v>
          </cell>
          <cell r="D3659" t="str">
            <v>Box 150x40x50</v>
          </cell>
        </row>
        <row r="3660">
          <cell r="C3660">
            <v>104506.01</v>
          </cell>
          <cell r="D3660" t="str">
            <v>BRI.IR 122412</v>
          </cell>
        </row>
        <row r="3661">
          <cell r="C3661">
            <v>104507.01</v>
          </cell>
          <cell r="D3661" t="str">
            <v>BRI.IR 122416</v>
          </cell>
        </row>
        <row r="3662">
          <cell r="C3662">
            <v>208507.01</v>
          </cell>
          <cell r="D3662" t="str">
            <v>BRI.OR 122416</v>
          </cell>
        </row>
        <row r="3663">
          <cell r="C3663">
            <v>309507.01</v>
          </cell>
          <cell r="D3663" t="str">
            <v>BRI.MCG 122416(BR 162416)</v>
          </cell>
        </row>
        <row r="3664">
          <cell r="C3664">
            <v>511282.01</v>
          </cell>
          <cell r="D3664" t="str">
            <v>RO 4X19.8</v>
          </cell>
        </row>
        <row r="3665">
          <cell r="C3665">
            <v>208507.01</v>
          </cell>
          <cell r="D3665" t="str">
            <v>BRI.OR 122416</v>
          </cell>
        </row>
        <row r="3666">
          <cell r="C3666">
            <v>309507.01</v>
          </cell>
          <cell r="D3666" t="str">
            <v>BRI.MCG 122416(BR 162416)</v>
          </cell>
        </row>
        <row r="3667">
          <cell r="C3667">
            <v>511282.01</v>
          </cell>
          <cell r="D3667" t="str">
            <v>RO 4X19.8</v>
          </cell>
        </row>
        <row r="3668">
          <cell r="C3668">
            <v>104507.01</v>
          </cell>
          <cell r="D3668" t="str">
            <v>BRI.IR 122416</v>
          </cell>
        </row>
        <row r="3669">
          <cell r="C3669">
            <v>100507.1</v>
          </cell>
          <cell r="D3669" t="str">
            <v>BRI.IR 122420</v>
          </cell>
        </row>
        <row r="3670">
          <cell r="C3670">
            <v>104508.01</v>
          </cell>
          <cell r="D3670" t="str">
            <v>BRI.IR 142616(IR 141816)</v>
          </cell>
        </row>
        <row r="3671">
          <cell r="C3671">
            <v>208508.01</v>
          </cell>
          <cell r="D3671" t="str">
            <v>BRI.OR 142616(BR 182616)</v>
          </cell>
        </row>
        <row r="3672">
          <cell r="C3672">
            <v>309508.01</v>
          </cell>
          <cell r="D3672" t="str">
            <v>BRI.MCG 142616(BR 182616)</v>
          </cell>
        </row>
        <row r="3673">
          <cell r="C3673">
            <v>511282.01</v>
          </cell>
          <cell r="D3673" t="str">
            <v>RO 4X19.8</v>
          </cell>
        </row>
        <row r="3674">
          <cell r="C3674">
            <v>208508.01</v>
          </cell>
          <cell r="D3674" t="str">
            <v>BRI.OR 142616(BR 182616)</v>
          </cell>
        </row>
        <row r="3675">
          <cell r="C3675">
            <v>309508.01</v>
          </cell>
          <cell r="D3675" t="str">
            <v>BRI.MCG 142616(BR 182616)</v>
          </cell>
        </row>
        <row r="3676">
          <cell r="C3676">
            <v>511282.01</v>
          </cell>
          <cell r="D3676" t="str">
            <v>RO 4X19.8</v>
          </cell>
        </row>
        <row r="3677">
          <cell r="C3677">
            <v>913006</v>
          </cell>
          <cell r="D3677" t="str">
            <v>Box 50x35x50</v>
          </cell>
        </row>
        <row r="3678">
          <cell r="C3678">
            <v>104508.01</v>
          </cell>
          <cell r="D3678" t="str">
            <v>BRI.IR 142616(IR 141816)</v>
          </cell>
        </row>
        <row r="3679">
          <cell r="C3679">
            <v>104509.01</v>
          </cell>
          <cell r="D3679" t="str">
            <v>BRI.IR 142620(IR 141820)</v>
          </cell>
        </row>
        <row r="3680">
          <cell r="C3680">
            <v>208509.01</v>
          </cell>
          <cell r="D3680" t="str">
            <v>BRI.OR 142620(BR 182620)</v>
          </cell>
        </row>
        <row r="3681">
          <cell r="C3681">
            <v>309509.01</v>
          </cell>
          <cell r="D3681" t="str">
            <v>BRI.MCG 142620(BR 182620)</v>
          </cell>
        </row>
        <row r="3682">
          <cell r="C3682">
            <v>511509.01</v>
          </cell>
          <cell r="D3682" t="str">
            <v>RO 4X25.8</v>
          </cell>
        </row>
        <row r="3683">
          <cell r="C3683">
            <v>208509.01</v>
          </cell>
          <cell r="D3683" t="str">
            <v>BRI.OR 142620(BR 182620)</v>
          </cell>
        </row>
        <row r="3684">
          <cell r="C3684">
            <v>309509.01</v>
          </cell>
          <cell r="D3684" t="str">
            <v>BRI.MCG 142620(BR 182620)</v>
          </cell>
        </row>
        <row r="3685">
          <cell r="C3685">
            <v>511509.01</v>
          </cell>
          <cell r="D3685" t="str">
            <v>RO 4X25.8</v>
          </cell>
        </row>
        <row r="3686">
          <cell r="C3686">
            <v>913006</v>
          </cell>
          <cell r="D3686" t="str">
            <v>Box 50x35x50</v>
          </cell>
        </row>
        <row r="3687">
          <cell r="C3687">
            <v>104509.01</v>
          </cell>
          <cell r="D3687" t="str">
            <v>BRI.IR 142620(IR 141820)</v>
          </cell>
        </row>
        <row r="3688">
          <cell r="C3688">
            <v>4510.01</v>
          </cell>
        </row>
        <row r="3689">
          <cell r="C3689">
            <v>8510.01</v>
          </cell>
        </row>
        <row r="3690">
          <cell r="C3690">
            <v>9510.01</v>
          </cell>
        </row>
        <row r="3691">
          <cell r="C3691">
            <v>8510.01</v>
          </cell>
        </row>
        <row r="3692">
          <cell r="C3692">
            <v>9510.01</v>
          </cell>
        </row>
        <row r="3693">
          <cell r="C3693">
            <v>4510.01</v>
          </cell>
        </row>
        <row r="3694">
          <cell r="C3694">
            <v>208511.01</v>
          </cell>
          <cell r="D3694" t="str">
            <v>BRI.OR 162816</v>
          </cell>
        </row>
        <row r="3695">
          <cell r="C3695">
            <v>309511.01</v>
          </cell>
          <cell r="D3695" t="str">
            <v>BRI.MCG 162816(BR 202816)</v>
          </cell>
        </row>
        <row r="3696">
          <cell r="C3696">
            <v>4511.01</v>
          </cell>
        </row>
        <row r="3697">
          <cell r="C3697">
            <v>511282.01</v>
          </cell>
          <cell r="D3697" t="str">
            <v>RO 4X19.8</v>
          </cell>
        </row>
        <row r="3698">
          <cell r="C3698">
            <v>208511.01</v>
          </cell>
          <cell r="D3698" t="str">
            <v>BRI.OR 162816</v>
          </cell>
        </row>
        <row r="3699">
          <cell r="C3699">
            <v>309511.01</v>
          </cell>
          <cell r="D3699" t="str">
            <v>BRI.MCG 162816(BR 202816)</v>
          </cell>
        </row>
        <row r="3700">
          <cell r="C3700">
            <v>511282.01</v>
          </cell>
          <cell r="D3700" t="str">
            <v>RO 4X19.8</v>
          </cell>
        </row>
        <row r="3701">
          <cell r="C3701">
            <v>913006</v>
          </cell>
          <cell r="D3701" t="str">
            <v>Box 50x35x50</v>
          </cell>
        </row>
        <row r="3702">
          <cell r="C3702">
            <v>104511.15</v>
          </cell>
          <cell r="D3702" t="str">
            <v>BRI.IR 162816 SP.</v>
          </cell>
        </row>
        <row r="3703">
          <cell r="C3703">
            <v>104511.15</v>
          </cell>
          <cell r="D3703" t="str">
            <v>BRI.IR 162816 SP.</v>
          </cell>
        </row>
        <row r="3704">
          <cell r="C3704">
            <v>208511.01</v>
          </cell>
          <cell r="D3704" t="str">
            <v>BRI.OR 162816</v>
          </cell>
        </row>
        <row r="3705">
          <cell r="C3705">
            <v>309511.01</v>
          </cell>
          <cell r="D3705" t="str">
            <v>BRI.MCG 162816(BR 202816)</v>
          </cell>
        </row>
        <row r="3706">
          <cell r="C3706">
            <v>511282.01</v>
          </cell>
          <cell r="D3706" t="str">
            <v>RO 4X19.8</v>
          </cell>
        </row>
        <row r="3707">
          <cell r="C3707">
            <v>913006</v>
          </cell>
          <cell r="D3707" t="str">
            <v>Box 50x35x50</v>
          </cell>
        </row>
        <row r="3708">
          <cell r="C3708">
            <v>104511.15</v>
          </cell>
          <cell r="D3708" t="str">
            <v>BRI.IR 162816 SP.</v>
          </cell>
        </row>
        <row r="3709">
          <cell r="C3709">
            <v>104512.01</v>
          </cell>
          <cell r="D3709" t="str">
            <v>BRI.IR 162820</v>
          </cell>
        </row>
        <row r="3710">
          <cell r="C3710">
            <v>208512.01</v>
          </cell>
          <cell r="D3710" t="str">
            <v>BRI.OR 162820</v>
          </cell>
        </row>
        <row r="3711">
          <cell r="C3711">
            <v>309512.01</v>
          </cell>
          <cell r="D3711" t="str">
            <v>BRI.MCG 162820</v>
          </cell>
        </row>
        <row r="3712">
          <cell r="C3712">
            <v>511509.01</v>
          </cell>
          <cell r="D3712" t="str">
            <v>RO 4X25.8</v>
          </cell>
        </row>
        <row r="3713">
          <cell r="C3713">
            <v>913006</v>
          </cell>
          <cell r="D3713" t="str">
            <v>Box 50x35x50</v>
          </cell>
        </row>
        <row r="3714">
          <cell r="C3714">
            <v>208512.01</v>
          </cell>
          <cell r="D3714" t="str">
            <v>BRI.OR 162820</v>
          </cell>
        </row>
        <row r="3715">
          <cell r="C3715">
            <v>309512.01</v>
          </cell>
          <cell r="D3715" t="str">
            <v>BRI.MCG 162820</v>
          </cell>
        </row>
        <row r="3716">
          <cell r="C3716">
            <v>511509.01</v>
          </cell>
          <cell r="D3716" t="str">
            <v>RO 4X25.8</v>
          </cell>
        </row>
        <row r="3717">
          <cell r="C3717">
            <v>913006</v>
          </cell>
          <cell r="D3717" t="str">
            <v>Box 50x35x50</v>
          </cell>
        </row>
        <row r="3718">
          <cell r="C3718">
            <v>104512.01</v>
          </cell>
          <cell r="D3718" t="str">
            <v>BRI.IR 162820</v>
          </cell>
        </row>
        <row r="3719">
          <cell r="C3719">
            <v>104513.01</v>
          </cell>
          <cell r="D3719" t="str">
            <v>BRI.IR 183016(IR 182216)</v>
          </cell>
        </row>
        <row r="3720">
          <cell r="C3720">
            <v>208513.01</v>
          </cell>
          <cell r="D3720" t="str">
            <v>BRI.OR 183016(BR 223016)</v>
          </cell>
        </row>
        <row r="3721">
          <cell r="C3721">
            <v>309513.01</v>
          </cell>
          <cell r="D3721" t="str">
            <v>BRI.MCG 183016(BR 223016)</v>
          </cell>
        </row>
        <row r="3722">
          <cell r="C3722">
            <v>511282.01</v>
          </cell>
          <cell r="D3722" t="str">
            <v>RO 4X19.8</v>
          </cell>
        </row>
        <row r="3723">
          <cell r="C3723">
            <v>913006</v>
          </cell>
          <cell r="D3723" t="str">
            <v>Box 50x35x50</v>
          </cell>
        </row>
        <row r="3724">
          <cell r="C3724">
            <v>208513.01</v>
          </cell>
          <cell r="D3724" t="str">
            <v>BRI.OR 183016(BR 223016)</v>
          </cell>
        </row>
        <row r="3725">
          <cell r="C3725">
            <v>309513.01</v>
          </cell>
          <cell r="D3725" t="str">
            <v>BRI.MCG 183016(BR 223016)</v>
          </cell>
        </row>
        <row r="3726">
          <cell r="C3726">
            <v>511282.01</v>
          </cell>
          <cell r="D3726" t="str">
            <v>RO 4X19.8</v>
          </cell>
        </row>
        <row r="3727">
          <cell r="C3727">
            <v>913006</v>
          </cell>
          <cell r="D3727" t="str">
            <v>Box 50x35x50</v>
          </cell>
        </row>
        <row r="3728">
          <cell r="C3728">
            <v>104513.01</v>
          </cell>
          <cell r="D3728" t="str">
            <v>BRI.IR 183016(IR 182216)</v>
          </cell>
        </row>
        <row r="3729">
          <cell r="C3729">
            <v>104514.01</v>
          </cell>
          <cell r="D3729" t="str">
            <v>BRI.IR 183020(IR 222220)</v>
          </cell>
        </row>
        <row r="3730">
          <cell r="C3730">
            <v>208514.01</v>
          </cell>
          <cell r="D3730" t="str">
            <v>BRI.OR 183020(IR 223020)</v>
          </cell>
        </row>
        <row r="3731">
          <cell r="C3731">
            <v>309514.01</v>
          </cell>
          <cell r="D3731" t="str">
            <v>BRI.MCG 183020(BR 223020)</v>
          </cell>
        </row>
        <row r="3732">
          <cell r="C3732">
            <v>511509.01</v>
          </cell>
          <cell r="D3732" t="str">
            <v>RO 4X25.8</v>
          </cell>
        </row>
        <row r="3733">
          <cell r="C3733">
            <v>208514.01</v>
          </cell>
          <cell r="D3733" t="str">
            <v>BRI.OR 183020(IR 223020)</v>
          </cell>
        </row>
        <row r="3734">
          <cell r="C3734">
            <v>309514.01</v>
          </cell>
          <cell r="D3734" t="str">
            <v>BRI.MCG 183020(BR 223020)</v>
          </cell>
        </row>
        <row r="3735">
          <cell r="C3735">
            <v>511509.01</v>
          </cell>
          <cell r="D3735" t="str">
            <v>RO 4X25.8</v>
          </cell>
        </row>
        <row r="3736">
          <cell r="C3736">
            <v>913006</v>
          </cell>
          <cell r="D3736" t="str">
            <v>Box 50x35x50</v>
          </cell>
        </row>
        <row r="3737">
          <cell r="C3737">
            <v>104514.01</v>
          </cell>
          <cell r="D3737" t="str">
            <v>BRI.IR 183020(IR 222220)</v>
          </cell>
        </row>
        <row r="3738">
          <cell r="C3738">
            <v>104515.01</v>
          </cell>
          <cell r="D3738" t="str">
            <v>BRI.IR 203316(IR 202416)</v>
          </cell>
        </row>
        <row r="3739">
          <cell r="C3739">
            <v>208515.01</v>
          </cell>
          <cell r="D3739" t="str">
            <v>BRI.OR 203316(BR 243316)</v>
          </cell>
        </row>
        <row r="3740">
          <cell r="C3740">
            <v>309515.01</v>
          </cell>
          <cell r="D3740" t="str">
            <v>BRI.MCG 203316(BR 243316)</v>
          </cell>
        </row>
        <row r="3741">
          <cell r="C3741">
            <v>511515.01</v>
          </cell>
          <cell r="D3741" t="str">
            <v>RO 4.5X19.8</v>
          </cell>
        </row>
        <row r="3742">
          <cell r="C3742">
            <v>208515.01</v>
          </cell>
          <cell r="D3742" t="str">
            <v>BRI.OR 203316(BR 243316)</v>
          </cell>
        </row>
        <row r="3743">
          <cell r="C3743">
            <v>309515.01</v>
          </cell>
          <cell r="D3743" t="str">
            <v>BRI.MCG 203316(BR 243316)</v>
          </cell>
        </row>
        <row r="3744">
          <cell r="C3744">
            <v>511515.01</v>
          </cell>
          <cell r="D3744" t="str">
            <v>RO 4.5X19.8</v>
          </cell>
        </row>
        <row r="3745">
          <cell r="C3745">
            <v>913006</v>
          </cell>
          <cell r="D3745" t="str">
            <v>Box 50x35x50</v>
          </cell>
        </row>
        <row r="3746">
          <cell r="C3746">
            <v>104515.01</v>
          </cell>
          <cell r="D3746" t="str">
            <v>BRI.IR 203316(IR 202416)</v>
          </cell>
        </row>
        <row r="3747">
          <cell r="C3747">
            <v>104516.01</v>
          </cell>
          <cell r="D3747" t="str">
            <v>BRI.IR 203320(IR 202420)</v>
          </cell>
        </row>
        <row r="3748">
          <cell r="C3748">
            <v>208516.01</v>
          </cell>
          <cell r="D3748" t="str">
            <v>BRI.OR 203320(BR 243320)</v>
          </cell>
        </row>
        <row r="3749">
          <cell r="C3749">
            <v>309516.01</v>
          </cell>
          <cell r="D3749" t="str">
            <v>BRI.MCG 203320(BR 243320)</v>
          </cell>
        </row>
        <row r="3750">
          <cell r="C3750">
            <v>511516.01</v>
          </cell>
          <cell r="D3750" t="str">
            <v>RO 4.5X25.8</v>
          </cell>
        </row>
        <row r="3751">
          <cell r="C3751">
            <v>208516.01</v>
          </cell>
          <cell r="D3751" t="str">
            <v>BRI.OR 203320(BR 243320)</v>
          </cell>
        </row>
        <row r="3752">
          <cell r="C3752">
            <v>309516.01</v>
          </cell>
          <cell r="D3752" t="str">
            <v>BRI.MCG 203320(BR 243320)</v>
          </cell>
        </row>
        <row r="3753">
          <cell r="C3753">
            <v>511516.01</v>
          </cell>
          <cell r="D3753" t="str">
            <v>RO 4.5X25.8</v>
          </cell>
        </row>
        <row r="3754">
          <cell r="C3754">
            <v>913006</v>
          </cell>
          <cell r="D3754" t="str">
            <v>Box 50x35x50</v>
          </cell>
        </row>
        <row r="3755">
          <cell r="C3755">
            <v>104516.01</v>
          </cell>
          <cell r="D3755" t="str">
            <v>BRI.IR 203320(IR 202420)</v>
          </cell>
        </row>
        <row r="3756">
          <cell r="C3756">
            <v>4517.01</v>
          </cell>
        </row>
        <row r="3757">
          <cell r="C3757">
            <v>511515.01</v>
          </cell>
          <cell r="D3757" t="str">
            <v>RO 4.5X19.8</v>
          </cell>
        </row>
        <row r="3758">
          <cell r="C3758">
            <v>8517.01</v>
          </cell>
        </row>
        <row r="3759">
          <cell r="C3759">
            <v>9517.01</v>
          </cell>
        </row>
        <row r="3760">
          <cell r="C3760">
            <v>511515.01</v>
          </cell>
          <cell r="D3760" t="str">
            <v>RO 4.5X19.8</v>
          </cell>
        </row>
        <row r="3761">
          <cell r="C3761">
            <v>8517.01</v>
          </cell>
        </row>
        <row r="3762">
          <cell r="C3762">
            <v>9517.01</v>
          </cell>
        </row>
        <row r="3763">
          <cell r="C3763">
            <v>4517.01</v>
          </cell>
        </row>
        <row r="3764">
          <cell r="C3764">
            <v>4518.01</v>
          </cell>
        </row>
        <row r="3765">
          <cell r="C3765">
            <v>511516.01</v>
          </cell>
          <cell r="D3765" t="str">
            <v>RO 4.5X25.8</v>
          </cell>
        </row>
        <row r="3766">
          <cell r="C3766">
            <v>8518.01</v>
          </cell>
        </row>
        <row r="3767">
          <cell r="C3767">
            <v>9518.01</v>
          </cell>
        </row>
        <row r="3768">
          <cell r="C3768">
            <v>511516.01</v>
          </cell>
          <cell r="D3768" t="str">
            <v>RO 4.5X25.8</v>
          </cell>
        </row>
        <row r="3769">
          <cell r="C3769">
            <v>8518.01</v>
          </cell>
        </row>
        <row r="3770">
          <cell r="C3770">
            <v>9518.01</v>
          </cell>
        </row>
        <row r="3771">
          <cell r="C3771">
            <v>4518.01</v>
          </cell>
        </row>
        <row r="3772">
          <cell r="C3772">
            <v>4519.01</v>
          </cell>
        </row>
        <row r="3773">
          <cell r="C3773">
            <v>511515.01</v>
          </cell>
          <cell r="D3773" t="str">
            <v>RO 4.5X19.8</v>
          </cell>
        </row>
        <row r="3774">
          <cell r="C3774">
            <v>8519.01</v>
          </cell>
        </row>
        <row r="3775">
          <cell r="C3775">
            <v>9519.01</v>
          </cell>
        </row>
        <row r="3776">
          <cell r="C3776">
            <v>511515.01</v>
          </cell>
          <cell r="D3776" t="str">
            <v>RO 4.5X19.8</v>
          </cell>
        </row>
        <row r="3777">
          <cell r="C3777">
            <v>8519.01</v>
          </cell>
        </row>
        <row r="3778">
          <cell r="C3778">
            <v>9519.01</v>
          </cell>
        </row>
        <row r="3779">
          <cell r="C3779">
            <v>4519.01</v>
          </cell>
        </row>
        <row r="3780">
          <cell r="C3780">
            <v>4520.01</v>
          </cell>
        </row>
        <row r="3781">
          <cell r="C3781">
            <v>511516.01</v>
          </cell>
          <cell r="D3781" t="str">
            <v>RO 4.5X25.8</v>
          </cell>
        </row>
        <row r="3782">
          <cell r="C3782">
            <v>8520.01</v>
          </cell>
        </row>
        <row r="3783">
          <cell r="C3783">
            <v>9520.01</v>
          </cell>
        </row>
        <row r="3784">
          <cell r="C3784">
            <v>511516.01</v>
          </cell>
          <cell r="D3784" t="str">
            <v>RO 4.5X25.8</v>
          </cell>
        </row>
        <row r="3785">
          <cell r="C3785">
            <v>8520.01</v>
          </cell>
        </row>
        <row r="3786">
          <cell r="C3786">
            <v>9520.01</v>
          </cell>
        </row>
        <row r="3787">
          <cell r="C3787">
            <v>4520.01</v>
          </cell>
        </row>
        <row r="3788">
          <cell r="C3788">
            <v>4521.01</v>
          </cell>
        </row>
        <row r="3789">
          <cell r="C3789">
            <v>8521.01</v>
          </cell>
        </row>
        <row r="3790">
          <cell r="C3790">
            <v>9521.01</v>
          </cell>
        </row>
        <row r="3791">
          <cell r="C3791">
            <v>8521.01</v>
          </cell>
        </row>
        <row r="3792">
          <cell r="C3792">
            <v>9521.01</v>
          </cell>
        </row>
        <row r="3793">
          <cell r="C3793">
            <v>4521.01</v>
          </cell>
        </row>
        <row r="3794">
          <cell r="C3794">
            <v>4522.01</v>
          </cell>
        </row>
        <row r="3795">
          <cell r="C3795">
            <v>8522.01</v>
          </cell>
        </row>
        <row r="3796">
          <cell r="C3796">
            <v>9522.01</v>
          </cell>
        </row>
        <row r="3797">
          <cell r="C3797">
            <v>8522.01</v>
          </cell>
        </row>
        <row r="3798">
          <cell r="C3798">
            <v>9522.01</v>
          </cell>
        </row>
        <row r="3799">
          <cell r="C3799">
            <v>4522.01</v>
          </cell>
        </row>
        <row r="3800">
          <cell r="C3800">
            <v>4523.01</v>
          </cell>
        </row>
        <row r="3801">
          <cell r="C3801">
            <v>8523.01</v>
          </cell>
        </row>
        <row r="3802">
          <cell r="C3802">
            <v>9523.01</v>
          </cell>
        </row>
        <row r="3803">
          <cell r="C3803">
            <v>8523.01</v>
          </cell>
        </row>
        <row r="3804">
          <cell r="C3804">
            <v>9523.01</v>
          </cell>
        </row>
        <row r="3805">
          <cell r="C3805">
            <v>4523.01</v>
          </cell>
        </row>
        <row r="3806">
          <cell r="C3806">
            <v>4524.01</v>
          </cell>
        </row>
        <row r="3807">
          <cell r="C3807">
            <v>511515.01</v>
          </cell>
          <cell r="D3807" t="str">
            <v>RO 4.5X19.8</v>
          </cell>
        </row>
        <row r="3808">
          <cell r="C3808">
            <v>8524.01</v>
          </cell>
        </row>
        <row r="3809">
          <cell r="C3809">
            <v>9524.01</v>
          </cell>
        </row>
        <row r="3810">
          <cell r="C3810">
            <v>511515.01</v>
          </cell>
          <cell r="D3810" t="str">
            <v>RO 4.5X19.8</v>
          </cell>
        </row>
        <row r="3811">
          <cell r="C3811">
            <v>8524.01</v>
          </cell>
        </row>
        <row r="3812">
          <cell r="C3812">
            <v>9524.01</v>
          </cell>
        </row>
        <row r="3813">
          <cell r="C3813">
            <v>4524.01</v>
          </cell>
        </row>
        <row r="3814">
          <cell r="C3814">
            <v>4525.01</v>
          </cell>
        </row>
        <row r="3815">
          <cell r="C3815">
            <v>511516.01</v>
          </cell>
          <cell r="D3815" t="str">
            <v>RO 4.5X25.8</v>
          </cell>
        </row>
        <row r="3816">
          <cell r="C3816">
            <v>8525.01</v>
          </cell>
        </row>
        <row r="3817">
          <cell r="C3817">
            <v>9525.01</v>
          </cell>
        </row>
        <row r="3818">
          <cell r="C3818">
            <v>511516.01</v>
          </cell>
          <cell r="D3818" t="str">
            <v>RO 4.5X25.8</v>
          </cell>
        </row>
        <row r="3819">
          <cell r="C3819">
            <v>8525.01</v>
          </cell>
        </row>
        <row r="3820">
          <cell r="C3820">
            <v>9525.01</v>
          </cell>
        </row>
        <row r="3821">
          <cell r="C3821">
            <v>4525.01</v>
          </cell>
        </row>
        <row r="3822">
          <cell r="C3822">
            <v>4526.01</v>
          </cell>
        </row>
        <row r="3823">
          <cell r="C3823">
            <v>8526.01</v>
          </cell>
        </row>
        <row r="3824">
          <cell r="C3824">
            <v>9526.01</v>
          </cell>
        </row>
        <row r="3825">
          <cell r="C3825">
            <v>8526.01</v>
          </cell>
        </row>
        <row r="3826">
          <cell r="C3826">
            <v>9526.01</v>
          </cell>
        </row>
        <row r="3827">
          <cell r="C3827">
            <v>4526.01</v>
          </cell>
        </row>
        <row r="3828">
          <cell r="C3828">
            <v>4527.01</v>
          </cell>
        </row>
        <row r="3829">
          <cell r="C3829">
            <v>8527.01</v>
          </cell>
        </row>
        <row r="3830">
          <cell r="C3830">
            <v>9527.01</v>
          </cell>
        </row>
        <row r="3831">
          <cell r="C3831">
            <v>8527.01</v>
          </cell>
        </row>
        <row r="3832">
          <cell r="C3832">
            <v>9527.01</v>
          </cell>
        </row>
        <row r="3833">
          <cell r="C3833">
            <v>4527.01</v>
          </cell>
        </row>
        <row r="3834">
          <cell r="C3834">
            <v>4528.01</v>
          </cell>
        </row>
        <row r="3835">
          <cell r="C3835">
            <v>8528.01</v>
          </cell>
        </row>
        <row r="3836">
          <cell r="C3836">
            <v>9528.01</v>
          </cell>
        </row>
        <row r="3837">
          <cell r="C3837">
            <v>8528.01</v>
          </cell>
        </row>
        <row r="3838">
          <cell r="C3838">
            <v>9528.01</v>
          </cell>
        </row>
        <row r="3839">
          <cell r="C3839">
            <v>4528.01</v>
          </cell>
        </row>
        <row r="3840">
          <cell r="C3840">
            <v>4529.01</v>
          </cell>
        </row>
        <row r="3841">
          <cell r="C3841">
            <v>8529.01</v>
          </cell>
        </row>
        <row r="3842">
          <cell r="C3842">
            <v>9529.01</v>
          </cell>
        </row>
        <row r="3843">
          <cell r="C3843">
            <v>8529.01</v>
          </cell>
        </row>
        <row r="3844">
          <cell r="C3844">
            <v>9529.01</v>
          </cell>
        </row>
        <row r="3845">
          <cell r="C3845">
            <v>4529.01</v>
          </cell>
        </row>
        <row r="3846">
          <cell r="C3846">
            <v>4530.01</v>
          </cell>
        </row>
        <row r="3847">
          <cell r="C3847">
            <v>8530.01</v>
          </cell>
        </row>
        <row r="3848">
          <cell r="C3848">
            <v>9530.01</v>
          </cell>
        </row>
        <row r="3849">
          <cell r="C3849">
            <v>8530.01</v>
          </cell>
        </row>
        <row r="3850">
          <cell r="C3850">
            <v>9530.01</v>
          </cell>
        </row>
        <row r="3851">
          <cell r="C3851">
            <v>4530.01</v>
          </cell>
        </row>
        <row r="3852">
          <cell r="C3852">
            <v>4531.01</v>
          </cell>
        </row>
        <row r="3853">
          <cell r="C3853">
            <v>8531.01</v>
          </cell>
        </row>
        <row r="3854">
          <cell r="C3854">
            <v>9531.01</v>
          </cell>
        </row>
        <row r="3855">
          <cell r="C3855">
            <v>8531.01</v>
          </cell>
        </row>
        <row r="3856">
          <cell r="C3856">
            <v>9531.01</v>
          </cell>
        </row>
        <row r="3857">
          <cell r="C3857">
            <v>4531.01</v>
          </cell>
        </row>
        <row r="3858">
          <cell r="C3858">
            <v>4532.01</v>
          </cell>
        </row>
        <row r="3859">
          <cell r="C3859">
            <v>8532.01</v>
          </cell>
        </row>
        <row r="3860">
          <cell r="C3860">
            <v>9532.01</v>
          </cell>
        </row>
        <row r="3861">
          <cell r="C3861">
            <v>8532.01</v>
          </cell>
        </row>
        <row r="3862">
          <cell r="C3862">
            <v>9532.01</v>
          </cell>
        </row>
        <row r="3863">
          <cell r="C3863">
            <v>4532.01</v>
          </cell>
        </row>
        <row r="3864">
          <cell r="C3864">
            <v>4533.01</v>
          </cell>
        </row>
        <row r="3865">
          <cell r="C3865">
            <v>8533.01</v>
          </cell>
        </row>
        <row r="3866">
          <cell r="C3866">
            <v>9533.01</v>
          </cell>
        </row>
        <row r="3867">
          <cell r="C3867">
            <v>8533.01</v>
          </cell>
        </row>
        <row r="3868">
          <cell r="C3868">
            <v>9533.01</v>
          </cell>
        </row>
        <row r="3869">
          <cell r="C3869">
            <v>4533.01</v>
          </cell>
        </row>
        <row r="3870">
          <cell r="C3870">
            <v>4534.01</v>
          </cell>
        </row>
        <row r="3871">
          <cell r="C3871">
            <v>8534.01</v>
          </cell>
        </row>
        <row r="3872">
          <cell r="C3872">
            <v>9534.01</v>
          </cell>
        </row>
        <row r="3873">
          <cell r="C3873">
            <v>8534.01</v>
          </cell>
        </row>
        <row r="3874">
          <cell r="C3874">
            <v>9534.01</v>
          </cell>
        </row>
        <row r="3875">
          <cell r="C3875">
            <v>4534.01</v>
          </cell>
        </row>
        <row r="3876">
          <cell r="C3876">
            <v>4535.01</v>
          </cell>
        </row>
        <row r="3877">
          <cell r="C3877">
            <v>8535.01</v>
          </cell>
        </row>
        <row r="3878">
          <cell r="C3878">
            <v>9535.01</v>
          </cell>
        </row>
        <row r="3879">
          <cell r="C3879">
            <v>8535.01</v>
          </cell>
        </row>
        <row r="3880">
          <cell r="C3880">
            <v>9535.01</v>
          </cell>
        </row>
        <row r="3881">
          <cell r="C3881">
            <v>4535.01</v>
          </cell>
        </row>
        <row r="3882">
          <cell r="C3882">
            <v>4536.01</v>
          </cell>
        </row>
        <row r="3883">
          <cell r="C3883">
            <v>8536.01</v>
          </cell>
        </row>
        <row r="3884">
          <cell r="C3884">
            <v>9536.01</v>
          </cell>
        </row>
        <row r="3885">
          <cell r="C3885">
            <v>8536.01</v>
          </cell>
        </row>
        <row r="3886">
          <cell r="C3886">
            <v>9536.01</v>
          </cell>
        </row>
        <row r="3887">
          <cell r="C3887">
            <v>4536.01</v>
          </cell>
        </row>
        <row r="3888">
          <cell r="C3888">
            <v>4537.01</v>
          </cell>
        </row>
        <row r="3889">
          <cell r="C3889">
            <v>8537.01</v>
          </cell>
        </row>
        <row r="3890">
          <cell r="C3890">
            <v>9537.01</v>
          </cell>
        </row>
        <row r="3891">
          <cell r="C3891">
            <v>8537.01</v>
          </cell>
        </row>
        <row r="3892">
          <cell r="C3892">
            <v>9537.01</v>
          </cell>
        </row>
        <row r="3893">
          <cell r="C3893">
            <v>4537.01</v>
          </cell>
        </row>
        <row r="3894">
          <cell r="C3894">
            <v>4538.01</v>
          </cell>
        </row>
        <row r="3895">
          <cell r="C3895">
            <v>8538.01</v>
          </cell>
        </row>
        <row r="3896">
          <cell r="C3896">
            <v>9538.01</v>
          </cell>
        </row>
        <row r="3897">
          <cell r="C3897">
            <v>8538.01</v>
          </cell>
        </row>
        <row r="3898">
          <cell r="C3898">
            <v>9538.01</v>
          </cell>
        </row>
        <row r="3899">
          <cell r="C3899">
            <v>4538.01</v>
          </cell>
        </row>
        <row r="3900">
          <cell r="C3900">
            <v>4539.01</v>
          </cell>
        </row>
        <row r="3901">
          <cell r="C3901">
            <v>8539.01</v>
          </cell>
        </row>
        <row r="3902">
          <cell r="C3902">
            <v>9539.01</v>
          </cell>
        </row>
        <row r="3903">
          <cell r="C3903">
            <v>8539.01</v>
          </cell>
        </row>
        <row r="3904">
          <cell r="C3904">
            <v>9539.01</v>
          </cell>
        </row>
        <row r="3905">
          <cell r="C3905">
            <v>4539.01</v>
          </cell>
        </row>
        <row r="3906">
          <cell r="C3906">
            <v>4540.01</v>
          </cell>
        </row>
        <row r="3907">
          <cell r="C3907">
            <v>8540.01</v>
          </cell>
        </row>
        <row r="3908">
          <cell r="C3908">
            <v>9540.01</v>
          </cell>
        </row>
        <row r="3909">
          <cell r="C3909">
            <v>8540.01</v>
          </cell>
        </row>
        <row r="3910">
          <cell r="C3910">
            <v>9540.01</v>
          </cell>
        </row>
        <row r="3911">
          <cell r="C3911">
            <v>100541.01</v>
          </cell>
          <cell r="D3911" t="str">
            <v>BA-62000 CONE</v>
          </cell>
        </row>
        <row r="3912">
          <cell r="C3912">
            <v>100541.02</v>
          </cell>
          <cell r="D3912" t="str">
            <v>BB-62000 CONE</v>
          </cell>
        </row>
        <row r="3913">
          <cell r="C3913">
            <v>200541.01</v>
          </cell>
          <cell r="D3913" t="str">
            <v>BC-62000 CUP</v>
          </cell>
        </row>
        <row r="3914">
          <cell r="C3914">
            <v>200541.02</v>
          </cell>
          <cell r="D3914" t="str">
            <v>BD-62000 CUP</v>
          </cell>
        </row>
        <row r="3915">
          <cell r="C3915">
            <v>300541.01</v>
          </cell>
          <cell r="D3915" t="str">
            <v>62000 CAGE</v>
          </cell>
        </row>
        <row r="3916">
          <cell r="C3916">
            <v>511170.1</v>
          </cell>
          <cell r="D3916" t="str">
            <v>4.762 MM (3/16") G10</v>
          </cell>
        </row>
        <row r="3917">
          <cell r="C3917">
            <v>100541.01</v>
          </cell>
          <cell r="D3917" t="str">
            <v>BA-62000 CONE</v>
          </cell>
        </row>
        <row r="3918">
          <cell r="C3918">
            <v>200541.01</v>
          </cell>
          <cell r="D3918" t="str">
            <v>BC-62000 CUP</v>
          </cell>
        </row>
        <row r="3919">
          <cell r="C3919">
            <v>300541.01</v>
          </cell>
          <cell r="D3919" t="str">
            <v>62000 CAGE</v>
          </cell>
        </row>
        <row r="3920">
          <cell r="C3920">
            <v>511170</v>
          </cell>
          <cell r="D3920" t="str">
            <v>BALL 3/16" (IS:2898-1976)</v>
          </cell>
        </row>
        <row r="3921">
          <cell r="C3921">
            <v>100541.02</v>
          </cell>
          <cell r="D3921" t="str">
            <v>BB-62000 CONE</v>
          </cell>
        </row>
        <row r="3922">
          <cell r="C3922">
            <v>200541.01</v>
          </cell>
          <cell r="D3922" t="str">
            <v>BC-62000 CUP</v>
          </cell>
        </row>
        <row r="3923">
          <cell r="C3923">
            <v>300541.01</v>
          </cell>
          <cell r="D3923" t="str">
            <v>62000 CAGE</v>
          </cell>
        </row>
        <row r="3924">
          <cell r="C3924">
            <v>511170</v>
          </cell>
          <cell r="D3924" t="str">
            <v>BALL 3/16" (IS:2898-1976)</v>
          </cell>
        </row>
        <row r="3925">
          <cell r="C3925">
            <v>100542.01</v>
          </cell>
          <cell r="D3925" t="str">
            <v>HA-63000 CONE</v>
          </cell>
        </row>
        <row r="3926">
          <cell r="C3926">
            <v>100542.02</v>
          </cell>
          <cell r="D3926" t="str">
            <v>HC-63000 CONE</v>
          </cell>
        </row>
        <row r="3927">
          <cell r="C3927">
            <v>200542.01</v>
          </cell>
          <cell r="D3927" t="str">
            <v>HB-63000 CUP</v>
          </cell>
        </row>
        <row r="3928">
          <cell r="C3928">
            <v>300542.01</v>
          </cell>
          <cell r="D3928" t="str">
            <v>63000 CAGE</v>
          </cell>
        </row>
        <row r="3929">
          <cell r="C3929">
            <v>511170.1</v>
          </cell>
          <cell r="D3929" t="str">
            <v>4.762 MM (3/16") G10</v>
          </cell>
        </row>
        <row r="3930">
          <cell r="C3930">
            <v>100542.01</v>
          </cell>
          <cell r="D3930" t="str">
            <v>HA-63000 CONE</v>
          </cell>
        </row>
        <row r="3931">
          <cell r="C3931">
            <v>200542.01</v>
          </cell>
          <cell r="D3931" t="str">
            <v>HB-63000 CUP</v>
          </cell>
        </row>
        <row r="3932">
          <cell r="C3932">
            <v>300542.01</v>
          </cell>
          <cell r="D3932" t="str">
            <v>63000 CAGE</v>
          </cell>
        </row>
        <row r="3933">
          <cell r="C3933">
            <v>511170</v>
          </cell>
          <cell r="D3933" t="str">
            <v>BALL 3/16" (IS:2898-1976)</v>
          </cell>
        </row>
        <row r="3934">
          <cell r="C3934">
            <v>100542.02</v>
          </cell>
          <cell r="D3934" t="str">
            <v>HC-63000 CONE</v>
          </cell>
        </row>
        <row r="3935">
          <cell r="C3935">
            <v>200542.01</v>
          </cell>
          <cell r="D3935" t="str">
            <v>HB-63000 CUP</v>
          </cell>
        </row>
        <row r="3936">
          <cell r="C3936">
            <v>300542.01</v>
          </cell>
          <cell r="D3936" t="str">
            <v>63000 CAGE</v>
          </cell>
        </row>
        <row r="3937">
          <cell r="C3937">
            <v>511170</v>
          </cell>
          <cell r="D3937" t="str">
            <v>BALL 3/16" (IS:2898-1976)</v>
          </cell>
        </row>
        <row r="3938">
          <cell r="C3938">
            <v>100543.01</v>
          </cell>
          <cell r="D3938" t="str">
            <v>OB-73001 CONE</v>
          </cell>
        </row>
        <row r="3939">
          <cell r="C3939">
            <v>100543.02</v>
          </cell>
          <cell r="D3939" t="str">
            <v>OC-73001 CONE</v>
          </cell>
        </row>
        <row r="3940">
          <cell r="C3940">
            <v>200543.01</v>
          </cell>
          <cell r="D3940" t="str">
            <v>OA-73001 CUP</v>
          </cell>
        </row>
        <row r="3941">
          <cell r="C3941">
            <v>300543.01</v>
          </cell>
          <cell r="D3941" t="str">
            <v>73001 CAGE</v>
          </cell>
        </row>
        <row r="3942">
          <cell r="C3942">
            <v>511182.1</v>
          </cell>
          <cell r="D3942" t="str">
            <v>6.350 MM (1/4") G10</v>
          </cell>
        </row>
        <row r="3943">
          <cell r="C3943">
            <v>100543.01</v>
          </cell>
          <cell r="D3943" t="str">
            <v>OB-73001 CONE</v>
          </cell>
        </row>
        <row r="3944">
          <cell r="C3944">
            <v>200543.01</v>
          </cell>
          <cell r="D3944" t="str">
            <v>OA-73001 CUP</v>
          </cell>
        </row>
        <row r="3945">
          <cell r="C3945">
            <v>300543.01</v>
          </cell>
          <cell r="D3945" t="str">
            <v>73001 CAGE</v>
          </cell>
        </row>
        <row r="3946">
          <cell r="C3946">
            <v>511182</v>
          </cell>
          <cell r="D3946" t="str">
            <v>BALL 1/4" (IS:2898-1976)</v>
          </cell>
        </row>
        <row r="3947">
          <cell r="C3947">
            <v>100543.02</v>
          </cell>
          <cell r="D3947" t="str">
            <v>OC-73001 CONE</v>
          </cell>
        </row>
        <row r="3948">
          <cell r="C3948">
            <v>200543.01</v>
          </cell>
          <cell r="D3948" t="str">
            <v>OA-73001 CUP</v>
          </cell>
        </row>
        <row r="3949">
          <cell r="C3949">
            <v>300543.01</v>
          </cell>
          <cell r="D3949" t="str">
            <v>73001 CAGE</v>
          </cell>
        </row>
        <row r="3950">
          <cell r="C3950">
            <v>511182</v>
          </cell>
          <cell r="D3950" t="str">
            <v>BALL 1/4" (IS:2898-1976)</v>
          </cell>
        </row>
        <row r="3951">
          <cell r="C3951">
            <v>100543.01</v>
          </cell>
          <cell r="D3951" t="str">
            <v>OB-73001 CONE</v>
          </cell>
        </row>
        <row r="3952">
          <cell r="C3952">
            <v>100543.01</v>
          </cell>
          <cell r="D3952" t="str">
            <v>OB-73001 CONE</v>
          </cell>
        </row>
        <row r="3953">
          <cell r="C3953">
            <v>100543.02</v>
          </cell>
          <cell r="D3953" t="str">
            <v>OC-73001 CONE</v>
          </cell>
        </row>
        <row r="3954">
          <cell r="C3954">
            <v>100543.02</v>
          </cell>
          <cell r="D3954" t="str">
            <v>OC-73001 CONE</v>
          </cell>
        </row>
        <row r="3955">
          <cell r="C3955">
            <v>200543.01</v>
          </cell>
          <cell r="D3955" t="str">
            <v>OA-73001 CUP</v>
          </cell>
        </row>
        <row r="3956">
          <cell r="C3956">
            <v>200543.01</v>
          </cell>
          <cell r="D3956" t="str">
            <v>OA-73001 CUP</v>
          </cell>
        </row>
        <row r="3957">
          <cell r="C3957">
            <v>300543.01</v>
          </cell>
          <cell r="D3957" t="str">
            <v>73001 CAGE</v>
          </cell>
        </row>
        <row r="3958">
          <cell r="C3958">
            <v>300543.01</v>
          </cell>
          <cell r="D3958" t="str">
            <v>73001 CAGE</v>
          </cell>
        </row>
        <row r="3959">
          <cell r="C3959">
            <v>511182.1</v>
          </cell>
          <cell r="D3959" t="str">
            <v>6.350 MM (1/4") G10</v>
          </cell>
        </row>
        <row r="3960">
          <cell r="C3960">
            <v>511182.1</v>
          </cell>
          <cell r="D3960" t="str">
            <v>6.350 MM (1/4") G10</v>
          </cell>
        </row>
        <row r="3961">
          <cell r="C3961">
            <v>100543.01</v>
          </cell>
          <cell r="D3961" t="str">
            <v>OB-73001 CONE</v>
          </cell>
        </row>
        <row r="3962">
          <cell r="C3962">
            <v>200543.01</v>
          </cell>
          <cell r="D3962" t="str">
            <v>OA-73001 CUP</v>
          </cell>
        </row>
        <row r="3963">
          <cell r="C3963">
            <v>300543.01</v>
          </cell>
          <cell r="D3963" t="str">
            <v>73001 CAGE</v>
          </cell>
        </row>
        <row r="3964">
          <cell r="C3964">
            <v>511182</v>
          </cell>
          <cell r="D3964" t="str">
            <v>BALL 1/4" (IS:2898-1976)</v>
          </cell>
        </row>
        <row r="3965">
          <cell r="C3965">
            <v>100543.02</v>
          </cell>
          <cell r="D3965" t="str">
            <v>OC-73001 CONE</v>
          </cell>
        </row>
        <row r="3966">
          <cell r="C3966">
            <v>200543.01</v>
          </cell>
          <cell r="D3966" t="str">
            <v>OA-73001 CUP</v>
          </cell>
        </row>
        <row r="3967">
          <cell r="C3967">
            <v>300543.01</v>
          </cell>
          <cell r="D3967" t="str">
            <v>73001 CAGE</v>
          </cell>
        </row>
        <row r="3968">
          <cell r="C3968">
            <v>511182</v>
          </cell>
          <cell r="D3968" t="str">
            <v>BALL 1/4" (IS:2898-1976)</v>
          </cell>
        </row>
        <row r="3969">
          <cell r="C3969">
            <v>100544.01</v>
          </cell>
          <cell r="D3969" t="str">
            <v>HD-63003 CONE</v>
          </cell>
        </row>
        <row r="3970">
          <cell r="C3970">
            <v>100544.01</v>
          </cell>
          <cell r="D3970" t="str">
            <v>HD-63003 CONE</v>
          </cell>
        </row>
        <row r="3971">
          <cell r="C3971">
            <v>100544.02</v>
          </cell>
          <cell r="D3971" t="str">
            <v>HA-63003 CONE</v>
          </cell>
        </row>
        <row r="3972">
          <cell r="C3972">
            <v>100544.02</v>
          </cell>
          <cell r="D3972" t="str">
            <v>HA-63003 CONE</v>
          </cell>
        </row>
        <row r="3973">
          <cell r="C3973">
            <v>200544.01</v>
          </cell>
          <cell r="D3973" t="str">
            <v>HC-63003 CUP</v>
          </cell>
        </row>
        <row r="3974">
          <cell r="C3974">
            <v>200544.01</v>
          </cell>
          <cell r="D3974" t="str">
            <v>HC-63003 CUP</v>
          </cell>
        </row>
        <row r="3975">
          <cell r="C3975">
            <v>200544.02</v>
          </cell>
          <cell r="D3975" t="str">
            <v>HB-63003 CUP</v>
          </cell>
        </row>
        <row r="3976">
          <cell r="C3976">
            <v>200544.02</v>
          </cell>
          <cell r="D3976" t="str">
            <v>HB-63003 CUP</v>
          </cell>
        </row>
        <row r="3977">
          <cell r="C3977">
            <v>300544.01</v>
          </cell>
          <cell r="D3977" t="str">
            <v>HD/HC-63003 CAGE</v>
          </cell>
        </row>
        <row r="3978">
          <cell r="C3978">
            <v>300544.01</v>
          </cell>
          <cell r="D3978" t="str">
            <v>HD/HC-63003 CAGE</v>
          </cell>
        </row>
        <row r="3979">
          <cell r="C3979">
            <v>300544.02</v>
          </cell>
          <cell r="D3979" t="str">
            <v>HA/HB-63003 CAGE</v>
          </cell>
        </row>
        <row r="3980">
          <cell r="C3980">
            <v>300544.02</v>
          </cell>
          <cell r="D3980" t="str">
            <v>HA/HB-63003 CAGE</v>
          </cell>
        </row>
        <row r="3981">
          <cell r="C3981">
            <v>511182.1</v>
          </cell>
          <cell r="D3981" t="str">
            <v>6.350 MM (1/4") G10</v>
          </cell>
        </row>
        <row r="3982">
          <cell r="C3982">
            <v>511182.1</v>
          </cell>
          <cell r="D3982" t="str">
            <v>6.350 MM (1/4") G10</v>
          </cell>
        </row>
        <row r="3983">
          <cell r="C3983">
            <v>511187.1</v>
          </cell>
          <cell r="D3983" t="str">
            <v>3.969 MM (5/32") G10</v>
          </cell>
        </row>
        <row r="3984">
          <cell r="C3984">
            <v>511187.1</v>
          </cell>
          <cell r="D3984" t="str">
            <v>3.969 MM (5/32") G10</v>
          </cell>
        </row>
        <row r="3985">
          <cell r="C3985">
            <v>100544.01</v>
          </cell>
          <cell r="D3985" t="str">
            <v>HD-63003 CONE</v>
          </cell>
        </row>
        <row r="3986">
          <cell r="C3986">
            <v>200544.01</v>
          </cell>
          <cell r="D3986" t="str">
            <v>HC-63003 CUP</v>
          </cell>
        </row>
        <row r="3987">
          <cell r="C3987">
            <v>300544.01</v>
          </cell>
          <cell r="D3987" t="str">
            <v>HD/HC-63003 CAGE</v>
          </cell>
        </row>
        <row r="3988">
          <cell r="C3988">
            <v>511187</v>
          </cell>
          <cell r="D3988" t="str">
            <v>BALL 05/32"(IS:2898-1976)</v>
          </cell>
        </row>
        <row r="3989">
          <cell r="C3989">
            <v>100544.02</v>
          </cell>
          <cell r="D3989" t="str">
            <v>HA-63003 CONE</v>
          </cell>
        </row>
        <row r="3990">
          <cell r="C3990">
            <v>200544.02</v>
          </cell>
          <cell r="D3990" t="str">
            <v>HB-63003 CUP</v>
          </cell>
        </row>
        <row r="3991">
          <cell r="C3991">
            <v>300544.02</v>
          </cell>
          <cell r="D3991" t="str">
            <v>HA/HB-63003 CAGE</v>
          </cell>
        </row>
        <row r="3992">
          <cell r="C3992">
            <v>511182</v>
          </cell>
          <cell r="D3992" t="str">
            <v>BALL 1/4" (IS:2898-1976)</v>
          </cell>
        </row>
        <row r="3993">
          <cell r="C3993">
            <v>100544.01</v>
          </cell>
          <cell r="D3993" t="str">
            <v>HD-63003 CONE</v>
          </cell>
        </row>
        <row r="3994">
          <cell r="C3994">
            <v>100544.02</v>
          </cell>
          <cell r="D3994" t="str">
            <v>HA-63003 CONE</v>
          </cell>
        </row>
        <row r="3995">
          <cell r="C3995">
            <v>200544.01</v>
          </cell>
          <cell r="D3995" t="str">
            <v>HC-63003 CUP</v>
          </cell>
        </row>
        <row r="3996">
          <cell r="C3996">
            <v>200544.02</v>
          </cell>
          <cell r="D3996" t="str">
            <v>HB-63003 CUP</v>
          </cell>
        </row>
        <row r="3997">
          <cell r="C3997">
            <v>300544.02</v>
          </cell>
          <cell r="D3997" t="str">
            <v>HA/HB-63003 CAGE</v>
          </cell>
        </row>
        <row r="3998">
          <cell r="C3998">
            <v>300544.51</v>
          </cell>
          <cell r="D3998" t="str">
            <v>HD/HC-63003 CAGE   21 PCO</v>
          </cell>
        </row>
        <row r="3999">
          <cell r="C3999">
            <v>511182</v>
          </cell>
          <cell r="D3999" t="str">
            <v>BALL 1/4" (IS:2898-1976)</v>
          </cell>
        </row>
        <row r="4000">
          <cell r="C4000">
            <v>511187</v>
          </cell>
          <cell r="D4000" t="str">
            <v>BALL 05/32"(IS:2898-1976)</v>
          </cell>
        </row>
        <row r="4001">
          <cell r="C4001">
            <v>100544.01</v>
          </cell>
          <cell r="D4001" t="str">
            <v>HD-63003 CONE</v>
          </cell>
        </row>
        <row r="4002">
          <cell r="C4002">
            <v>200544.01</v>
          </cell>
          <cell r="D4002" t="str">
            <v>HC-63003 CUP</v>
          </cell>
        </row>
        <row r="4003">
          <cell r="C4003">
            <v>300544.51</v>
          </cell>
          <cell r="D4003" t="str">
            <v>HD/HC-63003 CAGE   21 PCO</v>
          </cell>
        </row>
        <row r="4004">
          <cell r="C4004">
            <v>511187</v>
          </cell>
          <cell r="D4004" t="str">
            <v>BALL 05/32"(IS:2898-1976)</v>
          </cell>
        </row>
        <row r="4005">
          <cell r="C4005">
            <v>100545.01</v>
          </cell>
          <cell r="D4005" t="str">
            <v>YA-66000 CONE</v>
          </cell>
        </row>
        <row r="4006">
          <cell r="C4006">
            <v>100545.02</v>
          </cell>
          <cell r="D4006" t="str">
            <v>YC-66000 CONE</v>
          </cell>
        </row>
        <row r="4007">
          <cell r="C4007">
            <v>200545.01</v>
          </cell>
          <cell r="D4007" t="str">
            <v>YB-66000 CUP</v>
          </cell>
        </row>
        <row r="4008">
          <cell r="C4008">
            <v>200545.02</v>
          </cell>
          <cell r="D4008" t="str">
            <v>YD-66000 CUP</v>
          </cell>
        </row>
        <row r="4009">
          <cell r="C4009">
            <v>300545.01</v>
          </cell>
          <cell r="D4009" t="str">
            <v>YA/YB-66000 CAGE</v>
          </cell>
        </row>
        <row r="4010">
          <cell r="C4010">
            <v>300545.02</v>
          </cell>
          <cell r="D4010" t="str">
            <v>YC/YD-66000 CAGE</v>
          </cell>
        </row>
        <row r="4011">
          <cell r="C4011">
            <v>511170</v>
          </cell>
          <cell r="D4011" t="str">
            <v>BALL 3/16" (IS:2898-1976)</v>
          </cell>
        </row>
        <row r="4012">
          <cell r="C4012">
            <v>511182</v>
          </cell>
          <cell r="D4012" t="str">
            <v>BALL 1/4" (IS:2898-1976)</v>
          </cell>
        </row>
        <row r="4013">
          <cell r="C4013">
            <v>100545.01</v>
          </cell>
          <cell r="D4013" t="str">
            <v>YA-66000 CONE</v>
          </cell>
        </row>
        <row r="4014">
          <cell r="C4014">
            <v>200545.01</v>
          </cell>
          <cell r="D4014" t="str">
            <v>YB-66000 CUP</v>
          </cell>
        </row>
        <row r="4015">
          <cell r="C4015">
            <v>300545.01</v>
          </cell>
          <cell r="D4015" t="str">
            <v>YA/YB-66000 CAGE</v>
          </cell>
        </row>
        <row r="4016">
          <cell r="C4016">
            <v>511170</v>
          </cell>
          <cell r="D4016" t="str">
            <v>BALL 3/16" (IS:2898-1976)</v>
          </cell>
        </row>
        <row r="4017">
          <cell r="C4017">
            <v>100545.02</v>
          </cell>
          <cell r="D4017" t="str">
            <v>YC-66000 CONE</v>
          </cell>
        </row>
        <row r="4018">
          <cell r="C4018">
            <v>200545.02</v>
          </cell>
          <cell r="D4018" t="str">
            <v>YD-66000 CUP</v>
          </cell>
        </row>
        <row r="4019">
          <cell r="C4019">
            <v>300545.02</v>
          </cell>
          <cell r="D4019" t="str">
            <v>YC/YD-66000 CAGE</v>
          </cell>
        </row>
        <row r="4020">
          <cell r="C4020">
            <v>511182</v>
          </cell>
          <cell r="D4020" t="str">
            <v>BALL 1/4" (IS:2898-1976)</v>
          </cell>
        </row>
        <row r="4021">
          <cell r="C4021">
            <v>100544.01</v>
          </cell>
          <cell r="D4021" t="str">
            <v>HD-63003 CONE</v>
          </cell>
        </row>
        <row r="4022">
          <cell r="C4022">
            <v>100544.01</v>
          </cell>
          <cell r="D4022" t="str">
            <v>HD-63003 CONE</v>
          </cell>
        </row>
        <row r="4023">
          <cell r="C4023">
            <v>100544.02</v>
          </cell>
          <cell r="D4023" t="str">
            <v>HA-63003 CONE</v>
          </cell>
        </row>
        <row r="4024">
          <cell r="C4024">
            <v>100544.02</v>
          </cell>
          <cell r="D4024" t="str">
            <v>HA-63003 CONE</v>
          </cell>
        </row>
        <row r="4025">
          <cell r="C4025">
            <v>200544.01</v>
          </cell>
          <cell r="D4025" t="str">
            <v>HC-63003 CUP</v>
          </cell>
        </row>
        <row r="4026">
          <cell r="C4026">
            <v>200544.01</v>
          </cell>
          <cell r="D4026" t="str">
            <v>HC-63003 CUP</v>
          </cell>
        </row>
        <row r="4027">
          <cell r="C4027">
            <v>200544.02</v>
          </cell>
          <cell r="D4027" t="str">
            <v>HB-63003 CUP</v>
          </cell>
        </row>
        <row r="4028">
          <cell r="C4028">
            <v>200544.02</v>
          </cell>
          <cell r="D4028" t="str">
            <v>HB-63003 CUP</v>
          </cell>
        </row>
        <row r="4029">
          <cell r="C4029">
            <v>300544.01</v>
          </cell>
          <cell r="D4029" t="str">
            <v>HD/HC-63003 CAGE</v>
          </cell>
        </row>
        <row r="4030">
          <cell r="C4030">
            <v>300544.02</v>
          </cell>
          <cell r="D4030" t="str">
            <v>HA/HB-63003 CAGE</v>
          </cell>
        </row>
        <row r="4031">
          <cell r="C4031">
            <v>300544.02</v>
          </cell>
          <cell r="D4031" t="str">
            <v>HA/HB-63003 CAGE</v>
          </cell>
        </row>
        <row r="4032">
          <cell r="C4032">
            <v>300544.51</v>
          </cell>
          <cell r="D4032" t="str">
            <v>HD/HC-63003 CAGE   21 PCO</v>
          </cell>
        </row>
        <row r="4033">
          <cell r="C4033">
            <v>511182</v>
          </cell>
          <cell r="D4033" t="str">
            <v>BALL 1/4" (IS:2898-1976)</v>
          </cell>
        </row>
        <row r="4034">
          <cell r="C4034">
            <v>511182.1</v>
          </cell>
          <cell r="D4034" t="str">
            <v>6.350 MM (1/4") G10</v>
          </cell>
        </row>
        <row r="4035">
          <cell r="C4035">
            <v>511187</v>
          </cell>
          <cell r="D4035" t="str">
            <v>BALL 05/32"(IS:2898-1976)</v>
          </cell>
        </row>
        <row r="4036">
          <cell r="C4036">
            <v>511187.1</v>
          </cell>
          <cell r="D4036" t="str">
            <v>3.969 MM (5/32") G10</v>
          </cell>
        </row>
        <row r="4037">
          <cell r="C4037">
            <v>1422550</v>
          </cell>
          <cell r="D4037" t="str">
            <v>22218 MATERIAL</v>
          </cell>
        </row>
        <row r="4038">
          <cell r="C4038">
            <v>104551</v>
          </cell>
          <cell r="D4038" t="str">
            <v>IR 22205                F</v>
          </cell>
        </row>
        <row r="4039">
          <cell r="C4039">
            <v>208551</v>
          </cell>
          <cell r="D4039" t="str">
            <v>OR 22205                F</v>
          </cell>
        </row>
        <row r="4040">
          <cell r="C4040">
            <v>309551</v>
          </cell>
          <cell r="D4040" t="str">
            <v>MCG 22205</v>
          </cell>
        </row>
        <row r="4041">
          <cell r="C4041">
            <v>511551</v>
          </cell>
          <cell r="D4041" t="str">
            <v>RO 6.515X6.4(R 19.6)</v>
          </cell>
        </row>
        <row r="4042">
          <cell r="C4042">
            <v>717551</v>
          </cell>
          <cell r="D4042" t="str">
            <v>RING 22205</v>
          </cell>
        </row>
        <row r="4043">
          <cell r="C4043">
            <v>913021</v>
          </cell>
          <cell r="D4043" t="str">
            <v>Box 55X20X55</v>
          </cell>
        </row>
        <row r="4044">
          <cell r="C4044">
            <v>104551.4</v>
          </cell>
          <cell r="D4044" t="str">
            <v>IR 22205 LMW            F</v>
          </cell>
        </row>
        <row r="4045">
          <cell r="C4045">
            <v>208551.4</v>
          </cell>
          <cell r="D4045" t="str">
            <v>OR 22205 LMW            F</v>
          </cell>
        </row>
        <row r="4046">
          <cell r="C4046">
            <v>309551.40000000002</v>
          </cell>
          <cell r="D4046" t="str">
            <v>MCG 22205 LMW</v>
          </cell>
        </row>
        <row r="4047">
          <cell r="C4047">
            <v>511551.4</v>
          </cell>
          <cell r="D4047" t="str">
            <v>RO 7.8X6.9 (R 23.3)</v>
          </cell>
        </row>
        <row r="4048">
          <cell r="C4048">
            <v>104552</v>
          </cell>
          <cell r="D4048" t="str">
            <v>IR 22206                F</v>
          </cell>
        </row>
        <row r="4049">
          <cell r="C4049">
            <v>208552</v>
          </cell>
          <cell r="D4049" t="str">
            <v>OR 22206                F</v>
          </cell>
        </row>
        <row r="4050">
          <cell r="C4050">
            <v>309552</v>
          </cell>
          <cell r="D4050" t="str">
            <v>MCG 22206</v>
          </cell>
        </row>
        <row r="4051">
          <cell r="C4051">
            <v>511552</v>
          </cell>
          <cell r="D4051" t="str">
            <v>RO 8X7.2(R 26.07)</v>
          </cell>
        </row>
        <row r="4052">
          <cell r="C4052">
            <v>913022</v>
          </cell>
          <cell r="D4052" t="str">
            <v>Box 65X25X65</v>
          </cell>
        </row>
        <row r="4053">
          <cell r="C4053">
            <v>104552.01</v>
          </cell>
          <cell r="D4053" t="str">
            <v>IR 549157 D             F</v>
          </cell>
        </row>
        <row r="4054">
          <cell r="C4054">
            <v>208552</v>
          </cell>
          <cell r="D4054" t="str">
            <v>OR 22206                F</v>
          </cell>
        </row>
        <row r="4055">
          <cell r="C4055">
            <v>309552.01</v>
          </cell>
          <cell r="D4055" t="str">
            <v>NCG 549157 D</v>
          </cell>
        </row>
        <row r="4056">
          <cell r="C4056">
            <v>511552</v>
          </cell>
          <cell r="D4056" t="str">
            <v>RO 8X7.2(R 26.07)</v>
          </cell>
        </row>
        <row r="4057">
          <cell r="C4057">
            <v>913022</v>
          </cell>
          <cell r="D4057" t="str">
            <v>Box 65X25X65</v>
          </cell>
        </row>
        <row r="4058">
          <cell r="C4058">
            <v>104552.4</v>
          </cell>
          <cell r="D4058" t="str">
            <v>IR 22206(409680800)LMW  F</v>
          </cell>
        </row>
        <row r="4059">
          <cell r="C4059">
            <v>208552.4</v>
          </cell>
          <cell r="D4059" t="str">
            <v>OR 22206(409680800)LMW  F</v>
          </cell>
        </row>
        <row r="4060">
          <cell r="C4060">
            <v>309552.40000000002</v>
          </cell>
          <cell r="D4060" t="str">
            <v>MCG 22206(409680800)LMW</v>
          </cell>
        </row>
        <row r="4061">
          <cell r="C4061">
            <v>511552.4</v>
          </cell>
          <cell r="D4061" t="str">
            <v>RO 8.7X7.8(R 26.645)</v>
          </cell>
        </row>
        <row r="4062">
          <cell r="C4062">
            <v>104553</v>
          </cell>
          <cell r="D4062" t="str">
            <v>IR 22207                F</v>
          </cell>
        </row>
        <row r="4063">
          <cell r="C4063">
            <v>208553</v>
          </cell>
          <cell r="D4063" t="str">
            <v>OR 22207                F</v>
          </cell>
        </row>
        <row r="4064">
          <cell r="C4064">
            <v>309553</v>
          </cell>
          <cell r="D4064" t="str">
            <v>MCG 22207</v>
          </cell>
        </row>
        <row r="4065">
          <cell r="C4065">
            <v>511553</v>
          </cell>
          <cell r="D4065" t="str">
            <v>RO 9X8.2(R 26.665)</v>
          </cell>
        </row>
        <row r="4066">
          <cell r="C4066">
            <v>717553</v>
          </cell>
          <cell r="D4066" t="str">
            <v>RING 22207</v>
          </cell>
        </row>
        <row r="4067">
          <cell r="C4067">
            <v>913023</v>
          </cell>
          <cell r="D4067" t="str">
            <v>Box 75X25X75</v>
          </cell>
        </row>
        <row r="4068">
          <cell r="C4068">
            <v>104554</v>
          </cell>
          <cell r="D4068" t="str">
            <v>IR 22208                F</v>
          </cell>
        </row>
        <row r="4069">
          <cell r="C4069">
            <v>208554</v>
          </cell>
          <cell r="D4069" t="str">
            <v>OR 22208                F</v>
          </cell>
        </row>
        <row r="4070">
          <cell r="C4070">
            <v>309554</v>
          </cell>
          <cell r="D4070" t="str">
            <v>MCG 22208</v>
          </cell>
        </row>
        <row r="4071">
          <cell r="C4071">
            <v>511554</v>
          </cell>
          <cell r="D4071" t="str">
            <v>RO 10X8.350(R 31.330)</v>
          </cell>
        </row>
        <row r="4072">
          <cell r="C4072">
            <v>717554</v>
          </cell>
          <cell r="D4072" t="str">
            <v>RING 22208</v>
          </cell>
        </row>
        <row r="4073">
          <cell r="C4073">
            <v>913024</v>
          </cell>
          <cell r="D4073" t="str">
            <v>Box 85X25X85</v>
          </cell>
        </row>
        <row r="4074">
          <cell r="C4074">
            <v>104555</v>
          </cell>
          <cell r="D4074" t="str">
            <v>IR 22209                F</v>
          </cell>
        </row>
        <row r="4075">
          <cell r="C4075">
            <v>208555</v>
          </cell>
          <cell r="D4075" t="str">
            <v>OR 22209                F</v>
          </cell>
        </row>
        <row r="4076">
          <cell r="C4076">
            <v>309555</v>
          </cell>
          <cell r="D4076" t="str">
            <v>MCG 22209</v>
          </cell>
        </row>
        <row r="4077">
          <cell r="C4077">
            <v>511555</v>
          </cell>
          <cell r="D4077" t="str">
            <v>RO 10X8.300(R 33.000)</v>
          </cell>
        </row>
        <row r="4078">
          <cell r="C4078">
            <v>717555</v>
          </cell>
          <cell r="D4078" t="str">
            <v>RING 22209</v>
          </cell>
        </row>
        <row r="4079">
          <cell r="C4079">
            <v>913025</v>
          </cell>
          <cell r="D4079" t="str">
            <v>Box 90X30X90</v>
          </cell>
        </row>
        <row r="4080">
          <cell r="C4080">
            <v>104556</v>
          </cell>
          <cell r="D4080" t="str">
            <v>IR 22210                F</v>
          </cell>
        </row>
        <row r="4081">
          <cell r="C4081">
            <v>208556</v>
          </cell>
          <cell r="D4081" t="str">
            <v>OR 22210                F</v>
          </cell>
        </row>
        <row r="4082">
          <cell r="C4082">
            <v>309556</v>
          </cell>
          <cell r="D4082" t="str">
            <v>MCG 22210</v>
          </cell>
        </row>
        <row r="4083">
          <cell r="C4083">
            <v>511556</v>
          </cell>
          <cell r="D4083" t="str">
            <v>RO 10X8.300(R 31.000)</v>
          </cell>
        </row>
        <row r="4084">
          <cell r="C4084">
            <v>913026</v>
          </cell>
          <cell r="D4084" t="str">
            <v>Box 95X25X95</v>
          </cell>
        </row>
        <row r="4085">
          <cell r="C4085">
            <v>104557</v>
          </cell>
          <cell r="D4085" t="str">
            <v>IR 22211                F</v>
          </cell>
        </row>
        <row r="4086">
          <cell r="C4086">
            <v>208557</v>
          </cell>
          <cell r="D4086" t="str">
            <v>OR 22211                F</v>
          </cell>
        </row>
        <row r="4087">
          <cell r="C4087">
            <v>309557</v>
          </cell>
          <cell r="D4087" t="str">
            <v>MCG 22211</v>
          </cell>
        </row>
        <row r="4088">
          <cell r="C4088">
            <v>511557</v>
          </cell>
          <cell r="D4088" t="str">
            <v>RO 12.06X9.15(R 36.35)</v>
          </cell>
        </row>
        <row r="4089">
          <cell r="C4089">
            <v>717557</v>
          </cell>
          <cell r="D4089" t="str">
            <v>RING 22211</v>
          </cell>
        </row>
        <row r="4090">
          <cell r="C4090">
            <v>913027</v>
          </cell>
          <cell r="D4090" t="str">
            <v>Box 105X30X105</v>
          </cell>
        </row>
        <row r="4091">
          <cell r="C4091">
            <v>104557.01</v>
          </cell>
          <cell r="D4091" t="str">
            <v>IR 22211 K              F</v>
          </cell>
        </row>
        <row r="4092">
          <cell r="C4092">
            <v>208557</v>
          </cell>
          <cell r="D4092" t="str">
            <v>OR 22211                F</v>
          </cell>
        </row>
        <row r="4093">
          <cell r="C4093">
            <v>309557</v>
          </cell>
          <cell r="D4093" t="str">
            <v>MCG 22211</v>
          </cell>
        </row>
        <row r="4094">
          <cell r="C4094">
            <v>511557</v>
          </cell>
          <cell r="D4094" t="str">
            <v>RO 12.06X9.15(R 36.35)</v>
          </cell>
        </row>
        <row r="4095">
          <cell r="C4095">
            <v>717557</v>
          </cell>
          <cell r="D4095" t="str">
            <v>RING 22211</v>
          </cell>
        </row>
        <row r="4096">
          <cell r="C4096">
            <v>913027</v>
          </cell>
          <cell r="D4096" t="str">
            <v>Box 105X30X105</v>
          </cell>
        </row>
        <row r="4097">
          <cell r="C4097">
            <v>104557.1</v>
          </cell>
          <cell r="D4097" t="str">
            <v>IR 22211 SPL</v>
          </cell>
        </row>
        <row r="4098">
          <cell r="C4098">
            <v>208557.1</v>
          </cell>
          <cell r="D4098" t="str">
            <v>OR 22211 SPL</v>
          </cell>
        </row>
        <row r="4099">
          <cell r="C4099">
            <v>309557.09999999998</v>
          </cell>
          <cell r="D4099" t="str">
            <v>MCG 22211  SPL</v>
          </cell>
        </row>
        <row r="4100">
          <cell r="C4100">
            <v>511557.1</v>
          </cell>
          <cell r="D4100" t="str">
            <v>RO 12.3X9.9(R 45)</v>
          </cell>
        </row>
        <row r="4101">
          <cell r="C4101">
            <v>913027</v>
          </cell>
          <cell r="D4101" t="str">
            <v>Box 105X30X105</v>
          </cell>
        </row>
        <row r="4102">
          <cell r="C4102">
            <v>104557</v>
          </cell>
          <cell r="D4102" t="str">
            <v>IR 22211                F</v>
          </cell>
        </row>
        <row r="4103">
          <cell r="C4103">
            <v>208557</v>
          </cell>
          <cell r="D4103" t="str">
            <v>OR 22211                F</v>
          </cell>
        </row>
        <row r="4104">
          <cell r="C4104">
            <v>309557</v>
          </cell>
          <cell r="D4104" t="str">
            <v>MCG 22211</v>
          </cell>
        </row>
        <row r="4105">
          <cell r="C4105">
            <v>511557</v>
          </cell>
          <cell r="D4105" t="str">
            <v>RO 12.06X9.15(R 36.35)</v>
          </cell>
        </row>
        <row r="4106">
          <cell r="C4106">
            <v>717557</v>
          </cell>
          <cell r="D4106" t="str">
            <v>RING 22211</v>
          </cell>
        </row>
        <row r="4107">
          <cell r="C4107">
            <v>913027</v>
          </cell>
          <cell r="D4107" t="str">
            <v>Box 105X30X105</v>
          </cell>
        </row>
        <row r="4108">
          <cell r="C4108">
            <v>100557.31</v>
          </cell>
          <cell r="D4108" t="str">
            <v>IR.22211 MB</v>
          </cell>
        </row>
        <row r="4109">
          <cell r="C4109">
            <v>200557.31</v>
          </cell>
          <cell r="D4109" t="str">
            <v>OR.22211 MB</v>
          </cell>
        </row>
        <row r="4110">
          <cell r="C4110">
            <v>300557.31</v>
          </cell>
          <cell r="D4110" t="str">
            <v>MCG.22211 MB</v>
          </cell>
        </row>
        <row r="4111">
          <cell r="C4111">
            <v>500557.31</v>
          </cell>
          <cell r="D4111" t="str">
            <v>RO 11.5X9 R 44</v>
          </cell>
        </row>
        <row r="4112">
          <cell r="C4112">
            <v>104557.1</v>
          </cell>
          <cell r="D4112" t="str">
            <v>IR 22211 SPL</v>
          </cell>
        </row>
        <row r="4113">
          <cell r="C4113">
            <v>104557.1</v>
          </cell>
          <cell r="D4113" t="str">
            <v>IR 22211 SPL</v>
          </cell>
        </row>
        <row r="4114">
          <cell r="C4114">
            <v>208557.1</v>
          </cell>
          <cell r="D4114" t="str">
            <v>OR 22211 SPL</v>
          </cell>
        </row>
        <row r="4115">
          <cell r="C4115">
            <v>208557.1</v>
          </cell>
          <cell r="D4115" t="str">
            <v>OR 22211 SPL</v>
          </cell>
        </row>
        <row r="4116">
          <cell r="C4116">
            <v>309557.09999999998</v>
          </cell>
          <cell r="D4116" t="str">
            <v>MCG 22211  SPL</v>
          </cell>
        </row>
        <row r="4117">
          <cell r="C4117">
            <v>309557.09999999998</v>
          </cell>
          <cell r="D4117" t="str">
            <v>MCG 22211  SPL</v>
          </cell>
        </row>
        <row r="4118">
          <cell r="C4118">
            <v>511557.1</v>
          </cell>
          <cell r="D4118" t="str">
            <v>RO 12.3X9.9(R 45)</v>
          </cell>
        </row>
        <row r="4119">
          <cell r="C4119">
            <v>511557.1</v>
          </cell>
          <cell r="D4119" t="str">
            <v>RO 12.3X9.9(R 45)</v>
          </cell>
        </row>
        <row r="4120">
          <cell r="C4120">
            <v>100558</v>
          </cell>
          <cell r="D4120" t="str">
            <v>IR 22212  E/C3</v>
          </cell>
        </row>
        <row r="4121">
          <cell r="C4121">
            <v>100558</v>
          </cell>
          <cell r="D4121" t="str">
            <v>IR 22212  E/C3</v>
          </cell>
        </row>
        <row r="4122">
          <cell r="C4122">
            <v>200558</v>
          </cell>
          <cell r="D4122" t="str">
            <v>OR 22212 E/C3</v>
          </cell>
        </row>
        <row r="4123">
          <cell r="C4123">
            <v>200558</v>
          </cell>
          <cell r="D4123" t="str">
            <v>OR 22212 E/C3</v>
          </cell>
        </row>
        <row r="4124">
          <cell r="C4124">
            <v>300558</v>
          </cell>
          <cell r="D4124" t="str">
            <v>MCG 22212 E/C3</v>
          </cell>
        </row>
        <row r="4125">
          <cell r="C4125">
            <v>300558</v>
          </cell>
          <cell r="D4125" t="str">
            <v>MCG 22212 E/C3</v>
          </cell>
        </row>
        <row r="4126">
          <cell r="C4126">
            <v>500558</v>
          </cell>
          <cell r="D4126" t="str">
            <v>RO 12.6X10.3 (R 48)</v>
          </cell>
        </row>
        <row r="4127">
          <cell r="C4127">
            <v>500558</v>
          </cell>
          <cell r="D4127" t="str">
            <v>RO 12.6X10.3 (R 48)</v>
          </cell>
        </row>
        <row r="4128">
          <cell r="C4128">
            <v>100558</v>
          </cell>
          <cell r="D4128" t="str">
            <v>IR 22212  E/C3</v>
          </cell>
        </row>
        <row r="4129">
          <cell r="C4129">
            <v>200558</v>
          </cell>
          <cell r="D4129" t="str">
            <v>OR 22212 E/C3</v>
          </cell>
        </row>
        <row r="4130">
          <cell r="C4130">
            <v>300558</v>
          </cell>
          <cell r="D4130" t="str">
            <v>MCG 22212 E/C3</v>
          </cell>
        </row>
        <row r="4131">
          <cell r="C4131">
            <v>500558</v>
          </cell>
          <cell r="D4131" t="str">
            <v>RO 12.6X10.3 (R 48)</v>
          </cell>
        </row>
        <row r="4132">
          <cell r="C4132">
            <v>104559</v>
          </cell>
          <cell r="D4132" t="str">
            <v>IR 21304                F</v>
          </cell>
        </row>
        <row r="4133">
          <cell r="C4133">
            <v>208559</v>
          </cell>
          <cell r="D4133" t="str">
            <v>OR 21304                F</v>
          </cell>
        </row>
        <row r="4134">
          <cell r="C4134">
            <v>309559</v>
          </cell>
          <cell r="D4134" t="str">
            <v>MCG 21304</v>
          </cell>
        </row>
        <row r="4135">
          <cell r="C4135">
            <v>511559</v>
          </cell>
          <cell r="D4135" t="str">
            <v>RO 6.3X5(R 19)</v>
          </cell>
        </row>
        <row r="4136">
          <cell r="C4136">
            <v>717559</v>
          </cell>
          <cell r="D4136" t="str">
            <v>RING 21304</v>
          </cell>
        </row>
        <row r="4137">
          <cell r="C4137">
            <v>913021</v>
          </cell>
          <cell r="D4137" t="str">
            <v>Box 55X20X55</v>
          </cell>
        </row>
        <row r="4138">
          <cell r="C4138">
            <v>104560</v>
          </cell>
          <cell r="D4138" t="str">
            <v>IR 21305                F</v>
          </cell>
        </row>
        <row r="4139">
          <cell r="C4139">
            <v>208560</v>
          </cell>
          <cell r="D4139" t="str">
            <v>OR 21305                F</v>
          </cell>
        </row>
        <row r="4140">
          <cell r="C4140">
            <v>309560</v>
          </cell>
          <cell r="D4140" t="str">
            <v>MCG 21305</v>
          </cell>
        </row>
        <row r="4141">
          <cell r="C4141">
            <v>511560</v>
          </cell>
          <cell r="D4141" t="str">
            <v>RO 8.030X5.560(R 19.615)</v>
          </cell>
        </row>
        <row r="4142">
          <cell r="C4142">
            <v>717560</v>
          </cell>
          <cell r="D4142" t="str">
            <v>RING 21305</v>
          </cell>
        </row>
        <row r="4143">
          <cell r="C4143">
            <v>913022</v>
          </cell>
          <cell r="D4143" t="str">
            <v>Box 65X25X65</v>
          </cell>
        </row>
        <row r="4144">
          <cell r="C4144">
            <v>104561</v>
          </cell>
          <cell r="D4144" t="str">
            <v>IR 21306                F</v>
          </cell>
        </row>
        <row r="4145">
          <cell r="C4145">
            <v>208561</v>
          </cell>
          <cell r="D4145" t="str">
            <v>OR 21306                F</v>
          </cell>
        </row>
        <row r="4146">
          <cell r="C4146">
            <v>309561</v>
          </cell>
          <cell r="D4146" t="str">
            <v>MCG 21306</v>
          </cell>
        </row>
        <row r="4147">
          <cell r="C4147">
            <v>511561</v>
          </cell>
          <cell r="D4147" t="str">
            <v>RO 8.3X6.7(R 36.35)</v>
          </cell>
        </row>
        <row r="4148">
          <cell r="C4148">
            <v>717561</v>
          </cell>
          <cell r="D4148" t="str">
            <v>RING 21306</v>
          </cell>
        </row>
        <row r="4149">
          <cell r="C4149">
            <v>913023</v>
          </cell>
          <cell r="D4149" t="str">
            <v>Box 75X25X75</v>
          </cell>
        </row>
        <row r="4150">
          <cell r="C4150">
            <v>104562</v>
          </cell>
          <cell r="D4150" t="str">
            <v>IR 21307                F</v>
          </cell>
        </row>
        <row r="4151">
          <cell r="C4151">
            <v>208562</v>
          </cell>
          <cell r="D4151" t="str">
            <v>OR 21307                F</v>
          </cell>
        </row>
        <row r="4152">
          <cell r="C4152">
            <v>309562</v>
          </cell>
          <cell r="D4152" t="str">
            <v>MCG 21307</v>
          </cell>
        </row>
        <row r="4153">
          <cell r="C4153">
            <v>511562</v>
          </cell>
          <cell r="D4153" t="str">
            <v>RO 9.8X7.05(R 31.7)</v>
          </cell>
        </row>
        <row r="4154">
          <cell r="C4154">
            <v>717562</v>
          </cell>
          <cell r="D4154" t="str">
            <v>RING 21307</v>
          </cell>
        </row>
        <row r="4155">
          <cell r="C4155">
            <v>913024</v>
          </cell>
          <cell r="D4155" t="str">
            <v>Box 85X25X85</v>
          </cell>
        </row>
        <row r="4156">
          <cell r="C4156">
            <v>104563</v>
          </cell>
          <cell r="D4156" t="str">
            <v>IR 21308                F</v>
          </cell>
        </row>
        <row r="4157">
          <cell r="C4157">
            <v>208563</v>
          </cell>
          <cell r="D4157" t="str">
            <v>OR 21308                F</v>
          </cell>
        </row>
        <row r="4158">
          <cell r="C4158">
            <v>309563</v>
          </cell>
          <cell r="D4158" t="str">
            <v>MCG 21308</v>
          </cell>
        </row>
        <row r="4159">
          <cell r="C4159">
            <v>511563</v>
          </cell>
          <cell r="D4159" t="str">
            <v>RO 10X8.3(R 31.73)</v>
          </cell>
        </row>
        <row r="4160">
          <cell r="C4160">
            <v>717563</v>
          </cell>
          <cell r="D4160" t="str">
            <v>RING 21308</v>
          </cell>
        </row>
        <row r="4161">
          <cell r="C4161">
            <v>913026</v>
          </cell>
          <cell r="D4161" t="str">
            <v>Box 95X25X95</v>
          </cell>
        </row>
        <row r="4162">
          <cell r="C4162">
            <v>104564</v>
          </cell>
          <cell r="D4162" t="str">
            <v>IR 21309                F</v>
          </cell>
        </row>
        <row r="4163">
          <cell r="C4163">
            <v>208557.1</v>
          </cell>
          <cell r="D4163" t="str">
            <v>OR 22211 SPL</v>
          </cell>
        </row>
        <row r="4164">
          <cell r="C4164">
            <v>309557.09999999998</v>
          </cell>
          <cell r="D4164" t="str">
            <v>MCG 22211  SPL</v>
          </cell>
        </row>
        <row r="4165">
          <cell r="C4165">
            <v>511557.1</v>
          </cell>
          <cell r="D4165" t="str">
            <v>RO 12.3X9.9(R 45)</v>
          </cell>
        </row>
        <row r="4166">
          <cell r="C4166">
            <v>104565</v>
          </cell>
          <cell r="D4166" t="str">
            <v>IR 21310                F</v>
          </cell>
        </row>
        <row r="4167">
          <cell r="C4167">
            <v>208565</v>
          </cell>
          <cell r="D4167" t="str">
            <v>OR 21310                F</v>
          </cell>
        </row>
        <row r="4168">
          <cell r="C4168">
            <v>309565</v>
          </cell>
          <cell r="D4168" t="str">
            <v>MCG 21310</v>
          </cell>
        </row>
        <row r="4169">
          <cell r="C4169">
            <v>511565</v>
          </cell>
          <cell r="D4169" t="str">
            <v>RO 12.380X9.5(R 41.55)</v>
          </cell>
        </row>
        <row r="4170">
          <cell r="C4170">
            <v>913028</v>
          </cell>
          <cell r="D4170" t="str">
            <v>Box 115X30X115</v>
          </cell>
        </row>
        <row r="4171">
          <cell r="C4171">
            <v>104566</v>
          </cell>
          <cell r="D4171" t="str">
            <v>IR 21311                F</v>
          </cell>
        </row>
        <row r="4172">
          <cell r="C4172">
            <v>208566</v>
          </cell>
          <cell r="D4172" t="str">
            <v>OR 21311                F</v>
          </cell>
        </row>
        <row r="4173">
          <cell r="C4173">
            <v>309566</v>
          </cell>
          <cell r="D4173" t="str">
            <v>MCG 21311</v>
          </cell>
        </row>
        <row r="4174">
          <cell r="C4174">
            <v>511566</v>
          </cell>
          <cell r="D4174" t="str">
            <v>RO 12.6X10.350(R 48.250)</v>
          </cell>
        </row>
        <row r="4175">
          <cell r="C4175">
            <v>717566</v>
          </cell>
          <cell r="D4175" t="str">
            <v>RING 21311</v>
          </cell>
        </row>
        <row r="4176">
          <cell r="C4176">
            <v>104566</v>
          </cell>
          <cell r="D4176" t="str">
            <v>IR 21311                F</v>
          </cell>
        </row>
        <row r="4177">
          <cell r="C4177">
            <v>208566</v>
          </cell>
          <cell r="D4177" t="str">
            <v>OR 21311                F</v>
          </cell>
        </row>
        <row r="4178">
          <cell r="C4178">
            <v>309566</v>
          </cell>
          <cell r="D4178" t="str">
            <v>MCG 21311</v>
          </cell>
        </row>
        <row r="4179">
          <cell r="C4179">
            <v>511566</v>
          </cell>
          <cell r="D4179" t="str">
            <v>RO 12.6X10.350(R 48.250)</v>
          </cell>
        </row>
        <row r="4180">
          <cell r="C4180">
            <v>717566</v>
          </cell>
          <cell r="D4180" t="str">
            <v>RING 21311</v>
          </cell>
        </row>
        <row r="4181">
          <cell r="C4181">
            <v>104567</v>
          </cell>
          <cell r="D4181" t="str">
            <v>IR 21312                F</v>
          </cell>
        </row>
        <row r="4182">
          <cell r="C4182">
            <v>208567</v>
          </cell>
          <cell r="D4182" t="str">
            <v>OR 21312                F</v>
          </cell>
        </row>
        <row r="4183">
          <cell r="C4183">
            <v>309567</v>
          </cell>
          <cell r="D4183" t="str">
            <v>MCG 21312</v>
          </cell>
        </row>
        <row r="4184">
          <cell r="C4184">
            <v>511567</v>
          </cell>
          <cell r="D4184" t="str">
            <v>RO 14.550X11.9(R 48)</v>
          </cell>
        </row>
        <row r="4185">
          <cell r="C4185">
            <v>100568</v>
          </cell>
          <cell r="D4185" t="str">
            <v>IR.22310</v>
          </cell>
        </row>
        <row r="4186">
          <cell r="C4186">
            <v>200568</v>
          </cell>
          <cell r="D4186" t="str">
            <v>OR.22310</v>
          </cell>
        </row>
        <row r="4187">
          <cell r="C4187">
            <v>300568</v>
          </cell>
          <cell r="D4187" t="str">
            <v>MCG.22310</v>
          </cell>
        </row>
        <row r="4188">
          <cell r="C4188">
            <v>500568</v>
          </cell>
          <cell r="D4188" t="str">
            <v>RO 15.60X15.60 (R 48.5)</v>
          </cell>
        </row>
        <row r="4189">
          <cell r="C4189">
            <v>700568</v>
          </cell>
          <cell r="D4189" t="str">
            <v>WASHER.22310</v>
          </cell>
        </row>
        <row r="4190">
          <cell r="C4190">
            <v>208572</v>
          </cell>
          <cell r="D4190" t="str">
            <v>WS 81118                F</v>
          </cell>
        </row>
        <row r="4191">
          <cell r="C4191">
            <v>208572.01</v>
          </cell>
          <cell r="D4191" t="str">
            <v>GS 81118                F</v>
          </cell>
        </row>
        <row r="4192">
          <cell r="C4192">
            <v>208572</v>
          </cell>
          <cell r="D4192" t="str">
            <v>WS 81118                F</v>
          </cell>
        </row>
        <row r="4193">
          <cell r="C4193">
            <v>208572.01</v>
          </cell>
          <cell r="D4193" t="str">
            <v>GS 81118                F</v>
          </cell>
        </row>
        <row r="4194">
          <cell r="C4194">
            <v>208572</v>
          </cell>
          <cell r="D4194" t="str">
            <v>WS 81118                F</v>
          </cell>
        </row>
        <row r="4195">
          <cell r="C4195">
            <v>208573</v>
          </cell>
          <cell r="D4195" t="str">
            <v>WS 81117               F</v>
          </cell>
        </row>
        <row r="4196">
          <cell r="C4196">
            <v>208573.01</v>
          </cell>
          <cell r="D4196" t="str">
            <v>GS 81117                F</v>
          </cell>
        </row>
        <row r="4197">
          <cell r="C4197">
            <v>208573</v>
          </cell>
          <cell r="D4197" t="str">
            <v>WS 81117               F</v>
          </cell>
        </row>
        <row r="4198">
          <cell r="C4198">
            <v>208573.01</v>
          </cell>
          <cell r="D4198" t="str">
            <v>GS 81117                F</v>
          </cell>
        </row>
        <row r="4199">
          <cell r="C4199">
            <v>208573</v>
          </cell>
          <cell r="D4199" t="str">
            <v>WS 81117               F</v>
          </cell>
        </row>
        <row r="4200">
          <cell r="C4200">
            <v>208574</v>
          </cell>
          <cell r="D4200" t="str">
            <v>WS 81126                F</v>
          </cell>
        </row>
        <row r="4201">
          <cell r="C4201">
            <v>208574.01</v>
          </cell>
          <cell r="D4201" t="str">
            <v>GS 81126                F</v>
          </cell>
        </row>
        <row r="4202">
          <cell r="C4202">
            <v>208574</v>
          </cell>
          <cell r="D4202" t="str">
            <v>WS 81126                F</v>
          </cell>
        </row>
        <row r="4203">
          <cell r="C4203">
            <v>208574.01</v>
          </cell>
          <cell r="D4203" t="str">
            <v>GS 81126                F</v>
          </cell>
        </row>
        <row r="4204">
          <cell r="C4204">
            <v>104575</v>
          </cell>
          <cell r="D4204" t="str">
            <v>S 575 (IR 7345)</v>
          </cell>
        </row>
        <row r="4205">
          <cell r="C4205">
            <v>208577</v>
          </cell>
          <cell r="D4205" t="str">
            <v>WS 81102                F</v>
          </cell>
        </row>
        <row r="4206">
          <cell r="C4206">
            <v>208577.01</v>
          </cell>
          <cell r="D4206" t="str">
            <v>GS 81102                F</v>
          </cell>
        </row>
        <row r="4207">
          <cell r="C4207">
            <v>309577</v>
          </cell>
          <cell r="D4207" t="str">
            <v>NCG 81102</v>
          </cell>
        </row>
        <row r="4208">
          <cell r="C4208">
            <v>208577</v>
          </cell>
          <cell r="D4208" t="str">
            <v>WS 81102                F</v>
          </cell>
        </row>
        <row r="4209">
          <cell r="C4209">
            <v>208577.01</v>
          </cell>
          <cell r="D4209" t="str">
            <v>GS 81102                F</v>
          </cell>
        </row>
        <row r="4210">
          <cell r="C4210">
            <v>208578</v>
          </cell>
          <cell r="D4210" t="str">
            <v>WS 81103                F</v>
          </cell>
        </row>
        <row r="4211">
          <cell r="C4211">
            <v>208578.01</v>
          </cell>
          <cell r="D4211" t="str">
            <v>GS 81103                F</v>
          </cell>
        </row>
        <row r="4212">
          <cell r="C4212">
            <v>309578</v>
          </cell>
          <cell r="D4212" t="str">
            <v>NCG 81103</v>
          </cell>
        </row>
        <row r="4213">
          <cell r="C4213">
            <v>208578</v>
          </cell>
          <cell r="D4213" t="str">
            <v>WS 81103                F</v>
          </cell>
        </row>
        <row r="4214">
          <cell r="C4214">
            <v>208578.01</v>
          </cell>
          <cell r="D4214" t="str">
            <v>GS 81103                F</v>
          </cell>
        </row>
        <row r="4215">
          <cell r="C4215">
            <v>208579</v>
          </cell>
          <cell r="D4215" t="str">
            <v>WS 81104                F</v>
          </cell>
        </row>
        <row r="4216">
          <cell r="C4216">
            <v>208579.01</v>
          </cell>
          <cell r="D4216" t="str">
            <v>GS 81104                F</v>
          </cell>
        </row>
        <row r="4217">
          <cell r="C4217">
            <v>309579</v>
          </cell>
          <cell r="D4217" t="str">
            <v>NCG 81104</v>
          </cell>
        </row>
        <row r="4218">
          <cell r="C4218">
            <v>511579</v>
          </cell>
          <cell r="D4218" t="str">
            <v>RO 4.5X4.5</v>
          </cell>
        </row>
        <row r="4219">
          <cell r="C4219">
            <v>208579</v>
          </cell>
          <cell r="D4219" t="str">
            <v>WS 81104                F</v>
          </cell>
        </row>
        <row r="4220">
          <cell r="C4220">
            <v>208579.01</v>
          </cell>
          <cell r="D4220" t="str">
            <v>GS 81104                F</v>
          </cell>
        </row>
        <row r="4221">
          <cell r="C4221">
            <v>309579</v>
          </cell>
          <cell r="D4221" t="str">
            <v>NCG 81104</v>
          </cell>
        </row>
        <row r="4222">
          <cell r="C4222">
            <v>511579</v>
          </cell>
          <cell r="D4222" t="str">
            <v>RO 4.5X4.5</v>
          </cell>
        </row>
        <row r="4223">
          <cell r="C4223">
            <v>208580</v>
          </cell>
          <cell r="D4223" t="str">
            <v>WS 81105                F</v>
          </cell>
        </row>
        <row r="4224">
          <cell r="C4224">
            <v>208580.01</v>
          </cell>
          <cell r="D4224" t="str">
            <v>GS 81105                F</v>
          </cell>
        </row>
        <row r="4225">
          <cell r="C4225">
            <v>309580</v>
          </cell>
          <cell r="D4225" t="str">
            <v>NCG 81105</v>
          </cell>
        </row>
        <row r="4226">
          <cell r="C4226">
            <v>511410</v>
          </cell>
          <cell r="D4226" t="str">
            <v>RO 5X5 BPM</v>
          </cell>
        </row>
        <row r="4227">
          <cell r="C4227">
            <v>208580</v>
          </cell>
          <cell r="D4227" t="str">
            <v>WS 81105                F</v>
          </cell>
        </row>
        <row r="4228">
          <cell r="C4228">
            <v>208580.01</v>
          </cell>
          <cell r="D4228" t="str">
            <v>GS 81105                F</v>
          </cell>
        </row>
        <row r="4229">
          <cell r="C4229">
            <v>309580</v>
          </cell>
          <cell r="D4229" t="str">
            <v>NCG 81105</v>
          </cell>
        </row>
        <row r="4230">
          <cell r="C4230">
            <v>511410</v>
          </cell>
          <cell r="D4230" t="str">
            <v>RO 5X5 BPM</v>
          </cell>
        </row>
        <row r="4231">
          <cell r="C4231">
            <v>208581</v>
          </cell>
          <cell r="D4231" t="str">
            <v>WS 81106                F</v>
          </cell>
        </row>
        <row r="4232">
          <cell r="C4232">
            <v>208581.01</v>
          </cell>
          <cell r="D4232" t="str">
            <v>GS 81106                F</v>
          </cell>
        </row>
        <row r="4233">
          <cell r="C4233">
            <v>309581</v>
          </cell>
          <cell r="D4233" t="str">
            <v>NCG 81106</v>
          </cell>
        </row>
        <row r="4234">
          <cell r="C4234">
            <v>511410</v>
          </cell>
          <cell r="D4234" t="str">
            <v>RO 5X5 BPM</v>
          </cell>
        </row>
        <row r="4235">
          <cell r="C4235">
            <v>208581</v>
          </cell>
          <cell r="D4235" t="str">
            <v>WS 81106                F</v>
          </cell>
        </row>
        <row r="4236">
          <cell r="C4236">
            <v>208581.01</v>
          </cell>
          <cell r="D4236" t="str">
            <v>GS 81106                F</v>
          </cell>
        </row>
        <row r="4237">
          <cell r="C4237">
            <v>309581</v>
          </cell>
          <cell r="D4237" t="str">
            <v>NCG 81106</v>
          </cell>
        </row>
        <row r="4238">
          <cell r="C4238">
            <v>511410</v>
          </cell>
          <cell r="D4238" t="str">
            <v>RO 5X5 BPM</v>
          </cell>
        </row>
        <row r="4239">
          <cell r="C4239">
            <v>208582</v>
          </cell>
          <cell r="D4239" t="str">
            <v>WS 81107                F</v>
          </cell>
        </row>
        <row r="4240">
          <cell r="C4240">
            <v>208582.01</v>
          </cell>
          <cell r="D4240" t="str">
            <v>GS 81107                F</v>
          </cell>
        </row>
        <row r="4241">
          <cell r="C4241">
            <v>309582</v>
          </cell>
          <cell r="D4241" t="str">
            <v>NCG 81107</v>
          </cell>
        </row>
        <row r="4242">
          <cell r="C4242">
            <v>511410</v>
          </cell>
          <cell r="D4242" t="str">
            <v>RO 5X5 BPM</v>
          </cell>
        </row>
        <row r="4243">
          <cell r="C4243">
            <v>208582</v>
          </cell>
          <cell r="D4243" t="str">
            <v>WS 81107                F</v>
          </cell>
        </row>
        <row r="4244">
          <cell r="C4244">
            <v>208582.01</v>
          </cell>
          <cell r="D4244" t="str">
            <v>GS 81107                F</v>
          </cell>
        </row>
        <row r="4245">
          <cell r="C4245">
            <v>309582</v>
          </cell>
          <cell r="D4245" t="str">
            <v>NCG 81107</v>
          </cell>
        </row>
        <row r="4246">
          <cell r="C4246">
            <v>511410</v>
          </cell>
          <cell r="D4246" t="str">
            <v>RO 5X5 BPM</v>
          </cell>
        </row>
        <row r="4247">
          <cell r="C4247">
            <v>208582</v>
          </cell>
          <cell r="D4247" t="str">
            <v>WS 81107                F</v>
          </cell>
        </row>
        <row r="4248">
          <cell r="C4248">
            <v>208582.01</v>
          </cell>
          <cell r="D4248" t="str">
            <v>GS 81107                F</v>
          </cell>
        </row>
        <row r="4249">
          <cell r="C4249">
            <v>309582</v>
          </cell>
          <cell r="D4249" t="str">
            <v>NCG 81107</v>
          </cell>
        </row>
        <row r="4250">
          <cell r="C4250">
            <v>511410</v>
          </cell>
          <cell r="D4250" t="str">
            <v>RO 5X5 BPM</v>
          </cell>
        </row>
        <row r="4251">
          <cell r="C4251">
            <v>208582</v>
          </cell>
          <cell r="D4251" t="str">
            <v>WS 81107                F</v>
          </cell>
        </row>
        <row r="4252">
          <cell r="C4252">
            <v>208583</v>
          </cell>
          <cell r="D4252" t="str">
            <v>WS 81108                F</v>
          </cell>
        </row>
        <row r="4253">
          <cell r="C4253">
            <v>208583.01</v>
          </cell>
          <cell r="D4253" t="str">
            <v>GS 81108                F</v>
          </cell>
        </row>
        <row r="4254">
          <cell r="C4254">
            <v>309583</v>
          </cell>
          <cell r="D4254" t="str">
            <v>NCG 81108</v>
          </cell>
        </row>
        <row r="4255">
          <cell r="C4255">
            <v>511461</v>
          </cell>
          <cell r="D4255" t="str">
            <v>RO 6X6</v>
          </cell>
        </row>
        <row r="4256">
          <cell r="C4256">
            <v>208583</v>
          </cell>
          <cell r="D4256" t="str">
            <v>WS 81108                F</v>
          </cell>
        </row>
        <row r="4257">
          <cell r="C4257">
            <v>208583.01</v>
          </cell>
          <cell r="D4257" t="str">
            <v>GS 81108                F</v>
          </cell>
        </row>
        <row r="4258">
          <cell r="C4258">
            <v>309583</v>
          </cell>
          <cell r="D4258" t="str">
            <v>NCG 81108</v>
          </cell>
        </row>
        <row r="4259">
          <cell r="C4259">
            <v>511461</v>
          </cell>
          <cell r="D4259" t="str">
            <v>RO 6X6</v>
          </cell>
        </row>
        <row r="4260">
          <cell r="C4260">
            <v>208583</v>
          </cell>
          <cell r="D4260" t="str">
            <v>WS 81108                F</v>
          </cell>
        </row>
        <row r="4261">
          <cell r="C4261">
            <v>208583.01</v>
          </cell>
          <cell r="D4261" t="str">
            <v>GS 81108                F</v>
          </cell>
        </row>
        <row r="4262">
          <cell r="C4262">
            <v>208584</v>
          </cell>
          <cell r="D4262" t="str">
            <v>WS 81109                F</v>
          </cell>
        </row>
        <row r="4263">
          <cell r="C4263">
            <v>208584.01</v>
          </cell>
          <cell r="D4263" t="str">
            <v>GS 81109                F</v>
          </cell>
        </row>
        <row r="4264">
          <cell r="C4264">
            <v>309584</v>
          </cell>
          <cell r="D4264" t="str">
            <v>NCG 81109</v>
          </cell>
        </row>
        <row r="4265">
          <cell r="C4265">
            <v>511461</v>
          </cell>
          <cell r="D4265" t="str">
            <v>RO 6X6</v>
          </cell>
        </row>
        <row r="4266">
          <cell r="C4266">
            <v>208584</v>
          </cell>
          <cell r="D4266" t="str">
            <v>WS 81109                F</v>
          </cell>
        </row>
        <row r="4267">
          <cell r="C4267">
            <v>208584.01</v>
          </cell>
          <cell r="D4267" t="str">
            <v>GS 81109                F</v>
          </cell>
        </row>
        <row r="4268">
          <cell r="C4268">
            <v>309584</v>
          </cell>
          <cell r="D4268" t="str">
            <v>NCG 81109</v>
          </cell>
        </row>
        <row r="4269">
          <cell r="C4269">
            <v>511461</v>
          </cell>
          <cell r="D4269" t="str">
            <v>RO 6X6</v>
          </cell>
        </row>
        <row r="4270">
          <cell r="C4270">
            <v>208585</v>
          </cell>
          <cell r="D4270" t="str">
            <v>WS 81110                F</v>
          </cell>
        </row>
        <row r="4271">
          <cell r="C4271">
            <v>208585.01</v>
          </cell>
          <cell r="D4271" t="str">
            <v>GS 81110                F</v>
          </cell>
        </row>
        <row r="4272">
          <cell r="C4272">
            <v>309585</v>
          </cell>
          <cell r="D4272" t="str">
            <v>NCG 81110</v>
          </cell>
        </row>
        <row r="4273">
          <cell r="C4273">
            <v>511461</v>
          </cell>
          <cell r="D4273" t="str">
            <v>RO 6X6</v>
          </cell>
        </row>
        <row r="4274">
          <cell r="C4274">
            <v>208585</v>
          </cell>
          <cell r="D4274" t="str">
            <v>WS 81110                F</v>
          </cell>
        </row>
        <row r="4275">
          <cell r="C4275">
            <v>208585.01</v>
          </cell>
          <cell r="D4275" t="str">
            <v>GS 81110                F</v>
          </cell>
        </row>
        <row r="4276">
          <cell r="C4276">
            <v>309585</v>
          </cell>
          <cell r="D4276" t="str">
            <v>NCG 81110</v>
          </cell>
        </row>
        <row r="4277">
          <cell r="C4277">
            <v>511461</v>
          </cell>
          <cell r="D4277" t="str">
            <v>RO 6X6</v>
          </cell>
        </row>
        <row r="4278">
          <cell r="C4278">
            <v>208585.01</v>
          </cell>
          <cell r="D4278" t="str">
            <v>GS 81110                F</v>
          </cell>
        </row>
        <row r="4279">
          <cell r="C4279">
            <v>208586</v>
          </cell>
          <cell r="D4279" t="str">
            <v>WS 81111                F</v>
          </cell>
        </row>
        <row r="4280">
          <cell r="C4280">
            <v>208586.01</v>
          </cell>
          <cell r="D4280" t="str">
            <v>GS 81111                F</v>
          </cell>
        </row>
        <row r="4281">
          <cell r="C4281">
            <v>309586</v>
          </cell>
          <cell r="D4281" t="str">
            <v>NCG 81111</v>
          </cell>
        </row>
        <row r="4282">
          <cell r="C4282">
            <v>511586</v>
          </cell>
          <cell r="D4282" t="str">
            <v>RO 6X8</v>
          </cell>
        </row>
        <row r="4283">
          <cell r="C4283">
            <v>208586</v>
          </cell>
          <cell r="D4283" t="str">
            <v>WS 81111                F</v>
          </cell>
        </row>
        <row r="4284">
          <cell r="C4284">
            <v>208586.01</v>
          </cell>
          <cell r="D4284" t="str">
            <v>GS 81111                F</v>
          </cell>
        </row>
        <row r="4285">
          <cell r="C4285">
            <v>309586</v>
          </cell>
          <cell r="D4285" t="str">
            <v>NCG 81111</v>
          </cell>
        </row>
        <row r="4286">
          <cell r="C4286">
            <v>511586</v>
          </cell>
          <cell r="D4286" t="str">
            <v>RO 6X8</v>
          </cell>
        </row>
        <row r="4287">
          <cell r="C4287">
            <v>208587</v>
          </cell>
          <cell r="D4287" t="str">
            <v>WS 81112                F</v>
          </cell>
        </row>
        <row r="4288">
          <cell r="C4288">
            <v>208587.01</v>
          </cell>
          <cell r="D4288" t="str">
            <v>GS 81112                F</v>
          </cell>
        </row>
        <row r="4289">
          <cell r="C4289">
            <v>309587</v>
          </cell>
          <cell r="D4289" t="str">
            <v>NCG 81112</v>
          </cell>
        </row>
        <row r="4290">
          <cell r="C4290">
            <v>511475</v>
          </cell>
          <cell r="D4290" t="str">
            <v>RO 11X11 BPM</v>
          </cell>
        </row>
        <row r="4291">
          <cell r="C4291">
            <v>208587</v>
          </cell>
          <cell r="D4291" t="str">
            <v>WS 81112                F</v>
          </cell>
        </row>
        <row r="4292">
          <cell r="C4292">
            <v>208587.01</v>
          </cell>
          <cell r="D4292" t="str">
            <v>GS 81112                F</v>
          </cell>
        </row>
        <row r="4293">
          <cell r="C4293">
            <v>309587</v>
          </cell>
          <cell r="D4293" t="str">
            <v>NCG 81112</v>
          </cell>
        </row>
        <row r="4294">
          <cell r="C4294">
            <v>511475</v>
          </cell>
          <cell r="D4294" t="str">
            <v>RO 11X11 BPM</v>
          </cell>
        </row>
        <row r="4295">
          <cell r="C4295">
            <v>208588</v>
          </cell>
          <cell r="D4295" t="str">
            <v>WS 81113                F</v>
          </cell>
        </row>
        <row r="4296">
          <cell r="C4296">
            <v>208588.01</v>
          </cell>
          <cell r="D4296" t="str">
            <v>GS 81113                F</v>
          </cell>
        </row>
        <row r="4297">
          <cell r="C4297">
            <v>309588</v>
          </cell>
          <cell r="D4297" t="str">
            <v>NCG 81113</v>
          </cell>
        </row>
        <row r="4298">
          <cell r="C4298">
            <v>208588</v>
          </cell>
          <cell r="D4298" t="str">
            <v>WS 81113                F</v>
          </cell>
        </row>
        <row r="4299">
          <cell r="C4299">
            <v>208588.01</v>
          </cell>
          <cell r="D4299" t="str">
            <v>GS 81113                F</v>
          </cell>
        </row>
        <row r="4300">
          <cell r="C4300">
            <v>208589</v>
          </cell>
          <cell r="D4300" t="str">
            <v>WS 81114                F</v>
          </cell>
        </row>
        <row r="4301">
          <cell r="C4301">
            <v>208589.01</v>
          </cell>
          <cell r="D4301" t="str">
            <v>GS 81114                F</v>
          </cell>
        </row>
        <row r="4302">
          <cell r="C4302">
            <v>309589</v>
          </cell>
          <cell r="D4302" t="str">
            <v>NCG 81114</v>
          </cell>
        </row>
        <row r="4303">
          <cell r="C4303">
            <v>511475</v>
          </cell>
          <cell r="D4303" t="str">
            <v>RO 11X11 BPM</v>
          </cell>
        </row>
        <row r="4304">
          <cell r="C4304">
            <v>208589</v>
          </cell>
          <cell r="D4304" t="str">
            <v>WS 81114                F</v>
          </cell>
        </row>
        <row r="4305">
          <cell r="C4305">
            <v>208589.01</v>
          </cell>
          <cell r="D4305" t="str">
            <v>GS 81114                F</v>
          </cell>
        </row>
        <row r="4306">
          <cell r="C4306">
            <v>208590</v>
          </cell>
          <cell r="D4306" t="str">
            <v>WS 81206                F</v>
          </cell>
        </row>
        <row r="4307">
          <cell r="C4307">
            <v>208590.01</v>
          </cell>
          <cell r="D4307" t="str">
            <v>GS 81206                F</v>
          </cell>
        </row>
        <row r="4308">
          <cell r="C4308">
            <v>309590</v>
          </cell>
          <cell r="D4308" t="str">
            <v>NCG 81206</v>
          </cell>
        </row>
        <row r="4309">
          <cell r="C4309">
            <v>208590</v>
          </cell>
          <cell r="D4309" t="str">
            <v>WS 81206                F</v>
          </cell>
        </row>
        <row r="4310">
          <cell r="C4310">
            <v>208590.01</v>
          </cell>
          <cell r="D4310" t="str">
            <v>GS 81206                F</v>
          </cell>
        </row>
        <row r="4311">
          <cell r="C4311">
            <v>208591</v>
          </cell>
          <cell r="D4311" t="str">
            <v>WS 81207                F</v>
          </cell>
        </row>
        <row r="4312">
          <cell r="C4312">
            <v>208591.01</v>
          </cell>
          <cell r="D4312" t="str">
            <v>GS 81207                F</v>
          </cell>
        </row>
        <row r="4313">
          <cell r="C4313">
            <v>309591</v>
          </cell>
          <cell r="D4313" t="str">
            <v>NCG 81207</v>
          </cell>
        </row>
        <row r="4314">
          <cell r="C4314">
            <v>208591</v>
          </cell>
          <cell r="D4314" t="str">
            <v>WS 81207                F</v>
          </cell>
        </row>
        <row r="4315">
          <cell r="C4315">
            <v>208591.01</v>
          </cell>
          <cell r="D4315" t="str">
            <v>GS 81207                F</v>
          </cell>
        </row>
        <row r="4316">
          <cell r="C4316">
            <v>208592</v>
          </cell>
          <cell r="D4316" t="str">
            <v>WS 81208                F</v>
          </cell>
        </row>
        <row r="4317">
          <cell r="C4317">
            <v>208592.01</v>
          </cell>
          <cell r="D4317" t="str">
            <v>GS 81208                F</v>
          </cell>
        </row>
        <row r="4318">
          <cell r="C4318">
            <v>309592</v>
          </cell>
          <cell r="D4318" t="str">
            <v>NCG 81208</v>
          </cell>
        </row>
        <row r="4319">
          <cell r="C4319">
            <v>208592</v>
          </cell>
          <cell r="D4319" t="str">
            <v>WS 81208                F</v>
          </cell>
        </row>
        <row r="4320">
          <cell r="C4320">
            <v>208592.01</v>
          </cell>
          <cell r="D4320" t="str">
            <v>GS 81208                F</v>
          </cell>
        </row>
        <row r="4321">
          <cell r="C4321">
            <v>208593</v>
          </cell>
          <cell r="D4321" t="str">
            <v>WS 81209                F</v>
          </cell>
        </row>
        <row r="4322">
          <cell r="C4322">
            <v>208593.01</v>
          </cell>
          <cell r="D4322" t="str">
            <v>GS 81209                F</v>
          </cell>
        </row>
        <row r="4323">
          <cell r="C4323">
            <v>309593</v>
          </cell>
          <cell r="D4323" t="str">
            <v>NCG 81209</v>
          </cell>
        </row>
        <row r="4324">
          <cell r="C4324">
            <v>208593</v>
          </cell>
          <cell r="D4324" t="str">
            <v>WS 81209                F</v>
          </cell>
        </row>
        <row r="4325">
          <cell r="C4325">
            <v>208593.01</v>
          </cell>
          <cell r="D4325" t="str">
            <v>GS 81209                F</v>
          </cell>
        </row>
        <row r="4326">
          <cell r="C4326">
            <v>208594</v>
          </cell>
          <cell r="D4326" t="str">
            <v>WS 81210                F</v>
          </cell>
        </row>
        <row r="4327">
          <cell r="C4327">
            <v>208594.01</v>
          </cell>
          <cell r="D4327" t="str">
            <v>GS 81210                F</v>
          </cell>
        </row>
        <row r="4328">
          <cell r="C4328">
            <v>309594</v>
          </cell>
          <cell r="D4328" t="str">
            <v>NCG 81210</v>
          </cell>
        </row>
        <row r="4329">
          <cell r="C4329">
            <v>208594</v>
          </cell>
          <cell r="D4329" t="str">
            <v>WS 81210                F</v>
          </cell>
        </row>
        <row r="4330">
          <cell r="C4330">
            <v>208594.01</v>
          </cell>
          <cell r="D4330" t="str">
            <v>GS 81210                F</v>
          </cell>
        </row>
        <row r="4331">
          <cell r="C4331">
            <v>208595</v>
          </cell>
          <cell r="D4331" t="str">
            <v>WS 81211                F</v>
          </cell>
        </row>
        <row r="4332">
          <cell r="C4332">
            <v>208595.01</v>
          </cell>
          <cell r="D4332" t="str">
            <v>GS 81211                F</v>
          </cell>
        </row>
        <row r="4333">
          <cell r="C4333">
            <v>309595</v>
          </cell>
          <cell r="D4333" t="str">
            <v>NCG 81211</v>
          </cell>
        </row>
        <row r="4334">
          <cell r="C4334">
            <v>208595</v>
          </cell>
          <cell r="D4334" t="str">
            <v>WS 81211                F</v>
          </cell>
        </row>
        <row r="4335">
          <cell r="C4335">
            <v>208595.01</v>
          </cell>
          <cell r="D4335" t="str">
            <v>GS 81211                F</v>
          </cell>
        </row>
        <row r="4336">
          <cell r="C4336">
            <v>208596</v>
          </cell>
          <cell r="D4336" t="str">
            <v>WS 81212                F</v>
          </cell>
        </row>
        <row r="4337">
          <cell r="C4337">
            <v>208596.01</v>
          </cell>
          <cell r="D4337" t="str">
            <v>GS 81212                F</v>
          </cell>
        </row>
        <row r="4338">
          <cell r="C4338">
            <v>309596</v>
          </cell>
          <cell r="D4338" t="str">
            <v>NCG 81212</v>
          </cell>
        </row>
        <row r="4339">
          <cell r="C4339">
            <v>511475</v>
          </cell>
          <cell r="D4339" t="str">
            <v>RO 11X11 BPM</v>
          </cell>
        </row>
        <row r="4340">
          <cell r="C4340">
            <v>208596</v>
          </cell>
          <cell r="D4340" t="str">
            <v>WS 81212                F</v>
          </cell>
        </row>
        <row r="4341">
          <cell r="C4341">
            <v>208596.01</v>
          </cell>
          <cell r="D4341" t="str">
            <v>GS 81212                F</v>
          </cell>
        </row>
        <row r="4342">
          <cell r="C4342">
            <v>309596</v>
          </cell>
          <cell r="D4342" t="str">
            <v>NCG 81212</v>
          </cell>
        </row>
        <row r="4343">
          <cell r="C4343">
            <v>511475</v>
          </cell>
          <cell r="D4343" t="str">
            <v>RO 11X11 BPM</v>
          </cell>
        </row>
        <row r="4344">
          <cell r="C4344">
            <v>208597</v>
          </cell>
          <cell r="D4344" t="str">
            <v>WS 81213                F</v>
          </cell>
        </row>
        <row r="4345">
          <cell r="C4345">
            <v>208597.01</v>
          </cell>
          <cell r="D4345" t="str">
            <v>GS 81213                F</v>
          </cell>
        </row>
        <row r="4346">
          <cell r="C4346">
            <v>309597</v>
          </cell>
          <cell r="D4346" t="str">
            <v>NCG 81213</v>
          </cell>
        </row>
        <row r="4347">
          <cell r="C4347">
            <v>208597</v>
          </cell>
          <cell r="D4347" t="str">
            <v>WS 81213                F</v>
          </cell>
        </row>
        <row r="4348">
          <cell r="C4348">
            <v>208597.01</v>
          </cell>
          <cell r="D4348" t="str">
            <v>GS 81213                F</v>
          </cell>
        </row>
        <row r="4349">
          <cell r="C4349">
            <v>208598</v>
          </cell>
          <cell r="D4349" t="str">
            <v>WS 81214                F</v>
          </cell>
        </row>
        <row r="4350">
          <cell r="C4350">
            <v>208598.01</v>
          </cell>
          <cell r="D4350" t="str">
            <v>GS 81214                F</v>
          </cell>
        </row>
        <row r="4351">
          <cell r="C4351">
            <v>309598</v>
          </cell>
          <cell r="D4351" t="str">
            <v>NCG 81214</v>
          </cell>
        </row>
        <row r="4352">
          <cell r="C4352">
            <v>511475</v>
          </cell>
          <cell r="D4352" t="str">
            <v>RO 11X11 BPM</v>
          </cell>
        </row>
        <row r="4353">
          <cell r="C4353">
            <v>208598</v>
          </cell>
          <cell r="D4353" t="str">
            <v>WS 81214                F</v>
          </cell>
        </row>
        <row r="4354">
          <cell r="C4354">
            <v>208598.01</v>
          </cell>
          <cell r="D4354" t="str">
            <v>GS 81214                F</v>
          </cell>
        </row>
        <row r="4355">
          <cell r="C4355">
            <v>309598</v>
          </cell>
          <cell r="D4355" t="str">
            <v>NCG 81214</v>
          </cell>
        </row>
        <row r="4356">
          <cell r="C4356">
            <v>511475</v>
          </cell>
          <cell r="D4356" t="str">
            <v>RO 11X11 BPM</v>
          </cell>
        </row>
        <row r="4357">
          <cell r="C4357">
            <v>208599</v>
          </cell>
          <cell r="D4357" t="str">
            <v>WS 81218                F</v>
          </cell>
        </row>
        <row r="4358">
          <cell r="C4358">
            <v>208599.01</v>
          </cell>
          <cell r="D4358" t="str">
            <v>GS 81218                F</v>
          </cell>
        </row>
        <row r="4359">
          <cell r="C4359">
            <v>208599</v>
          </cell>
          <cell r="D4359" t="str">
            <v>WS 81218                F</v>
          </cell>
        </row>
        <row r="4360">
          <cell r="C4360">
            <v>208599.01</v>
          </cell>
          <cell r="D4360" t="str">
            <v>GS 81218                F</v>
          </cell>
        </row>
        <row r="4361">
          <cell r="C4361">
            <v>300600</v>
          </cell>
          <cell r="D4361" t="str">
            <v>K.NCG 19X25X20</v>
          </cell>
        </row>
        <row r="4362">
          <cell r="C4362">
            <v>511819.01</v>
          </cell>
          <cell r="D4362" t="str">
            <v>RO 3X15.8</v>
          </cell>
        </row>
        <row r="4363">
          <cell r="C4363">
            <v>104602.01</v>
          </cell>
          <cell r="D4363" t="str">
            <v>N.IR 204                F</v>
          </cell>
        </row>
        <row r="4364">
          <cell r="C4364">
            <v>208602.01</v>
          </cell>
          <cell r="D4364" t="str">
            <v>N.OR 204                F</v>
          </cell>
        </row>
        <row r="4365">
          <cell r="C4365">
            <v>309602.01</v>
          </cell>
          <cell r="D4365" t="str">
            <v>N.MCG 204</v>
          </cell>
        </row>
        <row r="4366">
          <cell r="C4366">
            <v>511493</v>
          </cell>
          <cell r="D4366" t="str">
            <v>RO 6.5X6.5</v>
          </cell>
        </row>
        <row r="4367">
          <cell r="C4367">
            <v>104602.02</v>
          </cell>
          <cell r="D4367" t="str">
            <v>N.IR 304                F</v>
          </cell>
        </row>
        <row r="4368">
          <cell r="C4368">
            <v>208602.02</v>
          </cell>
          <cell r="D4368" t="str">
            <v>N.OR 304                F</v>
          </cell>
        </row>
        <row r="4369">
          <cell r="C4369">
            <v>309602.02</v>
          </cell>
          <cell r="D4369" t="str">
            <v>N.MCG 304</v>
          </cell>
        </row>
        <row r="4370">
          <cell r="C4370">
            <v>511439</v>
          </cell>
          <cell r="D4370" t="str">
            <v>RO 8X8</v>
          </cell>
        </row>
        <row r="4371">
          <cell r="C4371">
            <v>104602.03</v>
          </cell>
          <cell r="D4371" t="str">
            <v>NJ.IR 204               F</v>
          </cell>
        </row>
        <row r="4372">
          <cell r="C4372">
            <v>208602.05</v>
          </cell>
          <cell r="D4372" t="str">
            <v>NU.OR 204               F</v>
          </cell>
        </row>
        <row r="4373">
          <cell r="C4373">
            <v>309602.05</v>
          </cell>
          <cell r="D4373" t="str">
            <v>NU/NJ.MCG 204</v>
          </cell>
        </row>
        <row r="4374">
          <cell r="C4374">
            <v>511493</v>
          </cell>
          <cell r="D4374" t="str">
            <v>RO 6.5X6.5</v>
          </cell>
        </row>
        <row r="4375">
          <cell r="C4375">
            <v>913021</v>
          </cell>
          <cell r="D4375" t="str">
            <v>Box 55X20X55</v>
          </cell>
        </row>
        <row r="4376">
          <cell r="C4376">
            <v>104602.04</v>
          </cell>
          <cell r="D4376" t="str">
            <v>NJ.IR 304               F</v>
          </cell>
        </row>
        <row r="4377">
          <cell r="C4377">
            <v>208602.06</v>
          </cell>
          <cell r="D4377" t="str">
            <v>NU.OR 304               F</v>
          </cell>
        </row>
        <row r="4378">
          <cell r="C4378">
            <v>309602.06</v>
          </cell>
          <cell r="D4378" t="str">
            <v>NU/NJ.MCG 304</v>
          </cell>
        </row>
        <row r="4379">
          <cell r="C4379">
            <v>511439</v>
          </cell>
          <cell r="D4379" t="str">
            <v>RO 8X8</v>
          </cell>
        </row>
        <row r="4380">
          <cell r="C4380">
            <v>104602.05</v>
          </cell>
          <cell r="D4380" t="str">
            <v>NU.IR 204               F</v>
          </cell>
        </row>
        <row r="4381">
          <cell r="C4381">
            <v>208602.05</v>
          </cell>
          <cell r="D4381" t="str">
            <v>NU.OR 204               F</v>
          </cell>
        </row>
        <row r="4382">
          <cell r="C4382">
            <v>309602.05</v>
          </cell>
          <cell r="D4382" t="str">
            <v>NU/NJ.MCG 204</v>
          </cell>
        </row>
        <row r="4383">
          <cell r="C4383">
            <v>511493</v>
          </cell>
          <cell r="D4383" t="str">
            <v>RO 6.5X6.5</v>
          </cell>
        </row>
        <row r="4384">
          <cell r="C4384">
            <v>104602.06</v>
          </cell>
          <cell r="D4384" t="str">
            <v>NU.IR 304               F</v>
          </cell>
        </row>
        <row r="4385">
          <cell r="C4385">
            <v>208602.06</v>
          </cell>
          <cell r="D4385" t="str">
            <v>NU.OR 304               F</v>
          </cell>
        </row>
        <row r="4386">
          <cell r="C4386">
            <v>309602.06</v>
          </cell>
          <cell r="D4386" t="str">
            <v>NU/NJ.MCG 304</v>
          </cell>
        </row>
        <row r="4387">
          <cell r="C4387">
            <v>511439</v>
          </cell>
          <cell r="D4387" t="str">
            <v>RO 8X8</v>
          </cell>
        </row>
        <row r="4388">
          <cell r="C4388">
            <v>104602.08</v>
          </cell>
          <cell r="D4388" t="str">
            <v>NJ.IR 2304              F</v>
          </cell>
        </row>
        <row r="4389">
          <cell r="C4389">
            <v>208602.1</v>
          </cell>
          <cell r="D4389" t="str">
            <v>NU/NJ.OR 2304           F</v>
          </cell>
        </row>
        <row r="4390">
          <cell r="C4390">
            <v>309602.09999999998</v>
          </cell>
          <cell r="D4390" t="str">
            <v>NU.MCG 2304</v>
          </cell>
        </row>
        <row r="4391">
          <cell r="C4391">
            <v>511428</v>
          </cell>
          <cell r="D4391" t="str">
            <v>RO 8X12</v>
          </cell>
        </row>
        <row r="4392">
          <cell r="C4392">
            <v>104602.1</v>
          </cell>
          <cell r="D4392" t="str">
            <v>NU.IR 2304              F</v>
          </cell>
        </row>
        <row r="4393">
          <cell r="C4393">
            <v>208602.1</v>
          </cell>
          <cell r="D4393" t="str">
            <v>NU/NJ.OR 2304           F</v>
          </cell>
        </row>
        <row r="4394">
          <cell r="C4394">
            <v>309602.09999999998</v>
          </cell>
          <cell r="D4394" t="str">
            <v>NU.MCG 2304</v>
          </cell>
        </row>
        <row r="4395">
          <cell r="C4395">
            <v>511428</v>
          </cell>
          <cell r="D4395" t="str">
            <v>RO 8X12</v>
          </cell>
        </row>
        <row r="4396">
          <cell r="C4396">
            <v>208602.1</v>
          </cell>
          <cell r="D4396" t="str">
            <v>NU/NJ.OR 2304           F</v>
          </cell>
        </row>
        <row r="4397">
          <cell r="C4397">
            <v>309602.09999999998</v>
          </cell>
          <cell r="D4397" t="str">
            <v>NU.MCG 2304</v>
          </cell>
        </row>
        <row r="4398">
          <cell r="C4398">
            <v>511428</v>
          </cell>
          <cell r="D4398" t="str">
            <v>RO 8X12</v>
          </cell>
        </row>
        <row r="4399">
          <cell r="C4399">
            <v>104603.01</v>
          </cell>
          <cell r="D4399" t="str">
            <v>N.IR 205                F</v>
          </cell>
        </row>
        <row r="4400">
          <cell r="C4400">
            <v>208603.01</v>
          </cell>
          <cell r="D4400" t="str">
            <v>N.OR 205                F</v>
          </cell>
        </row>
        <row r="4401">
          <cell r="C4401">
            <v>309603.01</v>
          </cell>
          <cell r="D4401" t="str">
            <v>N.MCG 205</v>
          </cell>
        </row>
        <row r="4402">
          <cell r="C4402">
            <v>511493</v>
          </cell>
          <cell r="D4402" t="str">
            <v>RO 6.5X6.5</v>
          </cell>
        </row>
        <row r="4403">
          <cell r="C4403">
            <v>104603.02</v>
          </cell>
          <cell r="D4403" t="str">
            <v>N.IR 305                F</v>
          </cell>
        </row>
        <row r="4404">
          <cell r="C4404">
            <v>208603.02</v>
          </cell>
          <cell r="D4404" t="str">
            <v>N.OR 305                F</v>
          </cell>
        </row>
        <row r="4405">
          <cell r="C4405">
            <v>309603.02</v>
          </cell>
          <cell r="D4405" t="str">
            <v>N.MCG 305</v>
          </cell>
        </row>
        <row r="4406">
          <cell r="C4406">
            <v>511992</v>
          </cell>
          <cell r="D4406" t="str">
            <v>RO 9X9</v>
          </cell>
        </row>
        <row r="4407">
          <cell r="C4407">
            <v>104603.03</v>
          </cell>
          <cell r="D4407" t="str">
            <v>NJ.IR 205</v>
          </cell>
        </row>
        <row r="4408">
          <cell r="C4408">
            <v>208603.05</v>
          </cell>
          <cell r="D4408" t="str">
            <v>NU.OR 205               F</v>
          </cell>
        </row>
        <row r="4409">
          <cell r="C4409">
            <v>309603.05</v>
          </cell>
          <cell r="D4409" t="str">
            <v>NU/NJ.MCG 205</v>
          </cell>
        </row>
        <row r="4410">
          <cell r="C4410">
            <v>511493</v>
          </cell>
          <cell r="D4410" t="str">
            <v>RO 6.5X6.5</v>
          </cell>
        </row>
        <row r="4411">
          <cell r="C4411">
            <v>104603.04</v>
          </cell>
          <cell r="D4411" t="str">
            <v>NJ.IR 305               F</v>
          </cell>
        </row>
        <row r="4412">
          <cell r="C4412">
            <v>208603.06</v>
          </cell>
          <cell r="D4412" t="str">
            <v>NU.OR 305               F</v>
          </cell>
        </row>
        <row r="4413">
          <cell r="C4413">
            <v>309490</v>
          </cell>
          <cell r="D4413" t="str">
            <v>NU.MCG 305</v>
          </cell>
        </row>
        <row r="4414">
          <cell r="C4414">
            <v>511992</v>
          </cell>
          <cell r="D4414" t="str">
            <v>RO 9X9</v>
          </cell>
        </row>
        <row r="4415">
          <cell r="C4415">
            <v>913022</v>
          </cell>
          <cell r="D4415" t="str">
            <v>Box 65X25X65</v>
          </cell>
        </row>
        <row r="4416">
          <cell r="C4416">
            <v>104603.05</v>
          </cell>
          <cell r="D4416" t="str">
            <v>NU.IR 205               F</v>
          </cell>
        </row>
        <row r="4417">
          <cell r="C4417">
            <v>208603.05</v>
          </cell>
          <cell r="D4417" t="str">
            <v>NU.OR 205               F</v>
          </cell>
        </row>
        <row r="4418">
          <cell r="C4418">
            <v>309603.05</v>
          </cell>
          <cell r="D4418" t="str">
            <v>NU/NJ.MCG 205</v>
          </cell>
        </row>
        <row r="4419">
          <cell r="C4419">
            <v>511493</v>
          </cell>
          <cell r="D4419" t="str">
            <v>RO 6.5X6.5</v>
          </cell>
        </row>
        <row r="4420">
          <cell r="C4420">
            <v>104603.06</v>
          </cell>
          <cell r="D4420" t="str">
            <v>NU.IR 305               F</v>
          </cell>
        </row>
        <row r="4421">
          <cell r="C4421">
            <v>208603.06</v>
          </cell>
          <cell r="D4421" t="str">
            <v>NU.OR 305               F</v>
          </cell>
        </row>
        <row r="4422">
          <cell r="C4422">
            <v>309603.06</v>
          </cell>
          <cell r="D4422" t="str">
            <v>NU/NJ.MCG 305</v>
          </cell>
        </row>
        <row r="4423">
          <cell r="C4423">
            <v>511992</v>
          </cell>
          <cell r="D4423" t="str">
            <v>RO 9X9</v>
          </cell>
        </row>
        <row r="4424">
          <cell r="C4424">
            <v>100603.07</v>
          </cell>
          <cell r="D4424" t="str">
            <v>NJ.IR 2205</v>
          </cell>
        </row>
        <row r="4425">
          <cell r="C4425">
            <v>200603.07</v>
          </cell>
          <cell r="D4425" t="str">
            <v>NJ.OR 2205</v>
          </cell>
        </row>
        <row r="4426">
          <cell r="C4426">
            <v>300603.07</v>
          </cell>
          <cell r="D4426" t="str">
            <v>NJ.MCG 2205</v>
          </cell>
        </row>
        <row r="4427">
          <cell r="C4427">
            <v>511438</v>
          </cell>
          <cell r="D4427" t="str">
            <v>RO 6.5X9(BPM)</v>
          </cell>
        </row>
        <row r="4428">
          <cell r="C4428">
            <v>104603.08</v>
          </cell>
          <cell r="D4428" t="str">
            <v>NJ.IR 2305              F</v>
          </cell>
        </row>
        <row r="4429">
          <cell r="C4429">
            <v>208603.1</v>
          </cell>
          <cell r="D4429" t="str">
            <v>NU.OR 2305              F</v>
          </cell>
        </row>
        <row r="4430">
          <cell r="C4430">
            <v>309603.09999999998</v>
          </cell>
          <cell r="D4430" t="str">
            <v>NU/NJ.MCG 2305</v>
          </cell>
        </row>
        <row r="4431">
          <cell r="C4431">
            <v>511605.09</v>
          </cell>
          <cell r="D4431" t="str">
            <v>RO 9X14</v>
          </cell>
        </row>
        <row r="4432">
          <cell r="C4432">
            <v>913022</v>
          </cell>
          <cell r="D4432" t="str">
            <v>Box 65X25X65</v>
          </cell>
        </row>
        <row r="4433">
          <cell r="C4433">
            <v>104603.04</v>
          </cell>
          <cell r="D4433" t="str">
            <v>NJ.IR 305               F</v>
          </cell>
        </row>
        <row r="4434">
          <cell r="C4434">
            <v>104603.1</v>
          </cell>
          <cell r="D4434" t="str">
            <v>NU.IR 2305              F</v>
          </cell>
        </row>
        <row r="4435">
          <cell r="C4435">
            <v>208603.1</v>
          </cell>
          <cell r="D4435" t="str">
            <v>NU.OR 2305              F</v>
          </cell>
        </row>
        <row r="4436">
          <cell r="C4436">
            <v>309603.09999999998</v>
          </cell>
          <cell r="D4436" t="str">
            <v>NU/NJ.MCG 2305</v>
          </cell>
        </row>
        <row r="4437">
          <cell r="C4437">
            <v>511605.09</v>
          </cell>
          <cell r="D4437" t="str">
            <v>RO 9X14</v>
          </cell>
        </row>
        <row r="4438">
          <cell r="C4438">
            <v>913022</v>
          </cell>
          <cell r="D4438" t="str">
            <v>Box 65X25X65</v>
          </cell>
        </row>
        <row r="4439">
          <cell r="C4439">
            <v>208603.06</v>
          </cell>
          <cell r="D4439" t="str">
            <v>NU.OR 305               F</v>
          </cell>
        </row>
        <row r="4440">
          <cell r="C4440">
            <v>309490</v>
          </cell>
          <cell r="D4440" t="str">
            <v>NU.MCG 305</v>
          </cell>
        </row>
        <row r="4441">
          <cell r="C4441">
            <v>511992</v>
          </cell>
          <cell r="D4441" t="str">
            <v>RO 9X9</v>
          </cell>
        </row>
        <row r="4442">
          <cell r="C4442">
            <v>104603.14</v>
          </cell>
          <cell r="D4442" t="str">
            <v>NUP.IR 305</v>
          </cell>
        </row>
        <row r="4443">
          <cell r="C4443">
            <v>208603.06</v>
          </cell>
          <cell r="D4443" t="str">
            <v>NU.OR 305               F</v>
          </cell>
        </row>
        <row r="4444">
          <cell r="C4444">
            <v>309490</v>
          </cell>
          <cell r="D4444" t="str">
            <v>NU.MCG 305</v>
          </cell>
        </row>
        <row r="4445">
          <cell r="C4445">
            <v>511992</v>
          </cell>
          <cell r="D4445" t="str">
            <v>RO 9X9</v>
          </cell>
        </row>
        <row r="4446">
          <cell r="C4446">
            <v>604603.14</v>
          </cell>
          <cell r="D4446" t="str">
            <v>NUP.W 305</v>
          </cell>
        </row>
        <row r="4447">
          <cell r="C4447">
            <v>104603.17</v>
          </cell>
          <cell r="D4447" t="str">
            <v>NJ.IR 2205</v>
          </cell>
        </row>
        <row r="4448">
          <cell r="C4448">
            <v>208603.17</v>
          </cell>
          <cell r="D4448" t="str">
            <v>NJ.OR 2205</v>
          </cell>
        </row>
        <row r="4449">
          <cell r="C4449">
            <v>300603.07</v>
          </cell>
          <cell r="D4449" t="str">
            <v>NJ.MCG 2205</v>
          </cell>
        </row>
        <row r="4450">
          <cell r="C4450">
            <v>511438</v>
          </cell>
          <cell r="D4450" t="str">
            <v>RO 6.5X9(BPM)</v>
          </cell>
        </row>
        <row r="4451">
          <cell r="C4451">
            <v>100603.18</v>
          </cell>
          <cell r="D4451" t="str">
            <v>NUP.W 205</v>
          </cell>
        </row>
        <row r="4452">
          <cell r="C4452">
            <v>100603.19</v>
          </cell>
          <cell r="D4452" t="str">
            <v>NUP.IR 205</v>
          </cell>
        </row>
        <row r="4453">
          <cell r="C4453">
            <v>208603.05</v>
          </cell>
          <cell r="D4453" t="str">
            <v>NU.OR 205               F</v>
          </cell>
        </row>
        <row r="4454">
          <cell r="C4454">
            <v>309603.05</v>
          </cell>
          <cell r="D4454" t="str">
            <v>NU/NJ.MCG 205</v>
          </cell>
        </row>
        <row r="4455">
          <cell r="C4455">
            <v>511493</v>
          </cell>
          <cell r="D4455" t="str">
            <v>RO 6.5X6.5</v>
          </cell>
        </row>
        <row r="4456">
          <cell r="C4456">
            <v>104603.27</v>
          </cell>
          <cell r="D4456" t="str">
            <v>NUP.IR 2205</v>
          </cell>
        </row>
        <row r="4457">
          <cell r="C4457">
            <v>104603.28</v>
          </cell>
          <cell r="D4457" t="str">
            <v>NUP.W 2205</v>
          </cell>
        </row>
        <row r="4458">
          <cell r="C4458">
            <v>208603.17</v>
          </cell>
          <cell r="D4458" t="str">
            <v>NJ.OR 2205</v>
          </cell>
        </row>
        <row r="4459">
          <cell r="C4459">
            <v>300603.07</v>
          </cell>
          <cell r="D4459" t="str">
            <v>NJ.MCG 2205</v>
          </cell>
        </row>
        <row r="4460">
          <cell r="C4460">
            <v>511438</v>
          </cell>
          <cell r="D4460" t="str">
            <v>RO 6.5X9(BPM)</v>
          </cell>
        </row>
        <row r="4461">
          <cell r="C4461">
            <v>100603.3</v>
          </cell>
          <cell r="D4461" t="str">
            <v>NUP.IR 207 ECP</v>
          </cell>
        </row>
        <row r="4462">
          <cell r="C4462">
            <v>100603.31</v>
          </cell>
          <cell r="D4462" t="str">
            <v>NUP.W 207 ECP</v>
          </cell>
        </row>
        <row r="4463">
          <cell r="C4463">
            <v>200603.3</v>
          </cell>
          <cell r="D4463" t="str">
            <v>NUP.OR 207 ECP</v>
          </cell>
        </row>
        <row r="4464">
          <cell r="C4464">
            <v>300603.3</v>
          </cell>
          <cell r="D4464" t="str">
            <v>NUP.NCG 207 ECP</v>
          </cell>
        </row>
        <row r="4465">
          <cell r="C4465">
            <v>511612.06</v>
          </cell>
          <cell r="D4465" t="str">
            <v>RO 10X11</v>
          </cell>
        </row>
        <row r="4466">
          <cell r="C4466">
            <v>104604.01</v>
          </cell>
          <cell r="D4466" t="str">
            <v>N.IR 206                F</v>
          </cell>
        </row>
        <row r="4467">
          <cell r="C4467">
            <v>208604.01</v>
          </cell>
          <cell r="D4467" t="str">
            <v>N.OR 206                F</v>
          </cell>
        </row>
        <row r="4468">
          <cell r="C4468">
            <v>309604.01</v>
          </cell>
          <cell r="D4468" t="str">
            <v>N.MCG 206</v>
          </cell>
        </row>
        <row r="4469">
          <cell r="C4469">
            <v>511604.05</v>
          </cell>
          <cell r="D4469" t="str">
            <v>RO 7.5X7.5 BPM</v>
          </cell>
        </row>
        <row r="4470">
          <cell r="C4470">
            <v>104604.02</v>
          </cell>
          <cell r="D4470" t="str">
            <v>N.IR 306                F</v>
          </cell>
        </row>
        <row r="4471">
          <cell r="C4471">
            <v>208604.02</v>
          </cell>
          <cell r="D4471" t="str">
            <v>N.OR 306                F</v>
          </cell>
        </row>
        <row r="4472">
          <cell r="C4472">
            <v>309604.02</v>
          </cell>
          <cell r="D4472" t="str">
            <v>N.MCG 306</v>
          </cell>
        </row>
        <row r="4473">
          <cell r="C4473">
            <v>511604.06</v>
          </cell>
          <cell r="D4473" t="str">
            <v>RO 10X10 BPM</v>
          </cell>
        </row>
        <row r="4474">
          <cell r="C4474">
            <v>104604.03</v>
          </cell>
          <cell r="D4474" t="str">
            <v>NJ.IR 206</v>
          </cell>
        </row>
        <row r="4475">
          <cell r="C4475">
            <v>208604.05</v>
          </cell>
          <cell r="D4475" t="str">
            <v>NU.OR 206               F</v>
          </cell>
        </row>
        <row r="4476">
          <cell r="C4476">
            <v>309604.05</v>
          </cell>
          <cell r="D4476" t="str">
            <v>NU/NJ.MCG 206</v>
          </cell>
        </row>
        <row r="4477">
          <cell r="C4477">
            <v>511604.05</v>
          </cell>
          <cell r="D4477" t="str">
            <v>RO 7.5X7.5 BPM</v>
          </cell>
        </row>
        <row r="4478">
          <cell r="C4478">
            <v>104604.04</v>
          </cell>
          <cell r="D4478" t="str">
            <v>NJ.IR 306               F</v>
          </cell>
        </row>
        <row r="4479">
          <cell r="C4479">
            <v>208604.06</v>
          </cell>
          <cell r="D4479" t="str">
            <v>NU.OR 306               F</v>
          </cell>
        </row>
        <row r="4480">
          <cell r="C4480">
            <v>309604.06</v>
          </cell>
          <cell r="D4480" t="str">
            <v>NU/NJ.MCG 306</v>
          </cell>
        </row>
        <row r="4481">
          <cell r="C4481">
            <v>511604.06</v>
          </cell>
          <cell r="D4481" t="str">
            <v>RO 10X10 BPM</v>
          </cell>
        </row>
        <row r="4482">
          <cell r="C4482">
            <v>104604.05</v>
          </cell>
          <cell r="D4482" t="str">
            <v>NU.IR 206               F</v>
          </cell>
        </row>
        <row r="4483">
          <cell r="C4483">
            <v>208604.05</v>
          </cell>
          <cell r="D4483" t="str">
            <v>NU.OR 206               F</v>
          </cell>
        </row>
        <row r="4484">
          <cell r="C4484">
            <v>309604.05</v>
          </cell>
          <cell r="D4484" t="str">
            <v>NU/NJ.MCG 206</v>
          </cell>
        </row>
        <row r="4485">
          <cell r="C4485">
            <v>511604.05</v>
          </cell>
          <cell r="D4485" t="str">
            <v>RO 7.5X7.5 BPM</v>
          </cell>
        </row>
        <row r="4486">
          <cell r="C4486">
            <v>104604.06</v>
          </cell>
          <cell r="D4486" t="str">
            <v>NU.IR 306               F</v>
          </cell>
        </row>
        <row r="4487">
          <cell r="C4487">
            <v>208604.06</v>
          </cell>
          <cell r="D4487" t="str">
            <v>NU.OR 306               F</v>
          </cell>
        </row>
        <row r="4488">
          <cell r="C4488">
            <v>309604.06</v>
          </cell>
          <cell r="D4488" t="str">
            <v>NU/NJ.MCG 306</v>
          </cell>
        </row>
        <row r="4489">
          <cell r="C4489">
            <v>511604.06</v>
          </cell>
          <cell r="D4489" t="str">
            <v>RO 10X10 BPM</v>
          </cell>
        </row>
        <row r="4490">
          <cell r="C4490">
            <v>913023</v>
          </cell>
          <cell r="D4490" t="str">
            <v>Box 75X25X75</v>
          </cell>
        </row>
        <row r="4491">
          <cell r="C4491">
            <v>104604.07</v>
          </cell>
          <cell r="D4491" t="str">
            <v>NJ.IR 2206              F</v>
          </cell>
        </row>
        <row r="4492">
          <cell r="C4492">
            <v>208604.07</v>
          </cell>
          <cell r="D4492" t="str">
            <v>NJ.OR 2206              F</v>
          </cell>
        </row>
        <row r="4493">
          <cell r="C4493">
            <v>309604.07</v>
          </cell>
          <cell r="D4493" t="str">
            <v>NU/NJ.MCG 2206</v>
          </cell>
        </row>
        <row r="4494">
          <cell r="C4494">
            <v>511604.07</v>
          </cell>
          <cell r="D4494" t="str">
            <v>RO 7.5X11 BPM</v>
          </cell>
        </row>
        <row r="4495">
          <cell r="C4495">
            <v>913022</v>
          </cell>
          <cell r="D4495" t="str">
            <v>Box 65X25X65</v>
          </cell>
        </row>
        <row r="4496">
          <cell r="C4496">
            <v>104604.08</v>
          </cell>
          <cell r="D4496" t="str">
            <v>NJ.IR 2306              F</v>
          </cell>
        </row>
        <row r="4497">
          <cell r="C4497">
            <v>208604.1</v>
          </cell>
          <cell r="D4497" t="str">
            <v>NU.OR 2306              F</v>
          </cell>
        </row>
        <row r="4498">
          <cell r="C4498">
            <v>309604.09999999998</v>
          </cell>
          <cell r="D4498" t="str">
            <v>NU/NJ.MCG 2306</v>
          </cell>
        </row>
        <row r="4499">
          <cell r="C4499">
            <v>511604.08</v>
          </cell>
          <cell r="D4499" t="str">
            <v>RO 11X20</v>
          </cell>
        </row>
        <row r="4500">
          <cell r="C4500">
            <v>913002</v>
          </cell>
          <cell r="D4500" t="str">
            <v>Box 75x30x75</v>
          </cell>
        </row>
        <row r="4501">
          <cell r="C4501">
            <v>104604.09</v>
          </cell>
          <cell r="D4501" t="str">
            <v>NU.IR 2206              F</v>
          </cell>
        </row>
        <row r="4502">
          <cell r="C4502">
            <v>208604.07</v>
          </cell>
          <cell r="D4502" t="str">
            <v>NJ.OR 2206              F</v>
          </cell>
        </row>
        <row r="4503">
          <cell r="C4503">
            <v>309604.07</v>
          </cell>
          <cell r="D4503" t="str">
            <v>NU/NJ.MCG 2206</v>
          </cell>
        </row>
        <row r="4504">
          <cell r="C4504">
            <v>511604.07</v>
          </cell>
          <cell r="D4504" t="str">
            <v>RO 7.5X11 BPM</v>
          </cell>
        </row>
        <row r="4505">
          <cell r="C4505">
            <v>913022</v>
          </cell>
          <cell r="D4505" t="str">
            <v>Box 65X25X65</v>
          </cell>
        </row>
        <row r="4506">
          <cell r="C4506">
            <v>104604.1</v>
          </cell>
          <cell r="D4506" t="str">
            <v>NU.IR 2306</v>
          </cell>
        </row>
        <row r="4507">
          <cell r="C4507">
            <v>208604.1</v>
          </cell>
          <cell r="D4507" t="str">
            <v>NU.OR 2306              F</v>
          </cell>
        </row>
        <row r="4508">
          <cell r="C4508">
            <v>309604.09999999998</v>
          </cell>
          <cell r="D4508" t="str">
            <v>NU/NJ.MCG 2306</v>
          </cell>
        </row>
        <row r="4509">
          <cell r="C4509">
            <v>511604.08</v>
          </cell>
          <cell r="D4509" t="str">
            <v>RO 11X20</v>
          </cell>
        </row>
        <row r="4510">
          <cell r="C4510">
            <v>104604.11</v>
          </cell>
          <cell r="D4510" t="str">
            <v>NJ.IR 406              F</v>
          </cell>
        </row>
        <row r="4511">
          <cell r="C4511">
            <v>208604.11</v>
          </cell>
          <cell r="D4511" t="str">
            <v>NJ.OR 406               F</v>
          </cell>
        </row>
        <row r="4512">
          <cell r="C4512">
            <v>309604.11</v>
          </cell>
          <cell r="D4512" t="str">
            <v>NJ.MCG 406</v>
          </cell>
        </row>
        <row r="4513">
          <cell r="C4513">
            <v>511998</v>
          </cell>
          <cell r="D4513" t="str">
            <v>RO 14X14</v>
          </cell>
        </row>
        <row r="4514">
          <cell r="C4514">
            <v>104604.12</v>
          </cell>
          <cell r="D4514" t="str">
            <v>NUP.IR 2206             F</v>
          </cell>
        </row>
        <row r="4515">
          <cell r="C4515">
            <v>104604.22</v>
          </cell>
          <cell r="D4515" t="str">
            <v>NUP.WASHER 2206         F</v>
          </cell>
        </row>
        <row r="4516">
          <cell r="C4516">
            <v>208604.07</v>
          </cell>
          <cell r="D4516" t="str">
            <v>NJ.OR 2206              F</v>
          </cell>
        </row>
        <row r="4517">
          <cell r="C4517">
            <v>309604.07</v>
          </cell>
          <cell r="D4517" t="str">
            <v>NU/NJ.MCG 2206</v>
          </cell>
        </row>
        <row r="4518">
          <cell r="C4518">
            <v>511604.07</v>
          </cell>
          <cell r="D4518" t="str">
            <v>RO 7.5X11 BPM</v>
          </cell>
        </row>
        <row r="4519">
          <cell r="C4519">
            <v>104605.01</v>
          </cell>
          <cell r="D4519" t="str">
            <v>N.IR 207                F</v>
          </cell>
        </row>
        <row r="4520">
          <cell r="C4520">
            <v>208605.01</v>
          </cell>
          <cell r="D4520" t="str">
            <v>N.OR 207                F</v>
          </cell>
        </row>
        <row r="4521">
          <cell r="C4521">
            <v>309605.01</v>
          </cell>
          <cell r="D4521" t="str">
            <v>N.MCG 207</v>
          </cell>
        </row>
        <row r="4522">
          <cell r="C4522">
            <v>511992</v>
          </cell>
          <cell r="D4522" t="str">
            <v>RO 9X9</v>
          </cell>
        </row>
        <row r="4523">
          <cell r="C4523">
            <v>913023</v>
          </cell>
          <cell r="D4523" t="str">
            <v>Box 75X25X75</v>
          </cell>
        </row>
        <row r="4524">
          <cell r="C4524">
            <v>104605.02</v>
          </cell>
          <cell r="D4524" t="str">
            <v>N.IR 307                F</v>
          </cell>
        </row>
        <row r="4525">
          <cell r="C4525">
            <v>208605.02</v>
          </cell>
          <cell r="D4525" t="str">
            <v>N.OR 307                F</v>
          </cell>
        </row>
        <row r="4526">
          <cell r="C4526">
            <v>309605.02</v>
          </cell>
          <cell r="D4526" t="str">
            <v>N.MCG 307</v>
          </cell>
        </row>
        <row r="4527">
          <cell r="C4527">
            <v>511475</v>
          </cell>
          <cell r="D4527" t="str">
            <v>RO 11X11 BPM</v>
          </cell>
        </row>
        <row r="4528">
          <cell r="C4528">
            <v>104605.03</v>
          </cell>
          <cell r="D4528" t="str">
            <v>NJ.IR 207               F</v>
          </cell>
        </row>
        <row r="4529">
          <cell r="C4529">
            <v>208605.05</v>
          </cell>
          <cell r="D4529" t="str">
            <v>NU.OR 207               F</v>
          </cell>
        </row>
        <row r="4530">
          <cell r="C4530">
            <v>309605.05</v>
          </cell>
          <cell r="D4530" t="str">
            <v>NU/NJ.MCG 207</v>
          </cell>
        </row>
        <row r="4531">
          <cell r="C4531">
            <v>511992</v>
          </cell>
          <cell r="D4531" t="str">
            <v>RO 9X9</v>
          </cell>
        </row>
        <row r="4532">
          <cell r="C4532">
            <v>913023</v>
          </cell>
          <cell r="D4532" t="str">
            <v>Box 75X25X75</v>
          </cell>
        </row>
        <row r="4533">
          <cell r="C4533">
            <v>104605.04</v>
          </cell>
          <cell r="D4533" t="str">
            <v>NJ.IR 307               F</v>
          </cell>
        </row>
        <row r="4534">
          <cell r="C4534">
            <v>208605.06</v>
          </cell>
          <cell r="D4534" t="str">
            <v>NU.OR 307               F</v>
          </cell>
        </row>
        <row r="4535">
          <cell r="C4535">
            <v>309605.06</v>
          </cell>
          <cell r="D4535" t="str">
            <v>NU.MCG 307</v>
          </cell>
        </row>
        <row r="4536">
          <cell r="C4536">
            <v>511475</v>
          </cell>
          <cell r="D4536" t="str">
            <v>RO 11X11 BPM</v>
          </cell>
        </row>
        <row r="4537">
          <cell r="C4537">
            <v>913024</v>
          </cell>
          <cell r="D4537" t="str">
            <v>Box 85X25X85</v>
          </cell>
        </row>
        <row r="4538">
          <cell r="C4538">
            <v>104605.05</v>
          </cell>
          <cell r="D4538" t="str">
            <v>NU.IR 207               F</v>
          </cell>
        </row>
        <row r="4539">
          <cell r="C4539">
            <v>208605.05</v>
          </cell>
          <cell r="D4539" t="str">
            <v>NU.OR 207               F</v>
          </cell>
        </row>
        <row r="4540">
          <cell r="C4540">
            <v>309605.05</v>
          </cell>
          <cell r="D4540" t="str">
            <v>NU/NJ.MCG 207</v>
          </cell>
        </row>
        <row r="4541">
          <cell r="C4541">
            <v>511992</v>
          </cell>
          <cell r="D4541" t="str">
            <v>RO 9X9</v>
          </cell>
        </row>
        <row r="4542">
          <cell r="C4542">
            <v>913024</v>
          </cell>
          <cell r="D4542" t="str">
            <v>Box 85X25X85</v>
          </cell>
        </row>
        <row r="4543">
          <cell r="C4543">
            <v>104605.06</v>
          </cell>
          <cell r="D4543" t="str">
            <v>NU.IR 307               F</v>
          </cell>
        </row>
        <row r="4544">
          <cell r="C4544">
            <v>208605.06</v>
          </cell>
          <cell r="D4544" t="str">
            <v>NU.OR 307               F</v>
          </cell>
        </row>
        <row r="4545">
          <cell r="C4545">
            <v>309605.06</v>
          </cell>
          <cell r="D4545" t="str">
            <v>NU.MCG 307</v>
          </cell>
        </row>
        <row r="4546">
          <cell r="C4546">
            <v>511475</v>
          </cell>
          <cell r="D4546" t="str">
            <v>RO 11X11 BPM</v>
          </cell>
        </row>
        <row r="4547">
          <cell r="C4547">
            <v>913024</v>
          </cell>
          <cell r="D4547" t="str">
            <v>Box 85X25X85</v>
          </cell>
        </row>
        <row r="4548">
          <cell r="C4548">
            <v>104605.07</v>
          </cell>
          <cell r="D4548" t="str">
            <v>NJ.IR 2207              F</v>
          </cell>
        </row>
        <row r="4549">
          <cell r="C4549">
            <v>208605.09</v>
          </cell>
          <cell r="D4549" t="str">
            <v>NU.OR 2207              F</v>
          </cell>
        </row>
        <row r="4550">
          <cell r="C4550">
            <v>309605.09000000003</v>
          </cell>
          <cell r="D4550" t="str">
            <v>NU.MCG 2207</v>
          </cell>
        </row>
        <row r="4551">
          <cell r="C4551">
            <v>511605.09</v>
          </cell>
          <cell r="D4551" t="str">
            <v>RO 9X14</v>
          </cell>
        </row>
        <row r="4552">
          <cell r="C4552">
            <v>913002</v>
          </cell>
          <cell r="D4552" t="str">
            <v>Box 75x30x75</v>
          </cell>
        </row>
        <row r="4553">
          <cell r="C4553">
            <v>104605.08</v>
          </cell>
          <cell r="D4553" t="str">
            <v>NJ.IR 2307              F</v>
          </cell>
        </row>
        <row r="4554">
          <cell r="C4554">
            <v>208605.1</v>
          </cell>
          <cell r="D4554" t="str">
            <v>NU.OR 2307              F</v>
          </cell>
        </row>
        <row r="4555">
          <cell r="C4555">
            <v>309605.09999999998</v>
          </cell>
          <cell r="D4555" t="str">
            <v>NU.MCG 2307</v>
          </cell>
        </row>
        <row r="4556">
          <cell r="C4556">
            <v>511604.08</v>
          </cell>
          <cell r="D4556" t="str">
            <v>RO 11X20</v>
          </cell>
        </row>
        <row r="4557">
          <cell r="C4557">
            <v>913007</v>
          </cell>
          <cell r="D4557" t="str">
            <v>Box 78x45x78</v>
          </cell>
        </row>
        <row r="4558">
          <cell r="C4558">
            <v>104605.09</v>
          </cell>
          <cell r="D4558" t="str">
            <v>NU.IR 2207              F</v>
          </cell>
        </row>
        <row r="4559">
          <cell r="C4559">
            <v>208605.09</v>
          </cell>
          <cell r="D4559" t="str">
            <v>NU.OR 2207              F</v>
          </cell>
        </row>
        <row r="4560">
          <cell r="C4560">
            <v>309605.09000000003</v>
          </cell>
          <cell r="D4560" t="str">
            <v>NU.MCG 2207</v>
          </cell>
        </row>
        <row r="4561">
          <cell r="C4561">
            <v>511605.09</v>
          </cell>
          <cell r="D4561" t="str">
            <v>RO 9X14</v>
          </cell>
        </row>
        <row r="4562">
          <cell r="C4562">
            <v>913002</v>
          </cell>
          <cell r="D4562" t="str">
            <v>Box 75x30x75</v>
          </cell>
        </row>
        <row r="4563">
          <cell r="C4563">
            <v>104605.1</v>
          </cell>
          <cell r="D4563" t="str">
            <v>NU.IR 2307              F</v>
          </cell>
        </row>
        <row r="4564">
          <cell r="C4564">
            <v>208605.1</v>
          </cell>
          <cell r="D4564" t="str">
            <v>NU.OR 2307              F</v>
          </cell>
        </row>
        <row r="4565">
          <cell r="C4565">
            <v>309605.09999999998</v>
          </cell>
          <cell r="D4565" t="str">
            <v>NU.MCG 2307</v>
          </cell>
        </row>
        <row r="4566">
          <cell r="C4566">
            <v>511604.08</v>
          </cell>
          <cell r="D4566" t="str">
            <v>RO 11X20</v>
          </cell>
        </row>
        <row r="4567">
          <cell r="C4567">
            <v>104605.11</v>
          </cell>
          <cell r="D4567" t="str">
            <v>NJ.IR 408               F</v>
          </cell>
        </row>
        <row r="4568">
          <cell r="C4568">
            <v>208605.11</v>
          </cell>
          <cell r="D4568" t="str">
            <v>NJ.OR 408               F</v>
          </cell>
        </row>
        <row r="4569">
          <cell r="C4569">
            <v>309605.11</v>
          </cell>
          <cell r="D4569" t="str">
            <v>NJ.MCG 408</v>
          </cell>
        </row>
        <row r="4570">
          <cell r="C4570">
            <v>511609.06</v>
          </cell>
          <cell r="D4570" t="str">
            <v>RO 17X17</v>
          </cell>
        </row>
        <row r="4571">
          <cell r="C4571">
            <v>104606.01</v>
          </cell>
          <cell r="D4571" t="str">
            <v>N.IR 208                F</v>
          </cell>
        </row>
        <row r="4572">
          <cell r="C4572">
            <v>208606.01</v>
          </cell>
          <cell r="D4572" t="str">
            <v>N.OR 208                F</v>
          </cell>
        </row>
        <row r="4573">
          <cell r="C4573">
            <v>309606.01</v>
          </cell>
          <cell r="D4573" t="str">
            <v>N.MCG 208</v>
          </cell>
        </row>
        <row r="4574">
          <cell r="C4574">
            <v>511604.06</v>
          </cell>
          <cell r="D4574" t="str">
            <v>RO 10X10 BPM</v>
          </cell>
        </row>
        <row r="4575">
          <cell r="C4575">
            <v>104606.02</v>
          </cell>
          <cell r="D4575" t="str">
            <v>N.IR 308                F</v>
          </cell>
        </row>
        <row r="4576">
          <cell r="C4576">
            <v>208606.02</v>
          </cell>
          <cell r="D4576" t="str">
            <v>N.OR 308                F</v>
          </cell>
        </row>
        <row r="4577">
          <cell r="C4577">
            <v>309606.02</v>
          </cell>
          <cell r="D4577" t="str">
            <v>N.MCG 308</v>
          </cell>
        </row>
        <row r="4578">
          <cell r="C4578">
            <v>511606.02</v>
          </cell>
          <cell r="D4578" t="str">
            <v>RO 12X13 BPM</v>
          </cell>
        </row>
        <row r="4579">
          <cell r="C4579">
            <v>913025</v>
          </cell>
          <cell r="D4579" t="str">
            <v>Box 90X30X90</v>
          </cell>
        </row>
        <row r="4580">
          <cell r="C4580">
            <v>104606.03</v>
          </cell>
          <cell r="D4580" t="str">
            <v>NJ.IR 208               F</v>
          </cell>
        </row>
        <row r="4581">
          <cell r="C4581">
            <v>208606.05</v>
          </cell>
          <cell r="D4581" t="str">
            <v>NU.OR 208               F</v>
          </cell>
        </row>
        <row r="4582">
          <cell r="C4582">
            <v>309606.05</v>
          </cell>
          <cell r="D4582" t="str">
            <v>NU.MCG 208</v>
          </cell>
        </row>
        <row r="4583">
          <cell r="C4583">
            <v>511604.06</v>
          </cell>
          <cell r="D4583" t="str">
            <v>RO 10X10 BPM</v>
          </cell>
        </row>
        <row r="4584">
          <cell r="C4584">
            <v>104606.04</v>
          </cell>
          <cell r="D4584" t="str">
            <v>NJ.IR 308               F</v>
          </cell>
        </row>
        <row r="4585">
          <cell r="C4585">
            <v>208606.06</v>
          </cell>
          <cell r="D4585" t="str">
            <v>NU.OR 308               F</v>
          </cell>
        </row>
        <row r="4586">
          <cell r="C4586">
            <v>309606.06</v>
          </cell>
          <cell r="D4586" t="str">
            <v>NU/NJ.MCG 308</v>
          </cell>
        </row>
        <row r="4587">
          <cell r="C4587">
            <v>511613.06</v>
          </cell>
          <cell r="D4587" t="str">
            <v>RO 12X14 BPM</v>
          </cell>
        </row>
        <row r="4588">
          <cell r="C4588">
            <v>104606.05</v>
          </cell>
          <cell r="D4588" t="str">
            <v>NU.IR 208               F</v>
          </cell>
        </row>
        <row r="4589">
          <cell r="C4589">
            <v>208606.05</v>
          </cell>
          <cell r="D4589" t="str">
            <v>NU.OR 208               F</v>
          </cell>
        </row>
        <row r="4590">
          <cell r="C4590">
            <v>309606.05</v>
          </cell>
          <cell r="D4590" t="str">
            <v>NU.MCG 208</v>
          </cell>
        </row>
        <row r="4591">
          <cell r="C4591">
            <v>511604.06</v>
          </cell>
          <cell r="D4591" t="str">
            <v>RO 10X10 BPM</v>
          </cell>
        </row>
        <row r="4592">
          <cell r="C4592">
            <v>104606.06</v>
          </cell>
          <cell r="D4592" t="str">
            <v>NU.IR 308               F</v>
          </cell>
        </row>
        <row r="4593">
          <cell r="C4593">
            <v>208606.06</v>
          </cell>
          <cell r="D4593" t="str">
            <v>NU.OR 308               F</v>
          </cell>
        </row>
        <row r="4594">
          <cell r="C4594">
            <v>309606.06</v>
          </cell>
          <cell r="D4594" t="str">
            <v>NU/NJ.MCG 308</v>
          </cell>
        </row>
        <row r="4595">
          <cell r="C4595">
            <v>511613.06</v>
          </cell>
          <cell r="D4595" t="str">
            <v>RO 12X14 BPM</v>
          </cell>
        </row>
        <row r="4596">
          <cell r="C4596">
            <v>104606.07</v>
          </cell>
          <cell r="D4596" t="str">
            <v>NJ.IR 2208              F</v>
          </cell>
        </row>
        <row r="4597">
          <cell r="C4597">
            <v>208606.09</v>
          </cell>
          <cell r="D4597" t="str">
            <v>NU.OR 2208              F</v>
          </cell>
        </row>
        <row r="4598">
          <cell r="C4598">
            <v>309606.09000000003</v>
          </cell>
          <cell r="D4598" t="str">
            <v>NU.MCG 2208</v>
          </cell>
        </row>
        <row r="4599">
          <cell r="C4599">
            <v>511607.07</v>
          </cell>
          <cell r="D4599" t="str">
            <v>RO 10X15 BPM</v>
          </cell>
        </row>
        <row r="4600">
          <cell r="C4600">
            <v>104606.08</v>
          </cell>
          <cell r="D4600" t="str">
            <v>NJ.IR 2308              F</v>
          </cell>
        </row>
        <row r="4601">
          <cell r="C4601">
            <v>208606.1</v>
          </cell>
          <cell r="D4601" t="str">
            <v>NU.OR 2308              F</v>
          </cell>
        </row>
        <row r="4602">
          <cell r="C4602">
            <v>309606.09999999998</v>
          </cell>
          <cell r="D4602" t="str">
            <v>NU.MCG 2308</v>
          </cell>
        </row>
        <row r="4603">
          <cell r="C4603">
            <v>511606.1</v>
          </cell>
          <cell r="D4603" t="str">
            <v>RO 12X20</v>
          </cell>
        </row>
        <row r="4604">
          <cell r="C4604">
            <v>104606.09</v>
          </cell>
          <cell r="D4604" t="str">
            <v>NU.IR 2208              F</v>
          </cell>
        </row>
        <row r="4605">
          <cell r="C4605">
            <v>208606.09</v>
          </cell>
          <cell r="D4605" t="str">
            <v>NU.OR 2208              F</v>
          </cell>
        </row>
        <row r="4606">
          <cell r="C4606">
            <v>309606.09000000003</v>
          </cell>
          <cell r="D4606" t="str">
            <v>NU.MCG 2208</v>
          </cell>
        </row>
        <row r="4607">
          <cell r="C4607">
            <v>511607.07</v>
          </cell>
          <cell r="D4607" t="str">
            <v>RO 10X15 BPM</v>
          </cell>
        </row>
        <row r="4608">
          <cell r="C4608">
            <v>104606.1</v>
          </cell>
          <cell r="D4608" t="str">
            <v>NU.IR 2308              F</v>
          </cell>
        </row>
        <row r="4609">
          <cell r="C4609">
            <v>208606.1</v>
          </cell>
          <cell r="D4609" t="str">
            <v>NU.OR 2308              F</v>
          </cell>
        </row>
        <row r="4610">
          <cell r="C4610">
            <v>309606.09999999998</v>
          </cell>
          <cell r="D4610" t="str">
            <v>NU.MCG 2308</v>
          </cell>
        </row>
        <row r="4611">
          <cell r="C4611">
            <v>511606.1</v>
          </cell>
          <cell r="D4611" t="str">
            <v>RO 12X20</v>
          </cell>
        </row>
        <row r="4612">
          <cell r="C4612">
            <v>104607.01</v>
          </cell>
          <cell r="D4612" t="str">
            <v>N.IR 209                F</v>
          </cell>
        </row>
        <row r="4613">
          <cell r="C4613">
            <v>208607.01</v>
          </cell>
          <cell r="D4613" t="str">
            <v>N.OR 209                F</v>
          </cell>
        </row>
        <row r="4614">
          <cell r="C4614">
            <v>309607.01</v>
          </cell>
          <cell r="D4614" t="str">
            <v>N.MCG 209</v>
          </cell>
        </row>
        <row r="4615">
          <cell r="C4615">
            <v>511604.06</v>
          </cell>
          <cell r="D4615" t="str">
            <v>RO 10X10 BPM</v>
          </cell>
        </row>
        <row r="4616">
          <cell r="C4616">
            <v>104607.02</v>
          </cell>
          <cell r="D4616" t="str">
            <v>N.IR 309                F</v>
          </cell>
        </row>
        <row r="4617">
          <cell r="C4617">
            <v>208607.02</v>
          </cell>
          <cell r="D4617" t="str">
            <v>N.OR 309                F</v>
          </cell>
        </row>
        <row r="4618">
          <cell r="C4618">
            <v>309607.02</v>
          </cell>
          <cell r="D4618" t="str">
            <v>N.MCG 309</v>
          </cell>
        </row>
        <row r="4619">
          <cell r="C4619">
            <v>511614.06</v>
          </cell>
          <cell r="D4619" t="str">
            <v>RO 15X16</v>
          </cell>
        </row>
        <row r="4620">
          <cell r="C4620">
            <v>104607.03</v>
          </cell>
          <cell r="D4620" t="str">
            <v>NJ.IR 209               F</v>
          </cell>
        </row>
        <row r="4621">
          <cell r="C4621">
            <v>208607.05</v>
          </cell>
          <cell r="D4621" t="str">
            <v>NU.OR 209               F</v>
          </cell>
        </row>
        <row r="4622">
          <cell r="C4622">
            <v>309607.05</v>
          </cell>
          <cell r="D4622" t="str">
            <v>NU/NJ.MCG 209</v>
          </cell>
        </row>
        <row r="4623">
          <cell r="C4623">
            <v>511604.06</v>
          </cell>
          <cell r="D4623" t="str">
            <v>RO 10X10 BPM</v>
          </cell>
        </row>
        <row r="4624">
          <cell r="C4624">
            <v>913024</v>
          </cell>
          <cell r="D4624" t="str">
            <v>Box 85X25X85</v>
          </cell>
        </row>
        <row r="4625">
          <cell r="C4625">
            <v>104607.03999999999</v>
          </cell>
          <cell r="D4625" t="str">
            <v>NJ.IR 309               F</v>
          </cell>
        </row>
        <row r="4626">
          <cell r="C4626">
            <v>208489</v>
          </cell>
          <cell r="D4626" t="str">
            <v>NU.OR 309</v>
          </cell>
        </row>
        <row r="4627">
          <cell r="C4627">
            <v>309489</v>
          </cell>
          <cell r="D4627" t="str">
            <v>NU.MCG 309</v>
          </cell>
        </row>
        <row r="4628">
          <cell r="C4628">
            <v>511998</v>
          </cell>
          <cell r="D4628" t="str">
            <v>RO 14X14</v>
          </cell>
        </row>
        <row r="4629">
          <cell r="C4629">
            <v>104607.05</v>
          </cell>
          <cell r="D4629" t="str">
            <v>NU.IR 209               F</v>
          </cell>
        </row>
        <row r="4630">
          <cell r="C4630">
            <v>208607.05</v>
          </cell>
          <cell r="D4630" t="str">
            <v>NU.OR 209               F</v>
          </cell>
        </row>
        <row r="4631">
          <cell r="C4631">
            <v>309607.05</v>
          </cell>
          <cell r="D4631" t="str">
            <v>NU/NJ.MCG 209</v>
          </cell>
        </row>
        <row r="4632">
          <cell r="C4632">
            <v>511604.06</v>
          </cell>
          <cell r="D4632" t="str">
            <v>RO 10X10 BPM</v>
          </cell>
        </row>
        <row r="4633">
          <cell r="C4633">
            <v>913024</v>
          </cell>
          <cell r="D4633" t="str">
            <v>Box 85X25X85</v>
          </cell>
        </row>
        <row r="4634">
          <cell r="C4634">
            <v>104607.03999999999</v>
          </cell>
          <cell r="D4634" t="str">
            <v>NJ.IR 309               F</v>
          </cell>
        </row>
        <row r="4635">
          <cell r="C4635">
            <v>208489</v>
          </cell>
          <cell r="D4635" t="str">
            <v>NU.OR 309</v>
          </cell>
        </row>
        <row r="4636">
          <cell r="C4636">
            <v>309489</v>
          </cell>
          <cell r="D4636" t="str">
            <v>NU.MCG 309</v>
          </cell>
        </row>
        <row r="4637">
          <cell r="C4637">
            <v>511998</v>
          </cell>
          <cell r="D4637" t="str">
            <v>RO 14X14</v>
          </cell>
        </row>
        <row r="4638">
          <cell r="C4638">
            <v>104607.07</v>
          </cell>
          <cell r="D4638" t="str">
            <v>NJ.IR 2209</v>
          </cell>
        </row>
        <row r="4639">
          <cell r="C4639">
            <v>208607.07</v>
          </cell>
          <cell r="D4639" t="str">
            <v>NJ.OR 2209              F</v>
          </cell>
        </row>
        <row r="4640">
          <cell r="C4640">
            <v>309607.07</v>
          </cell>
          <cell r="D4640" t="str">
            <v>NU/NJ.MCG 2209</v>
          </cell>
        </row>
        <row r="4641">
          <cell r="C4641">
            <v>511607.07</v>
          </cell>
          <cell r="D4641" t="str">
            <v>RO 10X15 BPM</v>
          </cell>
        </row>
        <row r="4642">
          <cell r="C4642">
            <v>913027</v>
          </cell>
          <cell r="D4642" t="str">
            <v>Box 105X30X105</v>
          </cell>
        </row>
        <row r="4643">
          <cell r="C4643">
            <v>104607.09</v>
          </cell>
          <cell r="D4643" t="str">
            <v>NU.IR 2209              F</v>
          </cell>
        </row>
        <row r="4644">
          <cell r="C4644">
            <v>208607.07</v>
          </cell>
          <cell r="D4644" t="str">
            <v>NJ.OR 2209              F</v>
          </cell>
        </row>
        <row r="4645">
          <cell r="C4645">
            <v>309607.07</v>
          </cell>
          <cell r="D4645" t="str">
            <v>NU/NJ.MCG 2209</v>
          </cell>
        </row>
        <row r="4646">
          <cell r="C4646">
            <v>511607.07</v>
          </cell>
          <cell r="D4646" t="str">
            <v>RO 10X15 BPM</v>
          </cell>
        </row>
        <row r="4647">
          <cell r="C4647">
            <v>913027</v>
          </cell>
          <cell r="D4647" t="str">
            <v>Box 105X30X105</v>
          </cell>
        </row>
        <row r="4648">
          <cell r="C4648">
            <v>104607.1</v>
          </cell>
          <cell r="D4648" t="str">
            <v>NU.IR 2309              F</v>
          </cell>
        </row>
        <row r="4649">
          <cell r="C4649">
            <v>104608.01</v>
          </cell>
          <cell r="D4649" t="str">
            <v>N.IR 210                F</v>
          </cell>
        </row>
        <row r="4650">
          <cell r="C4650">
            <v>208608.01</v>
          </cell>
          <cell r="D4650" t="str">
            <v>N.OR 210                F</v>
          </cell>
        </row>
        <row r="4651">
          <cell r="C4651">
            <v>309608.01</v>
          </cell>
          <cell r="D4651" t="str">
            <v>N.MCG 210</v>
          </cell>
        </row>
        <row r="4652">
          <cell r="C4652">
            <v>511608.01</v>
          </cell>
          <cell r="D4652" t="str">
            <v>RO 10X12.150</v>
          </cell>
        </row>
        <row r="4653">
          <cell r="C4653">
            <v>104608.02</v>
          </cell>
          <cell r="D4653" t="str">
            <v>N.IR 310                F</v>
          </cell>
        </row>
        <row r="4654">
          <cell r="C4654">
            <v>208608.02</v>
          </cell>
          <cell r="D4654" t="str">
            <v>N.OR 310                F</v>
          </cell>
        </row>
        <row r="4655">
          <cell r="C4655">
            <v>309608.02</v>
          </cell>
          <cell r="D4655" t="str">
            <v>N.MCG 310</v>
          </cell>
        </row>
        <row r="4656">
          <cell r="C4656">
            <v>511474</v>
          </cell>
          <cell r="D4656" t="str">
            <v>RO 15X15 BPM</v>
          </cell>
        </row>
        <row r="4657">
          <cell r="C4657">
            <v>104608.03</v>
          </cell>
          <cell r="D4657" t="str">
            <v>NJ.IR 210               F</v>
          </cell>
        </row>
        <row r="4658">
          <cell r="C4658">
            <v>208608.05</v>
          </cell>
          <cell r="D4658" t="str">
            <v>NU.OR 210               F</v>
          </cell>
        </row>
        <row r="4659">
          <cell r="C4659">
            <v>309608.05</v>
          </cell>
          <cell r="D4659" t="str">
            <v>NU.MCG 210</v>
          </cell>
        </row>
        <row r="4660">
          <cell r="C4660">
            <v>511608.01</v>
          </cell>
          <cell r="D4660" t="str">
            <v>RO 10X12.150</v>
          </cell>
        </row>
        <row r="4661">
          <cell r="C4661">
            <v>104608.04</v>
          </cell>
          <cell r="D4661" t="str">
            <v>NJ.IR 310               F</v>
          </cell>
        </row>
        <row r="4662">
          <cell r="C4662">
            <v>208608.06</v>
          </cell>
          <cell r="D4662" t="str">
            <v>NU.OR 310               F</v>
          </cell>
        </row>
        <row r="4663">
          <cell r="C4663">
            <v>309608.06</v>
          </cell>
          <cell r="D4663" t="str">
            <v>NU.MCG 310</v>
          </cell>
        </row>
        <row r="4664">
          <cell r="C4664">
            <v>511474</v>
          </cell>
          <cell r="D4664" t="str">
            <v>RO 15X15 BPM</v>
          </cell>
        </row>
        <row r="4665">
          <cell r="C4665">
            <v>104608.05</v>
          </cell>
          <cell r="D4665" t="str">
            <v>NU.IR 210               F</v>
          </cell>
        </row>
        <row r="4666">
          <cell r="C4666">
            <v>208608.05</v>
          </cell>
          <cell r="D4666" t="str">
            <v>NU.OR 210               F</v>
          </cell>
        </row>
        <row r="4667">
          <cell r="C4667">
            <v>309608.05</v>
          </cell>
          <cell r="D4667" t="str">
            <v>NU.MCG 210</v>
          </cell>
        </row>
        <row r="4668">
          <cell r="C4668">
            <v>511608.01</v>
          </cell>
          <cell r="D4668" t="str">
            <v>RO 10X12.150</v>
          </cell>
        </row>
        <row r="4669">
          <cell r="C4669">
            <v>104608.06</v>
          </cell>
          <cell r="D4669" t="str">
            <v>NU.IR 310               F</v>
          </cell>
        </row>
        <row r="4670">
          <cell r="C4670">
            <v>208608.06</v>
          </cell>
          <cell r="D4670" t="str">
            <v>NU.OR 310               F</v>
          </cell>
        </row>
        <row r="4671">
          <cell r="C4671">
            <v>309608.06</v>
          </cell>
          <cell r="D4671" t="str">
            <v>NU.MCG 310</v>
          </cell>
        </row>
        <row r="4672">
          <cell r="C4672">
            <v>511474</v>
          </cell>
          <cell r="D4672" t="str">
            <v>RO 15X15 BPM</v>
          </cell>
        </row>
        <row r="4673">
          <cell r="C4673">
            <v>104608.07</v>
          </cell>
          <cell r="D4673" t="str">
            <v>NJ.IR 2210              F</v>
          </cell>
        </row>
        <row r="4674">
          <cell r="C4674">
            <v>208608.09</v>
          </cell>
          <cell r="D4674" t="str">
            <v>NU.OR 2210              F</v>
          </cell>
        </row>
        <row r="4675">
          <cell r="C4675">
            <v>309608.09000000003</v>
          </cell>
          <cell r="D4675" t="str">
            <v>NU.MCG 2210</v>
          </cell>
        </row>
        <row r="4676">
          <cell r="C4676">
            <v>511607.07</v>
          </cell>
          <cell r="D4676" t="str">
            <v>RO 10X15 BPM</v>
          </cell>
        </row>
        <row r="4677">
          <cell r="C4677">
            <v>104608.08</v>
          </cell>
          <cell r="D4677" t="str">
            <v>NJ.IR 2310              F</v>
          </cell>
        </row>
        <row r="4678">
          <cell r="C4678">
            <v>208608.1</v>
          </cell>
          <cell r="D4678" t="str">
            <v>NU.OR 2310              F</v>
          </cell>
        </row>
        <row r="4679">
          <cell r="C4679">
            <v>104608.09</v>
          </cell>
          <cell r="D4679" t="str">
            <v>NU.IR 2210              F</v>
          </cell>
        </row>
        <row r="4680">
          <cell r="C4680">
            <v>208608.09</v>
          </cell>
          <cell r="D4680" t="str">
            <v>NU.OR 2210              F</v>
          </cell>
        </row>
        <row r="4681">
          <cell r="C4681">
            <v>309608.09000000003</v>
          </cell>
          <cell r="D4681" t="str">
            <v>NU.MCG 2210</v>
          </cell>
        </row>
        <row r="4682">
          <cell r="C4682">
            <v>511607.07</v>
          </cell>
          <cell r="D4682" t="str">
            <v>RO 10X15 BPM</v>
          </cell>
        </row>
        <row r="4683">
          <cell r="C4683">
            <v>104608.1</v>
          </cell>
          <cell r="D4683" t="str">
            <v>NU.IR 2310              F</v>
          </cell>
        </row>
        <row r="4684">
          <cell r="C4684">
            <v>208608.1</v>
          </cell>
          <cell r="D4684" t="str">
            <v>NU.OR 2310              F</v>
          </cell>
        </row>
        <row r="4685">
          <cell r="C4685">
            <v>100608.11</v>
          </cell>
          <cell r="D4685" t="str">
            <v>NJ.IR 310 (12)</v>
          </cell>
        </row>
        <row r="4686">
          <cell r="C4686">
            <v>200608.11</v>
          </cell>
          <cell r="D4686" t="str">
            <v>NJ.OR 310(12)</v>
          </cell>
        </row>
        <row r="4687">
          <cell r="C4687">
            <v>300608.11</v>
          </cell>
          <cell r="D4687" t="str">
            <v>NJ.MCG 310 (12)</v>
          </cell>
        </row>
        <row r="4688">
          <cell r="C4688">
            <v>511474</v>
          </cell>
          <cell r="D4688" t="str">
            <v>RO 15X15 BPM</v>
          </cell>
        </row>
        <row r="4689">
          <cell r="C4689">
            <v>914005</v>
          </cell>
          <cell r="D4689" t="str">
            <v>BOX 115X115X141 3PLY</v>
          </cell>
        </row>
        <row r="4690">
          <cell r="C4690">
            <v>100608.12</v>
          </cell>
          <cell r="D4690" t="str">
            <v>NUP.IR 310(12)</v>
          </cell>
        </row>
        <row r="4691">
          <cell r="C4691">
            <v>110608.12</v>
          </cell>
          <cell r="D4691" t="str">
            <v>NUP.W 310 (12)</v>
          </cell>
        </row>
        <row r="4692">
          <cell r="C4692">
            <v>200608.11</v>
          </cell>
          <cell r="D4692" t="str">
            <v>NJ.OR 310(12)</v>
          </cell>
        </row>
        <row r="4693">
          <cell r="C4693">
            <v>300608.11</v>
          </cell>
          <cell r="D4693" t="str">
            <v>NJ.MCG 310 (12)</v>
          </cell>
        </row>
        <row r="4694">
          <cell r="C4694">
            <v>511474</v>
          </cell>
          <cell r="D4694" t="str">
            <v>RO 15X15 BPM</v>
          </cell>
        </row>
        <row r="4695">
          <cell r="C4695">
            <v>914005</v>
          </cell>
          <cell r="D4695" t="str">
            <v>BOX 115X115X141 3PLY</v>
          </cell>
        </row>
        <row r="4696">
          <cell r="C4696">
            <v>100608.11</v>
          </cell>
          <cell r="D4696" t="str">
            <v>NJ.IR 310 (12)</v>
          </cell>
        </row>
        <row r="4697">
          <cell r="C4697">
            <v>200608.11</v>
          </cell>
          <cell r="D4697" t="str">
            <v>NJ.OR 310(12)</v>
          </cell>
        </row>
        <row r="4698">
          <cell r="C4698">
            <v>300608.11</v>
          </cell>
          <cell r="D4698" t="str">
            <v>NJ.MCG 310 (12)</v>
          </cell>
        </row>
        <row r="4699">
          <cell r="C4699">
            <v>511474</v>
          </cell>
          <cell r="D4699" t="str">
            <v>RO 15X15 BPM</v>
          </cell>
        </row>
        <row r="4700">
          <cell r="C4700">
            <v>104609.01</v>
          </cell>
          <cell r="D4700" t="str">
            <v>N.IR 211                F</v>
          </cell>
        </row>
        <row r="4701">
          <cell r="C4701">
            <v>208609.01</v>
          </cell>
          <cell r="D4701" t="str">
            <v>N.OR 211                F</v>
          </cell>
        </row>
        <row r="4702">
          <cell r="C4702">
            <v>309609.01</v>
          </cell>
          <cell r="D4702" t="str">
            <v>N.MCG 211</v>
          </cell>
        </row>
        <row r="4703">
          <cell r="C4703">
            <v>511475</v>
          </cell>
          <cell r="D4703" t="str">
            <v>RO 11X11 BPM</v>
          </cell>
        </row>
        <row r="4704">
          <cell r="C4704">
            <v>104609.02</v>
          </cell>
          <cell r="D4704" t="str">
            <v>N.IR 311                F</v>
          </cell>
        </row>
        <row r="4705">
          <cell r="C4705">
            <v>208609.02</v>
          </cell>
          <cell r="D4705" t="str">
            <v>N.OR 311                F</v>
          </cell>
        </row>
        <row r="4706">
          <cell r="C4706">
            <v>309609.02</v>
          </cell>
          <cell r="D4706" t="str">
            <v>N.MCG 311</v>
          </cell>
        </row>
        <row r="4707">
          <cell r="C4707">
            <v>511609.06</v>
          </cell>
          <cell r="D4707" t="str">
            <v>RO 17X17</v>
          </cell>
        </row>
        <row r="4708">
          <cell r="C4708">
            <v>104609.03</v>
          </cell>
          <cell r="D4708" t="str">
            <v>NJ.IR 211               F</v>
          </cell>
        </row>
        <row r="4709">
          <cell r="C4709">
            <v>208609.05</v>
          </cell>
          <cell r="D4709" t="str">
            <v>NU.OR 211               F</v>
          </cell>
        </row>
        <row r="4710">
          <cell r="C4710">
            <v>309609.05</v>
          </cell>
          <cell r="D4710" t="str">
            <v>NU.MCG 211</v>
          </cell>
        </row>
        <row r="4711">
          <cell r="C4711">
            <v>511475</v>
          </cell>
          <cell r="D4711" t="str">
            <v>RO 11X11 BPM</v>
          </cell>
        </row>
        <row r="4712">
          <cell r="C4712">
            <v>104609.04</v>
          </cell>
          <cell r="D4712" t="str">
            <v>NJ.IR 311               F</v>
          </cell>
        </row>
        <row r="4713">
          <cell r="C4713">
            <v>208609.06</v>
          </cell>
          <cell r="D4713" t="str">
            <v>NU.OR 311               F</v>
          </cell>
        </row>
        <row r="4714">
          <cell r="C4714">
            <v>309609.06</v>
          </cell>
          <cell r="D4714" t="str">
            <v>NU.MCG 311</v>
          </cell>
        </row>
        <row r="4715">
          <cell r="C4715">
            <v>511609.06</v>
          </cell>
          <cell r="D4715" t="str">
            <v>RO 17X17</v>
          </cell>
        </row>
        <row r="4716">
          <cell r="C4716">
            <v>104609.05</v>
          </cell>
          <cell r="D4716" t="str">
            <v>.NU.IR 211</v>
          </cell>
        </row>
        <row r="4717">
          <cell r="C4717">
            <v>208609.05</v>
          </cell>
          <cell r="D4717" t="str">
            <v>NU.OR 211               F</v>
          </cell>
        </row>
        <row r="4718">
          <cell r="C4718">
            <v>309609.05</v>
          </cell>
          <cell r="D4718" t="str">
            <v>NU.MCG 211</v>
          </cell>
        </row>
        <row r="4719">
          <cell r="C4719">
            <v>511475</v>
          </cell>
          <cell r="D4719" t="str">
            <v>RO 11X11 BPM</v>
          </cell>
        </row>
        <row r="4720">
          <cell r="C4720">
            <v>104609.06</v>
          </cell>
          <cell r="D4720" t="str">
            <v>NU.IR 311               F</v>
          </cell>
        </row>
        <row r="4721">
          <cell r="C4721">
            <v>208609.06</v>
          </cell>
          <cell r="D4721" t="str">
            <v>NU.OR 311               F</v>
          </cell>
        </row>
        <row r="4722">
          <cell r="C4722">
            <v>309609.06</v>
          </cell>
          <cell r="D4722" t="str">
            <v>NU.MCG 311</v>
          </cell>
        </row>
        <row r="4723">
          <cell r="C4723">
            <v>511609.06</v>
          </cell>
          <cell r="D4723" t="str">
            <v>RO 17X17</v>
          </cell>
        </row>
        <row r="4724">
          <cell r="C4724">
            <v>104609.07</v>
          </cell>
          <cell r="D4724" t="str">
            <v>NJ.IR 2211              F</v>
          </cell>
        </row>
        <row r="4725">
          <cell r="C4725">
            <v>208609.07</v>
          </cell>
          <cell r="D4725" t="str">
            <v>NU.OR 2211              F</v>
          </cell>
        </row>
        <row r="4726">
          <cell r="C4726">
            <v>309609.09000000003</v>
          </cell>
          <cell r="D4726" t="str">
            <v>NU.MCG 2211</v>
          </cell>
        </row>
        <row r="4727">
          <cell r="C4727">
            <v>511448</v>
          </cell>
          <cell r="D4727" t="str">
            <v>RO 11X15 BPM</v>
          </cell>
        </row>
        <row r="4728">
          <cell r="C4728">
            <v>104609.09</v>
          </cell>
          <cell r="D4728" t="str">
            <v>NU.IR 2211              F</v>
          </cell>
        </row>
        <row r="4729">
          <cell r="C4729">
            <v>208609.09</v>
          </cell>
          <cell r="D4729" t="str">
            <v>NU.OR 2211              F</v>
          </cell>
        </row>
        <row r="4730">
          <cell r="C4730">
            <v>309609.09000000003</v>
          </cell>
          <cell r="D4730" t="str">
            <v>NU.MCG 2211</v>
          </cell>
        </row>
        <row r="4731">
          <cell r="C4731">
            <v>511448</v>
          </cell>
          <cell r="D4731" t="str">
            <v>RO 11X15 BPM</v>
          </cell>
        </row>
        <row r="4732">
          <cell r="C4732">
            <v>104609.1</v>
          </cell>
          <cell r="D4732" t="str">
            <v>NU.IR 2311              F</v>
          </cell>
        </row>
        <row r="4733">
          <cell r="C4733">
            <v>208609.1</v>
          </cell>
          <cell r="D4733" t="str">
            <v>NU.OR 2311              F</v>
          </cell>
        </row>
        <row r="4734">
          <cell r="C4734">
            <v>104609.02</v>
          </cell>
          <cell r="D4734" t="str">
            <v>N.IR 311                F</v>
          </cell>
        </row>
        <row r="4735">
          <cell r="C4735">
            <v>200609.2</v>
          </cell>
          <cell r="D4735" t="str">
            <v>NF.OR 311</v>
          </cell>
        </row>
        <row r="4736">
          <cell r="C4736">
            <v>309609.02</v>
          </cell>
          <cell r="D4736" t="str">
            <v>N.MCG 311</v>
          </cell>
        </row>
        <row r="4737">
          <cell r="C4737">
            <v>511609.06</v>
          </cell>
          <cell r="D4737" t="str">
            <v>RO 17X17</v>
          </cell>
        </row>
        <row r="4738">
          <cell r="C4738">
            <v>104610.01</v>
          </cell>
          <cell r="D4738" t="str">
            <v>N.IR 212                F</v>
          </cell>
        </row>
        <row r="4739">
          <cell r="C4739">
            <v>208610.01</v>
          </cell>
          <cell r="D4739" t="str">
            <v>N.OR 212                F</v>
          </cell>
        </row>
        <row r="4740">
          <cell r="C4740">
            <v>309610.01</v>
          </cell>
          <cell r="D4740" t="str">
            <v>N.MCG 212</v>
          </cell>
        </row>
        <row r="4741">
          <cell r="C4741">
            <v>511610.01</v>
          </cell>
          <cell r="D4741" t="str">
            <v>RO 12X12</v>
          </cell>
        </row>
        <row r="4742">
          <cell r="C4742">
            <v>104610.02</v>
          </cell>
          <cell r="D4742" t="str">
            <v>N.IR 312                F</v>
          </cell>
        </row>
        <row r="4743">
          <cell r="C4743">
            <v>208610.02</v>
          </cell>
          <cell r="D4743" t="str">
            <v>N.OR 312                F</v>
          </cell>
        </row>
        <row r="4744">
          <cell r="C4744">
            <v>309610.02</v>
          </cell>
          <cell r="D4744" t="str">
            <v>N.MCG 312</v>
          </cell>
        </row>
        <row r="4745">
          <cell r="C4745">
            <v>511610.02</v>
          </cell>
          <cell r="D4745" t="str">
            <v>RO 18X18</v>
          </cell>
        </row>
        <row r="4746">
          <cell r="C4746">
            <v>104610.03</v>
          </cell>
          <cell r="D4746" t="str">
            <v>NJ.IR 212               F</v>
          </cell>
        </row>
        <row r="4747">
          <cell r="C4747">
            <v>208610.05</v>
          </cell>
          <cell r="D4747" t="str">
            <v>NU.OR 212               F</v>
          </cell>
        </row>
        <row r="4748">
          <cell r="C4748">
            <v>309610.05</v>
          </cell>
          <cell r="D4748" t="str">
            <v>NU.MCG 212</v>
          </cell>
        </row>
        <row r="4749">
          <cell r="C4749">
            <v>511610.01</v>
          </cell>
          <cell r="D4749" t="str">
            <v>RO 12X12</v>
          </cell>
        </row>
        <row r="4750">
          <cell r="C4750">
            <v>104610.04</v>
          </cell>
          <cell r="D4750" t="str">
            <v>NJ.IR 312               F</v>
          </cell>
        </row>
        <row r="4751">
          <cell r="C4751">
            <v>208610.06</v>
          </cell>
          <cell r="D4751" t="str">
            <v>NU.OR 312               F</v>
          </cell>
        </row>
        <row r="4752">
          <cell r="C4752">
            <v>309610.06</v>
          </cell>
          <cell r="D4752" t="str">
            <v>NU.MCG 312</v>
          </cell>
        </row>
        <row r="4753">
          <cell r="C4753">
            <v>511610.02</v>
          </cell>
          <cell r="D4753" t="str">
            <v>RO 18X18</v>
          </cell>
        </row>
        <row r="4754">
          <cell r="C4754">
            <v>104610.05</v>
          </cell>
          <cell r="D4754" t="str">
            <v>NU.IR 212               F</v>
          </cell>
        </row>
        <row r="4755">
          <cell r="C4755">
            <v>208610.05</v>
          </cell>
          <cell r="D4755" t="str">
            <v>NU.OR 212               F</v>
          </cell>
        </row>
        <row r="4756">
          <cell r="C4756">
            <v>309610.05</v>
          </cell>
          <cell r="D4756" t="str">
            <v>NU.MCG 212</v>
          </cell>
        </row>
        <row r="4757">
          <cell r="C4757">
            <v>511610.01</v>
          </cell>
          <cell r="D4757" t="str">
            <v>RO 12X12</v>
          </cell>
        </row>
        <row r="4758">
          <cell r="C4758">
            <v>104610.06</v>
          </cell>
          <cell r="D4758" t="str">
            <v>NU.IR 312               F</v>
          </cell>
        </row>
        <row r="4759">
          <cell r="C4759">
            <v>208610.06</v>
          </cell>
          <cell r="D4759" t="str">
            <v>NU.OR 312               F</v>
          </cell>
        </row>
        <row r="4760">
          <cell r="C4760">
            <v>309610.06</v>
          </cell>
          <cell r="D4760" t="str">
            <v>NU.MCG 312</v>
          </cell>
        </row>
        <row r="4761">
          <cell r="C4761">
            <v>511610.02</v>
          </cell>
          <cell r="D4761" t="str">
            <v>RO 18X18</v>
          </cell>
        </row>
        <row r="4762">
          <cell r="C4762">
            <v>104610.07</v>
          </cell>
          <cell r="D4762" t="str">
            <v>NJ.IR 2212              F</v>
          </cell>
        </row>
        <row r="4763">
          <cell r="C4763">
            <v>208610.09</v>
          </cell>
          <cell r="D4763" t="str">
            <v>NU.OR 2212              F</v>
          </cell>
        </row>
        <row r="4764">
          <cell r="C4764">
            <v>309610.09000000003</v>
          </cell>
          <cell r="D4764" t="str">
            <v>NU.MCG 2212</v>
          </cell>
        </row>
        <row r="4765">
          <cell r="C4765">
            <v>511606.1</v>
          </cell>
          <cell r="D4765" t="str">
            <v>RO 12X20</v>
          </cell>
        </row>
        <row r="4766">
          <cell r="C4766">
            <v>104610.09</v>
          </cell>
          <cell r="D4766" t="str">
            <v>NU.IR 2212              F</v>
          </cell>
        </row>
        <row r="4767">
          <cell r="C4767">
            <v>208610.09</v>
          </cell>
          <cell r="D4767" t="str">
            <v>NU.OR 2212              F</v>
          </cell>
        </row>
        <row r="4768">
          <cell r="C4768">
            <v>309610.09000000003</v>
          </cell>
          <cell r="D4768" t="str">
            <v>NU.MCG 2212</v>
          </cell>
        </row>
        <row r="4769">
          <cell r="C4769">
            <v>511606.1</v>
          </cell>
          <cell r="D4769" t="str">
            <v>RO 12X20</v>
          </cell>
        </row>
        <row r="4770">
          <cell r="C4770">
            <v>104610.1</v>
          </cell>
          <cell r="D4770" t="str">
            <v>NU.IR 2312              F</v>
          </cell>
        </row>
        <row r="4771">
          <cell r="C4771">
            <v>208610.1</v>
          </cell>
          <cell r="D4771" t="str">
            <v>NU.OR 2312              F</v>
          </cell>
        </row>
        <row r="4772">
          <cell r="C4772">
            <v>208610.05</v>
          </cell>
          <cell r="D4772" t="str">
            <v>NU.OR 212               F</v>
          </cell>
        </row>
        <row r="4773">
          <cell r="C4773">
            <v>309610.05</v>
          </cell>
          <cell r="D4773" t="str">
            <v>NU.MCG 212</v>
          </cell>
        </row>
        <row r="4774">
          <cell r="C4774">
            <v>511610.01</v>
          </cell>
          <cell r="D4774" t="str">
            <v>RO 12X12</v>
          </cell>
        </row>
        <row r="4775">
          <cell r="C4775">
            <v>104611.01</v>
          </cell>
          <cell r="D4775" t="str">
            <v>N.IR 213                F</v>
          </cell>
        </row>
        <row r="4776">
          <cell r="C4776">
            <v>208611.01</v>
          </cell>
          <cell r="D4776" t="str">
            <v>N.OR 213                F</v>
          </cell>
        </row>
        <row r="4777">
          <cell r="C4777">
            <v>309611.01</v>
          </cell>
          <cell r="D4777" t="str">
            <v>N.MCG 213</v>
          </cell>
        </row>
        <row r="4778">
          <cell r="C4778">
            <v>511611.01</v>
          </cell>
          <cell r="D4778" t="str">
            <v>RO 13X13</v>
          </cell>
        </row>
        <row r="4779">
          <cell r="C4779">
            <v>5425611.0099999998</v>
          </cell>
          <cell r="D4779" t="str">
            <v>LOCKING DIA N 213</v>
          </cell>
        </row>
        <row r="4780">
          <cell r="C4780">
            <v>104611.02</v>
          </cell>
          <cell r="D4780" t="str">
            <v>N.IR 313                F</v>
          </cell>
        </row>
        <row r="4781">
          <cell r="C4781">
            <v>208611.02</v>
          </cell>
          <cell r="D4781" t="str">
            <v>N.OR 313                F</v>
          </cell>
        </row>
        <row r="4782">
          <cell r="C4782">
            <v>309611.02</v>
          </cell>
          <cell r="D4782" t="str">
            <v>N.MCG 313</v>
          </cell>
        </row>
        <row r="4783">
          <cell r="C4783">
            <v>511610.02</v>
          </cell>
          <cell r="D4783" t="str">
            <v>RO 18X18</v>
          </cell>
        </row>
        <row r="4784">
          <cell r="C4784">
            <v>104611.03</v>
          </cell>
          <cell r="D4784" t="str">
            <v>NJ.IR 213               F</v>
          </cell>
        </row>
        <row r="4785">
          <cell r="C4785">
            <v>208611.05</v>
          </cell>
          <cell r="D4785" t="str">
            <v>NU.OR 213               F</v>
          </cell>
        </row>
        <row r="4786">
          <cell r="C4786">
            <v>309611.05</v>
          </cell>
          <cell r="D4786" t="str">
            <v>NU.MCG 213</v>
          </cell>
        </row>
        <row r="4787">
          <cell r="C4787">
            <v>511611.01</v>
          </cell>
          <cell r="D4787" t="str">
            <v>RO 13X13</v>
          </cell>
        </row>
        <row r="4788">
          <cell r="C4788">
            <v>104611.04</v>
          </cell>
          <cell r="D4788" t="str">
            <v>NJ.IR 313               F</v>
          </cell>
        </row>
        <row r="4789">
          <cell r="C4789">
            <v>309611.06</v>
          </cell>
          <cell r="D4789" t="str">
            <v>NU.MCG 313</v>
          </cell>
        </row>
        <row r="4790">
          <cell r="C4790">
            <v>511610.02</v>
          </cell>
          <cell r="D4790" t="str">
            <v>RO 18X18</v>
          </cell>
        </row>
        <row r="4791">
          <cell r="C4791">
            <v>104611.05</v>
          </cell>
          <cell r="D4791" t="str">
            <v>NU.IR 213               F</v>
          </cell>
        </row>
        <row r="4792">
          <cell r="C4792">
            <v>208611.05</v>
          </cell>
          <cell r="D4792" t="str">
            <v>NU.OR 213               F</v>
          </cell>
        </row>
        <row r="4793">
          <cell r="C4793">
            <v>309611.05</v>
          </cell>
          <cell r="D4793" t="str">
            <v>NU.MCG 213</v>
          </cell>
        </row>
        <row r="4794">
          <cell r="C4794">
            <v>511611.01</v>
          </cell>
          <cell r="D4794" t="str">
            <v>RO 13X13</v>
          </cell>
        </row>
        <row r="4795">
          <cell r="C4795">
            <v>104611.06</v>
          </cell>
          <cell r="D4795" t="str">
            <v>NU.IR 313               F</v>
          </cell>
        </row>
        <row r="4796">
          <cell r="C4796">
            <v>208611.06</v>
          </cell>
          <cell r="D4796" t="str">
            <v>NU.OR 313               F</v>
          </cell>
        </row>
        <row r="4797">
          <cell r="C4797">
            <v>309611.06</v>
          </cell>
          <cell r="D4797" t="str">
            <v>NU.MCG 313</v>
          </cell>
        </row>
        <row r="4798">
          <cell r="C4798">
            <v>511610.02</v>
          </cell>
          <cell r="D4798" t="str">
            <v>RO 18X18</v>
          </cell>
        </row>
        <row r="4799">
          <cell r="C4799">
            <v>104611.07</v>
          </cell>
          <cell r="D4799" t="str">
            <v>NJ.IR 2213              F</v>
          </cell>
        </row>
        <row r="4800">
          <cell r="C4800">
            <v>208611.09</v>
          </cell>
          <cell r="D4800" t="str">
            <v>NU.OR 2213              F</v>
          </cell>
        </row>
        <row r="4801">
          <cell r="C4801">
            <v>309611.09000000003</v>
          </cell>
          <cell r="D4801" t="str">
            <v>NU.MCG 2213</v>
          </cell>
        </row>
        <row r="4802">
          <cell r="C4802">
            <v>511611.09</v>
          </cell>
          <cell r="D4802" t="str">
            <v>RO 13X20</v>
          </cell>
        </row>
        <row r="4803">
          <cell r="C4803">
            <v>104611.09</v>
          </cell>
          <cell r="D4803" t="str">
            <v>NU.IR 2213              F</v>
          </cell>
        </row>
        <row r="4804">
          <cell r="C4804">
            <v>208611.09</v>
          </cell>
          <cell r="D4804" t="str">
            <v>NU.OR 2213              F</v>
          </cell>
        </row>
        <row r="4805">
          <cell r="C4805">
            <v>309611.09000000003</v>
          </cell>
          <cell r="D4805" t="str">
            <v>NU.MCG 2213</v>
          </cell>
        </row>
        <row r="4806">
          <cell r="C4806">
            <v>511611.09</v>
          </cell>
          <cell r="D4806" t="str">
            <v>RO 13X20</v>
          </cell>
        </row>
        <row r="4807">
          <cell r="C4807">
            <v>208611.06</v>
          </cell>
          <cell r="D4807" t="str">
            <v>NU.OR 313               F</v>
          </cell>
        </row>
        <row r="4808">
          <cell r="C4808">
            <v>309611.06</v>
          </cell>
          <cell r="D4808" t="str">
            <v>NU.MCG 313</v>
          </cell>
        </row>
        <row r="4809">
          <cell r="C4809">
            <v>511610.02</v>
          </cell>
          <cell r="D4809" t="str">
            <v>RO 18X18</v>
          </cell>
        </row>
        <row r="4810">
          <cell r="C4810">
            <v>104612.06</v>
          </cell>
          <cell r="D4810" t="str">
            <v>NU.IR 305 ECP           F</v>
          </cell>
        </row>
        <row r="4811">
          <cell r="C4811">
            <v>208612.06</v>
          </cell>
          <cell r="D4811" t="str">
            <v>NU.OR 305 ECP           F</v>
          </cell>
        </row>
        <row r="4812">
          <cell r="C4812">
            <v>309612.06</v>
          </cell>
          <cell r="D4812" t="str">
            <v>NU.NCG 305 ECP</v>
          </cell>
        </row>
        <row r="4813">
          <cell r="C4813">
            <v>511612.06</v>
          </cell>
          <cell r="D4813" t="str">
            <v>RO 10X11</v>
          </cell>
        </row>
        <row r="4814">
          <cell r="C4814">
            <v>104605.06</v>
          </cell>
          <cell r="D4814" t="str">
            <v>NU.IR 307               F</v>
          </cell>
        </row>
        <row r="4815">
          <cell r="C4815">
            <v>208613.06</v>
          </cell>
          <cell r="D4815" t="str">
            <v>NU.OR 307 ECP           F</v>
          </cell>
        </row>
        <row r="4816">
          <cell r="C4816">
            <v>309613.06</v>
          </cell>
          <cell r="D4816" t="str">
            <v>NU.NCG 307 ECP</v>
          </cell>
        </row>
        <row r="4817">
          <cell r="C4817">
            <v>511613.06</v>
          </cell>
          <cell r="D4817" t="str">
            <v>RO 12X14 BPM</v>
          </cell>
        </row>
        <row r="4818">
          <cell r="C4818">
            <v>913024</v>
          </cell>
          <cell r="D4818" t="str">
            <v>Box 85X25X85</v>
          </cell>
        </row>
        <row r="4819">
          <cell r="C4819">
            <v>104614.06</v>
          </cell>
          <cell r="D4819" t="str">
            <v>NU.IR 309 ECP           F</v>
          </cell>
        </row>
        <row r="4820">
          <cell r="C4820">
            <v>208614.06</v>
          </cell>
          <cell r="D4820" t="str">
            <v>NU.OR 309 ECP           F</v>
          </cell>
        </row>
        <row r="4821">
          <cell r="C4821">
            <v>309614.06</v>
          </cell>
          <cell r="D4821" t="str">
            <v>NU.NCG 309 ECP</v>
          </cell>
        </row>
        <row r="4822">
          <cell r="C4822">
            <v>511614.06</v>
          </cell>
          <cell r="D4822" t="str">
            <v>RO 15X16</v>
          </cell>
        </row>
        <row r="4823">
          <cell r="C4823">
            <v>208614.06</v>
          </cell>
          <cell r="D4823" t="str">
            <v>NU.OR 309 ECP           F</v>
          </cell>
        </row>
        <row r="4824">
          <cell r="C4824">
            <v>309614.06</v>
          </cell>
          <cell r="D4824" t="str">
            <v>NU.NCG 309 ECP</v>
          </cell>
        </row>
        <row r="4825">
          <cell r="C4825">
            <v>511614.06</v>
          </cell>
          <cell r="D4825" t="str">
            <v>RO 15X16</v>
          </cell>
        </row>
        <row r="4826">
          <cell r="C4826">
            <v>104615.06</v>
          </cell>
          <cell r="D4826" t="str">
            <v>NU.IR 304  E</v>
          </cell>
        </row>
        <row r="4827">
          <cell r="C4827">
            <v>208615.06</v>
          </cell>
          <cell r="D4827" t="str">
            <v>NU.OR 304 E</v>
          </cell>
        </row>
        <row r="4828">
          <cell r="C4828">
            <v>309615.06</v>
          </cell>
          <cell r="D4828" t="str">
            <v>NU.NCG 304 E</v>
          </cell>
        </row>
        <row r="4829">
          <cell r="C4829">
            <v>511615.06</v>
          </cell>
          <cell r="D4829" t="str">
            <v>RO 9X10 BPM</v>
          </cell>
        </row>
        <row r="4830">
          <cell r="C4830">
            <v>104615.06</v>
          </cell>
          <cell r="D4830" t="str">
            <v>NU.IR 304  E</v>
          </cell>
        </row>
        <row r="4831">
          <cell r="C4831">
            <v>104615.06</v>
          </cell>
          <cell r="D4831" t="str">
            <v>NU.IR 304  E</v>
          </cell>
        </row>
        <row r="4832">
          <cell r="C4832">
            <v>208615.06</v>
          </cell>
          <cell r="D4832" t="str">
            <v>NU.OR 304 E</v>
          </cell>
        </row>
        <row r="4833">
          <cell r="C4833">
            <v>309615.06</v>
          </cell>
          <cell r="D4833" t="str">
            <v>NU.NCG 304 E</v>
          </cell>
        </row>
        <row r="4834">
          <cell r="C4834">
            <v>511615.06</v>
          </cell>
          <cell r="D4834" t="str">
            <v>RO 9X10 BPM</v>
          </cell>
        </row>
        <row r="4835">
          <cell r="C4835">
            <v>100616</v>
          </cell>
          <cell r="D4835" t="str">
            <v>NUP.IR 214</v>
          </cell>
        </row>
        <row r="4836">
          <cell r="C4836">
            <v>100616.1</v>
          </cell>
          <cell r="D4836" t="str">
            <v>NUP.W 214</v>
          </cell>
        </row>
        <row r="4837">
          <cell r="C4837">
            <v>200616</v>
          </cell>
          <cell r="D4837" t="str">
            <v>NUP.OR 214</v>
          </cell>
        </row>
        <row r="4838">
          <cell r="C4838">
            <v>300616</v>
          </cell>
          <cell r="D4838" t="str">
            <v>NCG.NUP 214</v>
          </cell>
        </row>
        <row r="4839">
          <cell r="C4839">
            <v>511614.06</v>
          </cell>
          <cell r="D4839" t="str">
            <v>RO 15X16</v>
          </cell>
        </row>
        <row r="4840">
          <cell r="C4840">
            <v>100616.2</v>
          </cell>
          <cell r="D4840" t="str">
            <v>NJ.IR 214</v>
          </cell>
        </row>
        <row r="4841">
          <cell r="C4841">
            <v>200616</v>
          </cell>
          <cell r="D4841" t="str">
            <v>NUP.OR 214</v>
          </cell>
        </row>
        <row r="4842">
          <cell r="C4842">
            <v>300616</v>
          </cell>
          <cell r="D4842" t="str">
            <v>NCG.NUP 214</v>
          </cell>
        </row>
        <row r="4843">
          <cell r="C4843">
            <v>511614.06</v>
          </cell>
          <cell r="D4843" t="str">
            <v>RO 15X16</v>
          </cell>
        </row>
        <row r="4844">
          <cell r="C4844">
            <v>100617</v>
          </cell>
          <cell r="D4844" t="str">
            <v>NUP.IR 307</v>
          </cell>
        </row>
        <row r="4845">
          <cell r="C4845">
            <v>100617</v>
          </cell>
          <cell r="D4845" t="str">
            <v>NUP.IR 307</v>
          </cell>
        </row>
        <row r="4846">
          <cell r="C4846">
            <v>100617.1</v>
          </cell>
          <cell r="D4846" t="str">
            <v>NUP.W 307</v>
          </cell>
        </row>
        <row r="4847">
          <cell r="C4847">
            <v>100617.1</v>
          </cell>
          <cell r="D4847" t="str">
            <v>NUP.W 307</v>
          </cell>
        </row>
        <row r="4848">
          <cell r="C4848">
            <v>208613.06</v>
          </cell>
          <cell r="D4848" t="str">
            <v>NU.OR 307 ECP           F</v>
          </cell>
        </row>
        <row r="4849">
          <cell r="C4849">
            <v>208613.06</v>
          </cell>
          <cell r="D4849" t="str">
            <v>NU.OR 307 ECP           F</v>
          </cell>
        </row>
        <row r="4850">
          <cell r="C4850">
            <v>309613.06</v>
          </cell>
          <cell r="D4850" t="str">
            <v>NU.NCG 307 ECP</v>
          </cell>
        </row>
        <row r="4851">
          <cell r="C4851">
            <v>309613.06</v>
          </cell>
          <cell r="D4851" t="str">
            <v>NU.NCG 307 ECP</v>
          </cell>
        </row>
        <row r="4852">
          <cell r="C4852">
            <v>511613.06</v>
          </cell>
          <cell r="D4852" t="str">
            <v>RO 12X14 BPM</v>
          </cell>
        </row>
        <row r="4853">
          <cell r="C4853">
            <v>511613.06</v>
          </cell>
          <cell r="D4853" t="str">
            <v>RO 12X14 BPM</v>
          </cell>
        </row>
        <row r="4854">
          <cell r="C4854">
            <v>100618</v>
          </cell>
          <cell r="D4854" t="str">
            <v>NUP.IR 2205 SPL.</v>
          </cell>
        </row>
        <row r="4855">
          <cell r="C4855">
            <v>200618</v>
          </cell>
          <cell r="D4855" t="str">
            <v>NUP.OR 2205 SPL.</v>
          </cell>
        </row>
        <row r="4856">
          <cell r="C4856">
            <v>300618</v>
          </cell>
          <cell r="D4856" t="str">
            <v>NUP.NCG 2205 SPL.</v>
          </cell>
        </row>
        <row r="4857">
          <cell r="C4857">
            <v>500618</v>
          </cell>
          <cell r="D4857" t="str">
            <v>RO 7.5X9 ZB</v>
          </cell>
        </row>
        <row r="4858">
          <cell r="C4858">
            <v>700618</v>
          </cell>
          <cell r="D4858" t="str">
            <v>NUP.W 2205 SPL.</v>
          </cell>
        </row>
        <row r="4859">
          <cell r="C4859">
            <v>100618.1</v>
          </cell>
          <cell r="D4859" t="str">
            <v>NF.IR 2207 SPL</v>
          </cell>
        </row>
        <row r="4860">
          <cell r="C4860">
            <v>200618.1</v>
          </cell>
          <cell r="D4860" t="str">
            <v>NF.OR 2207 SPL</v>
          </cell>
        </row>
        <row r="4861">
          <cell r="C4861">
            <v>300618.09999999998</v>
          </cell>
          <cell r="D4861" t="str">
            <v>NF.NCG 2207 SPL</v>
          </cell>
        </row>
        <row r="4862">
          <cell r="C4862">
            <v>500618.1</v>
          </cell>
          <cell r="D4862" t="str">
            <v>RO 9X14 ZB</v>
          </cell>
        </row>
        <row r="4863">
          <cell r="C4863">
            <v>100618.2</v>
          </cell>
          <cell r="D4863" t="str">
            <v>NJ.IR 205 SPL</v>
          </cell>
        </row>
        <row r="4864">
          <cell r="C4864">
            <v>200618.2</v>
          </cell>
          <cell r="D4864" t="str">
            <v>NJ.OR 205 SPL</v>
          </cell>
        </row>
        <row r="4865">
          <cell r="C4865">
            <v>300618</v>
          </cell>
          <cell r="D4865" t="str">
            <v>NUP.NCG 2205 SPL.</v>
          </cell>
        </row>
        <row r="4866">
          <cell r="C4866">
            <v>500618</v>
          </cell>
          <cell r="D4866" t="str">
            <v>RO 7.5X9 ZB</v>
          </cell>
        </row>
        <row r="4867">
          <cell r="C4867">
            <v>100618.3</v>
          </cell>
          <cell r="D4867" t="str">
            <v>NJ.IR 305 SPL</v>
          </cell>
        </row>
        <row r="4868">
          <cell r="C4868">
            <v>200618.3</v>
          </cell>
          <cell r="D4868" t="str">
            <v>NJ.OR 305 SPL</v>
          </cell>
        </row>
        <row r="4869">
          <cell r="C4869">
            <v>300618.3</v>
          </cell>
          <cell r="D4869" t="str">
            <v>NJ.NCG 305 SPL</v>
          </cell>
        </row>
        <row r="4870">
          <cell r="C4870">
            <v>500618.2</v>
          </cell>
          <cell r="D4870" t="str">
            <v>RO 10X11 ZB</v>
          </cell>
        </row>
        <row r="4871">
          <cell r="C4871">
            <v>100619</v>
          </cell>
          <cell r="D4871" t="str">
            <v>NUP.IR 208 E</v>
          </cell>
        </row>
        <row r="4872">
          <cell r="C4872">
            <v>200619</v>
          </cell>
          <cell r="D4872" t="str">
            <v>NUP.OR 208 E</v>
          </cell>
        </row>
        <row r="4873">
          <cell r="C4873">
            <v>300619</v>
          </cell>
          <cell r="D4873" t="str">
            <v>NUP.NCG 208 E</v>
          </cell>
        </row>
        <row r="4874">
          <cell r="C4874">
            <v>511475</v>
          </cell>
          <cell r="D4874" t="str">
            <v>RO 11X11 BPM</v>
          </cell>
        </row>
        <row r="4875">
          <cell r="C4875">
            <v>600619</v>
          </cell>
          <cell r="D4875" t="str">
            <v>NUP.W 208 E</v>
          </cell>
        </row>
        <row r="4876">
          <cell r="C4876">
            <v>100620</v>
          </cell>
          <cell r="D4876" t="str">
            <v>NJ.IR 2210 ECP</v>
          </cell>
        </row>
        <row r="4877">
          <cell r="C4877">
            <v>200620</v>
          </cell>
          <cell r="D4877" t="str">
            <v>NJ.OR 2210 ECP</v>
          </cell>
        </row>
        <row r="4878">
          <cell r="C4878">
            <v>300620</v>
          </cell>
          <cell r="D4878" t="str">
            <v>NJ.NCG 2210 ECP</v>
          </cell>
        </row>
        <row r="4879">
          <cell r="C4879">
            <v>511448</v>
          </cell>
          <cell r="D4879" t="str">
            <v>RO 11X15 BPM</v>
          </cell>
        </row>
        <row r="4880">
          <cell r="C4880">
            <v>100621</v>
          </cell>
          <cell r="D4880" t="str">
            <v>NUP.IR 206</v>
          </cell>
        </row>
        <row r="4881">
          <cell r="C4881">
            <v>100621.01</v>
          </cell>
          <cell r="D4881" t="str">
            <v>NUP.W 206</v>
          </cell>
        </row>
        <row r="4882">
          <cell r="C4882">
            <v>208604.05</v>
          </cell>
          <cell r="D4882" t="str">
            <v>NU.OR 206               F</v>
          </cell>
        </row>
        <row r="4883">
          <cell r="C4883">
            <v>309604.05</v>
          </cell>
          <cell r="D4883" t="str">
            <v>NU/NJ.MCG 206</v>
          </cell>
        </row>
        <row r="4884">
          <cell r="C4884">
            <v>511604.05</v>
          </cell>
          <cell r="D4884" t="str">
            <v>RO 7.5X7.5 BPM</v>
          </cell>
        </row>
        <row r="4885">
          <cell r="C4885">
            <v>104624.01</v>
          </cell>
          <cell r="D4885" t="str">
            <v>NAF.IR 153212</v>
          </cell>
        </row>
        <row r="4886">
          <cell r="C4886">
            <v>208624.01</v>
          </cell>
          <cell r="D4886" t="str">
            <v>NAF/RNAF.OR 203212</v>
          </cell>
        </row>
        <row r="4887">
          <cell r="C4887">
            <v>309624.01</v>
          </cell>
          <cell r="D4887" t="str">
            <v>NAF/RNAF.MCG 153212</v>
          </cell>
        </row>
        <row r="4888">
          <cell r="C4888">
            <v>511145</v>
          </cell>
          <cell r="D4888" t="str">
            <v>RO 3X9.8</v>
          </cell>
        </row>
        <row r="4889">
          <cell r="C4889">
            <v>208624.01</v>
          </cell>
          <cell r="D4889" t="str">
            <v>NAF/RNAF.OR 203212</v>
          </cell>
        </row>
        <row r="4890">
          <cell r="C4890">
            <v>309624.01</v>
          </cell>
          <cell r="D4890" t="str">
            <v>NAF/RNAF.MCG 153212</v>
          </cell>
        </row>
        <row r="4891">
          <cell r="C4891">
            <v>104624.01</v>
          </cell>
          <cell r="D4891" t="str">
            <v>NAF.IR 153212</v>
          </cell>
        </row>
        <row r="4892">
          <cell r="C4892">
            <v>104631.01</v>
          </cell>
          <cell r="D4892" t="str">
            <v>NAF.IR 203716(IR 202516)</v>
          </cell>
        </row>
        <row r="4893">
          <cell r="C4893">
            <v>8631.01</v>
          </cell>
        </row>
        <row r="4894">
          <cell r="C4894">
            <v>9631.01</v>
          </cell>
        </row>
        <row r="4895">
          <cell r="C4895">
            <v>8631.01</v>
          </cell>
        </row>
        <row r="4896">
          <cell r="C4896">
            <v>9631.01</v>
          </cell>
        </row>
        <row r="4897">
          <cell r="C4897">
            <v>104631.01</v>
          </cell>
          <cell r="D4897" t="str">
            <v>NAF.IR 203716(IR 202516)</v>
          </cell>
        </row>
        <row r="4898">
          <cell r="C4898">
            <v>104635.01</v>
          </cell>
          <cell r="D4898" t="str">
            <v>NAF.IR 254216(IR 253016)</v>
          </cell>
        </row>
        <row r="4899">
          <cell r="C4899">
            <v>8635.01</v>
          </cell>
        </row>
        <row r="4900">
          <cell r="C4900">
            <v>9635.01</v>
          </cell>
        </row>
        <row r="4901">
          <cell r="C4901">
            <v>8635.01</v>
          </cell>
        </row>
        <row r="4902">
          <cell r="C4902">
            <v>9635.01</v>
          </cell>
        </row>
        <row r="4903">
          <cell r="C4903">
            <v>104635.01</v>
          </cell>
          <cell r="D4903" t="str">
            <v>NAF.IR 254216(IR 253016)</v>
          </cell>
        </row>
        <row r="4904">
          <cell r="C4904">
            <v>104644.01</v>
          </cell>
          <cell r="D4904" t="str">
            <v>NAF.IR 355017(354017)</v>
          </cell>
        </row>
        <row r="4905">
          <cell r="C4905">
            <v>8644.01</v>
          </cell>
        </row>
        <row r="4906">
          <cell r="C4906">
            <v>9644.01</v>
          </cell>
        </row>
        <row r="4907">
          <cell r="C4907">
            <v>8644.01</v>
          </cell>
        </row>
        <row r="4908">
          <cell r="C4908">
            <v>9644.01</v>
          </cell>
        </row>
        <row r="4909">
          <cell r="C4909">
            <v>104644.01</v>
          </cell>
          <cell r="D4909" t="str">
            <v>NAF.IR 355017(354017)</v>
          </cell>
        </row>
        <row r="4910">
          <cell r="C4910">
            <v>104648.01</v>
          </cell>
          <cell r="D4910" t="str">
            <v>NAF.IR 405517(IR 404517)</v>
          </cell>
        </row>
        <row r="4911">
          <cell r="C4911">
            <v>8648.01</v>
          </cell>
        </row>
        <row r="4912">
          <cell r="C4912">
            <v>9648.01</v>
          </cell>
        </row>
        <row r="4913">
          <cell r="C4913">
            <v>8648.01</v>
          </cell>
        </row>
        <row r="4914">
          <cell r="C4914">
            <v>9648.01</v>
          </cell>
        </row>
        <row r="4915">
          <cell r="C4915">
            <v>104648.01</v>
          </cell>
          <cell r="D4915" t="str">
            <v>NAF.IR 405517(IR 404517)</v>
          </cell>
        </row>
        <row r="4916">
          <cell r="C4916">
            <v>104648.01</v>
          </cell>
          <cell r="D4916" t="str">
            <v>NAF.IR 405517(IR 404517)</v>
          </cell>
        </row>
        <row r="4917">
          <cell r="C4917">
            <v>104648.01</v>
          </cell>
          <cell r="D4917" t="str">
            <v>NAF.IR 405517(IR 404517)</v>
          </cell>
        </row>
        <row r="4918">
          <cell r="C4918">
            <v>104651.01</v>
          </cell>
          <cell r="D4918" t="str">
            <v>NAF.IR 406240(IR 404540)</v>
          </cell>
        </row>
        <row r="4919">
          <cell r="C4919">
            <v>8651.01</v>
          </cell>
        </row>
        <row r="4920">
          <cell r="C4920">
            <v>9651.01</v>
          </cell>
        </row>
        <row r="4921">
          <cell r="C4921">
            <v>8651.01</v>
          </cell>
        </row>
        <row r="4922">
          <cell r="C4922">
            <v>9651.01</v>
          </cell>
        </row>
        <row r="4923">
          <cell r="C4923">
            <v>104651.01</v>
          </cell>
          <cell r="D4923" t="str">
            <v>NAF.IR 406240(IR 404540)</v>
          </cell>
        </row>
        <row r="4924">
          <cell r="C4924">
            <v>104653.01</v>
          </cell>
          <cell r="D4924" t="str">
            <v>NAF.IR 506820(IR 505520)</v>
          </cell>
        </row>
        <row r="4925">
          <cell r="C4925">
            <v>8653.01</v>
          </cell>
        </row>
        <row r="4926">
          <cell r="C4926">
            <v>9653.01</v>
          </cell>
        </row>
        <row r="4927">
          <cell r="C4927">
            <v>8653.01</v>
          </cell>
        </row>
        <row r="4928">
          <cell r="C4928">
            <v>9653.01</v>
          </cell>
        </row>
        <row r="4929">
          <cell r="C4929">
            <v>104653.01</v>
          </cell>
          <cell r="D4929" t="str">
            <v>NAF.IR 506820(IR 505520)</v>
          </cell>
        </row>
        <row r="4930">
          <cell r="C4930">
            <v>104670.01</v>
          </cell>
          <cell r="D4930" t="str">
            <v>NA/RNA.IR 5902</v>
          </cell>
        </row>
        <row r="4931">
          <cell r="C4931">
            <v>208670.01</v>
          </cell>
          <cell r="D4931" t="str">
            <v>NA/RNA.OR 5902</v>
          </cell>
        </row>
        <row r="4932">
          <cell r="C4932">
            <v>309670.01</v>
          </cell>
          <cell r="D4932" t="str">
            <v>NA/RNA.MCG 5902</v>
          </cell>
        </row>
        <row r="4933">
          <cell r="C4933">
            <v>208670.01</v>
          </cell>
          <cell r="D4933" t="str">
            <v>NA/RNA.OR 5902</v>
          </cell>
        </row>
        <row r="4934">
          <cell r="C4934">
            <v>309670.01</v>
          </cell>
          <cell r="D4934" t="str">
            <v>NA/RNA.MCG 5902</v>
          </cell>
        </row>
        <row r="4935">
          <cell r="C4935">
            <v>104670.01</v>
          </cell>
          <cell r="D4935" t="str">
            <v>NA/RNA.IR 5902</v>
          </cell>
        </row>
        <row r="4936">
          <cell r="C4936">
            <v>104671.01</v>
          </cell>
          <cell r="D4936" t="str">
            <v>NA/RNA.IR 5903</v>
          </cell>
        </row>
        <row r="4937">
          <cell r="C4937">
            <v>208671.01</v>
          </cell>
          <cell r="D4937" t="str">
            <v>NA/RNA.OR 5903</v>
          </cell>
        </row>
        <row r="4938">
          <cell r="C4938">
            <v>309671.01</v>
          </cell>
          <cell r="D4938" t="str">
            <v>NA/RNA.MCG 5903</v>
          </cell>
        </row>
        <row r="4939">
          <cell r="C4939">
            <v>208671.01</v>
          </cell>
          <cell r="D4939" t="str">
            <v>NA/RNA.OR 5903</v>
          </cell>
        </row>
        <row r="4940">
          <cell r="C4940">
            <v>309671.01</v>
          </cell>
          <cell r="D4940" t="str">
            <v>NA/RNA.MCG 5903</v>
          </cell>
        </row>
        <row r="4941">
          <cell r="C4941">
            <v>104671.01</v>
          </cell>
          <cell r="D4941" t="str">
            <v>NA/RNA.IR 5903</v>
          </cell>
        </row>
        <row r="4942">
          <cell r="C4942">
            <v>104672.01</v>
          </cell>
          <cell r="D4942" t="str">
            <v>NA/RNA.IR 5904</v>
          </cell>
        </row>
        <row r="4943">
          <cell r="C4943">
            <v>208672.01</v>
          </cell>
          <cell r="D4943" t="str">
            <v>NA/RNA.OR 5904</v>
          </cell>
        </row>
        <row r="4944">
          <cell r="C4944">
            <v>309672.01</v>
          </cell>
          <cell r="D4944" t="str">
            <v>NA/RNA.MCG 5904</v>
          </cell>
        </row>
        <row r="4945">
          <cell r="C4945">
            <v>913001</v>
          </cell>
          <cell r="D4945" t="str">
            <v>Box 48x30x40</v>
          </cell>
        </row>
        <row r="4946">
          <cell r="C4946">
            <v>208672.01</v>
          </cell>
          <cell r="D4946" t="str">
            <v>NA/RNA.OR 5904</v>
          </cell>
        </row>
        <row r="4947">
          <cell r="C4947">
            <v>309672.01</v>
          </cell>
          <cell r="D4947" t="str">
            <v>NA/RNA.MCG 5904</v>
          </cell>
        </row>
        <row r="4948">
          <cell r="C4948">
            <v>913001</v>
          </cell>
          <cell r="D4948" t="str">
            <v>Box 48x30x40</v>
          </cell>
        </row>
        <row r="4949">
          <cell r="C4949">
            <v>104672.01</v>
          </cell>
          <cell r="D4949" t="str">
            <v>NA/RNA.IR 5904</v>
          </cell>
        </row>
        <row r="4950">
          <cell r="C4950">
            <v>104673.01</v>
          </cell>
          <cell r="D4950" t="str">
            <v>NA/RNA.IR 59/22</v>
          </cell>
        </row>
        <row r="4951">
          <cell r="C4951">
            <v>208673.01</v>
          </cell>
          <cell r="D4951" t="str">
            <v>NA/RNA.OR 59/22</v>
          </cell>
        </row>
        <row r="4952">
          <cell r="C4952">
            <v>309673.01</v>
          </cell>
          <cell r="D4952" t="str">
            <v>NA/RNA.MCG 59/22</v>
          </cell>
        </row>
        <row r="4953">
          <cell r="C4953">
            <v>208673.01</v>
          </cell>
          <cell r="D4953" t="str">
            <v>NA/RNA.OR 59/22</v>
          </cell>
        </row>
        <row r="4954">
          <cell r="C4954">
            <v>309673.01</v>
          </cell>
          <cell r="D4954" t="str">
            <v>NA/RNA.MCG 59/22</v>
          </cell>
        </row>
        <row r="4955">
          <cell r="C4955">
            <v>104673.01</v>
          </cell>
          <cell r="D4955" t="str">
            <v>NA/RNA.IR 59/22</v>
          </cell>
        </row>
        <row r="4956">
          <cell r="C4956">
            <v>104674.01</v>
          </cell>
          <cell r="D4956" t="str">
            <v>NA/RNA.IR 5905</v>
          </cell>
        </row>
        <row r="4957">
          <cell r="C4957">
            <v>208674.01</v>
          </cell>
          <cell r="D4957" t="str">
            <v>NA/RNA.OR 5905</v>
          </cell>
        </row>
        <row r="4958">
          <cell r="C4958">
            <v>309674.01</v>
          </cell>
          <cell r="D4958" t="str">
            <v>NA/RNA.MCG 5905</v>
          </cell>
        </row>
        <row r="4959">
          <cell r="C4959">
            <v>913006</v>
          </cell>
          <cell r="D4959" t="str">
            <v>Box 50x35x50</v>
          </cell>
        </row>
        <row r="4960">
          <cell r="C4960">
            <v>208674.01</v>
          </cell>
          <cell r="D4960" t="str">
            <v>NA/RNA.OR 5905</v>
          </cell>
        </row>
        <row r="4961">
          <cell r="C4961">
            <v>309674.01</v>
          </cell>
          <cell r="D4961" t="str">
            <v>NA/RNA.MCG 5905</v>
          </cell>
        </row>
        <row r="4962">
          <cell r="C4962">
            <v>913006</v>
          </cell>
          <cell r="D4962" t="str">
            <v>Box 50x35x50</v>
          </cell>
        </row>
        <row r="4963">
          <cell r="C4963">
            <v>104674.01</v>
          </cell>
          <cell r="D4963" t="str">
            <v>NA/RNA.IR 5905</v>
          </cell>
        </row>
        <row r="4964">
          <cell r="C4964">
            <v>104675.01</v>
          </cell>
          <cell r="D4964" t="str">
            <v>NA/RNA.IR 59/28</v>
          </cell>
        </row>
        <row r="4965">
          <cell r="C4965">
            <v>208675.01</v>
          </cell>
          <cell r="D4965" t="str">
            <v>NA/RNA.OR 59/28</v>
          </cell>
        </row>
        <row r="4966">
          <cell r="C4966">
            <v>309675.01</v>
          </cell>
          <cell r="D4966" t="str">
            <v>NA/RNA.MCG 59/28</v>
          </cell>
        </row>
        <row r="4967">
          <cell r="C4967">
            <v>208675.01</v>
          </cell>
          <cell r="D4967" t="str">
            <v>NA/RNA.OR 59/28</v>
          </cell>
        </row>
        <row r="4968">
          <cell r="C4968">
            <v>309675.01</v>
          </cell>
          <cell r="D4968" t="str">
            <v>NA/RNA.MCG 59/28</v>
          </cell>
        </row>
        <row r="4969">
          <cell r="C4969">
            <v>104675.01</v>
          </cell>
          <cell r="D4969" t="str">
            <v>NA/RNA.IR 59/28</v>
          </cell>
        </row>
        <row r="4970">
          <cell r="C4970">
            <v>104676.01</v>
          </cell>
          <cell r="D4970" t="str">
            <v>NA/RNA.IR 5906</v>
          </cell>
        </row>
        <row r="4971">
          <cell r="C4971">
            <v>208676.01</v>
          </cell>
          <cell r="D4971" t="str">
            <v>NA/RNA.OR 5906</v>
          </cell>
        </row>
        <row r="4972">
          <cell r="C4972">
            <v>309676.01</v>
          </cell>
          <cell r="D4972" t="str">
            <v>NA/RNA.MCG 5906</v>
          </cell>
        </row>
        <row r="4973">
          <cell r="C4973">
            <v>208676.01</v>
          </cell>
          <cell r="D4973" t="str">
            <v>NA/RNA.OR 5906</v>
          </cell>
        </row>
        <row r="4974">
          <cell r="C4974">
            <v>309676.01</v>
          </cell>
          <cell r="D4974" t="str">
            <v>NA/RNA.MCG 5906</v>
          </cell>
        </row>
        <row r="4975">
          <cell r="C4975">
            <v>104676.01</v>
          </cell>
          <cell r="D4975" t="str">
            <v>NA/RNA.IR 5906</v>
          </cell>
        </row>
        <row r="4976">
          <cell r="C4976">
            <v>104677.01</v>
          </cell>
          <cell r="D4976" t="str">
            <v>NA/RNA.IR 59/32</v>
          </cell>
        </row>
        <row r="4977">
          <cell r="C4977">
            <v>208677.01</v>
          </cell>
          <cell r="D4977" t="str">
            <v>NA/RNA.OR 59/32</v>
          </cell>
        </row>
        <row r="4978">
          <cell r="C4978">
            <v>309677.01</v>
          </cell>
          <cell r="D4978" t="str">
            <v>NA/RNA.MCG 5906</v>
          </cell>
        </row>
        <row r="4979">
          <cell r="C4979">
            <v>208677.01</v>
          </cell>
          <cell r="D4979" t="str">
            <v>NA/RNA.OR 59/32</v>
          </cell>
        </row>
        <row r="4980">
          <cell r="C4980">
            <v>309677.01</v>
          </cell>
          <cell r="D4980" t="str">
            <v>NA/RNA.MCG 5906</v>
          </cell>
        </row>
        <row r="4981">
          <cell r="C4981">
            <v>104677.01</v>
          </cell>
          <cell r="D4981" t="str">
            <v>NA/RNA.IR 59/32</v>
          </cell>
        </row>
        <row r="4982">
          <cell r="C4982">
            <v>104678.01</v>
          </cell>
          <cell r="D4982" t="str">
            <v>NA/RNA.IR 5907</v>
          </cell>
        </row>
        <row r="4983">
          <cell r="C4983">
            <v>208678.01</v>
          </cell>
          <cell r="D4983" t="str">
            <v>NA/RNA.OR 5907</v>
          </cell>
        </row>
        <row r="4984">
          <cell r="C4984">
            <v>309678.01</v>
          </cell>
          <cell r="D4984" t="str">
            <v>NA/RNA.MCG 5907</v>
          </cell>
        </row>
        <row r="4985">
          <cell r="C4985">
            <v>208678.01</v>
          </cell>
          <cell r="D4985" t="str">
            <v>NA/RNA.OR 5907</v>
          </cell>
        </row>
        <row r="4986">
          <cell r="C4986">
            <v>309678.01</v>
          </cell>
          <cell r="D4986" t="str">
            <v>NA/RNA.MCG 5907</v>
          </cell>
        </row>
        <row r="4987">
          <cell r="C4987">
            <v>104678.01</v>
          </cell>
          <cell r="D4987" t="str">
            <v>NA/RNA.IR 5907</v>
          </cell>
        </row>
        <row r="4988">
          <cell r="C4988">
            <v>104679.01</v>
          </cell>
          <cell r="D4988" t="str">
            <v>NA/RNA.IR 5908</v>
          </cell>
        </row>
        <row r="4989">
          <cell r="C4989">
            <v>208679.01</v>
          </cell>
          <cell r="D4989" t="str">
            <v>NA/RNA.OR 5908</v>
          </cell>
        </row>
        <row r="4990">
          <cell r="C4990">
            <v>309679.01</v>
          </cell>
          <cell r="D4990" t="str">
            <v>NA/RNA.MCG 5908</v>
          </cell>
        </row>
        <row r="4991">
          <cell r="C4991">
            <v>208679.01</v>
          </cell>
          <cell r="D4991" t="str">
            <v>NA/RNA.OR 5908</v>
          </cell>
        </row>
        <row r="4992">
          <cell r="C4992">
            <v>309679.01</v>
          </cell>
          <cell r="D4992" t="str">
            <v>NA/RNA.MCG 5908</v>
          </cell>
        </row>
        <row r="4993">
          <cell r="C4993">
            <v>104679.01</v>
          </cell>
          <cell r="D4993" t="str">
            <v>NA/RNA.IR 5908</v>
          </cell>
        </row>
        <row r="4994">
          <cell r="C4994">
            <v>104680.01</v>
          </cell>
          <cell r="D4994" t="str">
            <v>NA/RNA.IR 5909</v>
          </cell>
        </row>
        <row r="4995">
          <cell r="C4995">
            <v>208680.01</v>
          </cell>
          <cell r="D4995" t="str">
            <v>NA/RNA.OR 5909</v>
          </cell>
        </row>
        <row r="4996">
          <cell r="C4996">
            <v>309680.01</v>
          </cell>
          <cell r="D4996" t="str">
            <v>NA/RNA.MCG 5909</v>
          </cell>
        </row>
        <row r="4997">
          <cell r="C4997">
            <v>208680.01</v>
          </cell>
          <cell r="D4997" t="str">
            <v>NA/RNA.OR 5909</v>
          </cell>
        </row>
        <row r="4998">
          <cell r="C4998">
            <v>309680.01</v>
          </cell>
          <cell r="D4998" t="str">
            <v>NA/RNA.MCG 5909</v>
          </cell>
        </row>
        <row r="4999">
          <cell r="C4999">
            <v>104680.01</v>
          </cell>
          <cell r="D4999" t="str">
            <v>NA/RNA.IR 5909</v>
          </cell>
        </row>
        <row r="5000">
          <cell r="C5000">
            <v>104681.01</v>
          </cell>
          <cell r="D5000" t="str">
            <v>NA/RNA.IR 5910</v>
          </cell>
        </row>
        <row r="5001">
          <cell r="C5001">
            <v>208681.01</v>
          </cell>
          <cell r="D5001" t="str">
            <v>NA/RNA.OR 5910</v>
          </cell>
        </row>
        <row r="5002">
          <cell r="C5002">
            <v>309681.01</v>
          </cell>
          <cell r="D5002" t="str">
            <v>NA/RNA.MCG 5910</v>
          </cell>
        </row>
        <row r="5003">
          <cell r="C5003">
            <v>208681.01</v>
          </cell>
          <cell r="D5003" t="str">
            <v>NA/RNA.OR 5910</v>
          </cell>
        </row>
        <row r="5004">
          <cell r="C5004">
            <v>309681.01</v>
          </cell>
          <cell r="D5004" t="str">
            <v>NA/RNA.MCG 5910</v>
          </cell>
        </row>
        <row r="5005">
          <cell r="C5005">
            <v>104681.01</v>
          </cell>
          <cell r="D5005" t="str">
            <v>NA/RNA.IR 5910</v>
          </cell>
        </row>
        <row r="5006">
          <cell r="C5006">
            <v>104682.01</v>
          </cell>
          <cell r="D5006" t="str">
            <v>NA/RNA.IR 5911</v>
          </cell>
        </row>
        <row r="5007">
          <cell r="C5007">
            <v>208682.01</v>
          </cell>
          <cell r="D5007" t="str">
            <v>NA/RNA.OR 5911</v>
          </cell>
        </row>
        <row r="5008">
          <cell r="C5008">
            <v>309682.01</v>
          </cell>
          <cell r="D5008" t="str">
            <v>NA/RNA.MCG 5911</v>
          </cell>
        </row>
        <row r="5009">
          <cell r="C5009">
            <v>208682.01</v>
          </cell>
          <cell r="D5009" t="str">
            <v>NA/RNA.OR 5911</v>
          </cell>
        </row>
        <row r="5010">
          <cell r="C5010">
            <v>309682.01</v>
          </cell>
          <cell r="D5010" t="str">
            <v>NA/RNA.MCG 5911</v>
          </cell>
        </row>
        <row r="5011">
          <cell r="C5011">
            <v>104682.01</v>
          </cell>
          <cell r="D5011" t="str">
            <v>NA/RNA.IR 5911</v>
          </cell>
        </row>
        <row r="5012">
          <cell r="C5012">
            <v>104683.01</v>
          </cell>
          <cell r="D5012" t="str">
            <v>NA/RNA.IR 5912</v>
          </cell>
        </row>
        <row r="5013">
          <cell r="C5013">
            <v>208683.01</v>
          </cell>
          <cell r="D5013" t="str">
            <v>NA/RNA.OR 5912</v>
          </cell>
        </row>
        <row r="5014">
          <cell r="C5014">
            <v>309683.01</v>
          </cell>
          <cell r="D5014" t="str">
            <v>NA/RNA.MCG 5912</v>
          </cell>
        </row>
        <row r="5015">
          <cell r="C5015">
            <v>511683</v>
          </cell>
          <cell r="D5015" t="str">
            <v>RO 5.5X27.8</v>
          </cell>
        </row>
        <row r="5016">
          <cell r="C5016">
            <v>208683.01</v>
          </cell>
          <cell r="D5016" t="str">
            <v>NA/RNA.OR 5912</v>
          </cell>
        </row>
        <row r="5017">
          <cell r="C5017">
            <v>309683.01</v>
          </cell>
          <cell r="D5017" t="str">
            <v>NA/RNA.MCG 5912</v>
          </cell>
        </row>
        <row r="5018">
          <cell r="C5018">
            <v>511683</v>
          </cell>
          <cell r="D5018" t="str">
            <v>RO 5.5X27.8</v>
          </cell>
        </row>
        <row r="5019">
          <cell r="C5019">
            <v>913008</v>
          </cell>
          <cell r="D5019" t="str">
            <v>Box 95x50x95</v>
          </cell>
        </row>
        <row r="5020">
          <cell r="C5020">
            <v>104683.01</v>
          </cell>
          <cell r="D5020" t="str">
            <v>NA/RNA.IR 5912</v>
          </cell>
        </row>
        <row r="5021">
          <cell r="C5021">
            <v>104684.01</v>
          </cell>
          <cell r="D5021" t="str">
            <v>NA/RNA.IR 5913</v>
          </cell>
        </row>
        <row r="5022">
          <cell r="C5022">
            <v>208684.01</v>
          </cell>
          <cell r="D5022" t="str">
            <v>NA/RNA.OR 5913</v>
          </cell>
        </row>
        <row r="5023">
          <cell r="C5023">
            <v>309684.01</v>
          </cell>
          <cell r="D5023" t="str">
            <v>NA/RNA.MCG 5913</v>
          </cell>
        </row>
        <row r="5024">
          <cell r="C5024">
            <v>511683</v>
          </cell>
          <cell r="D5024" t="str">
            <v>RO 5.5X27.8</v>
          </cell>
        </row>
        <row r="5025">
          <cell r="C5025">
            <v>208684.01</v>
          </cell>
          <cell r="D5025" t="str">
            <v>NA/RNA.OR 5913</v>
          </cell>
        </row>
        <row r="5026">
          <cell r="C5026">
            <v>309684.01</v>
          </cell>
          <cell r="D5026" t="str">
            <v>NA/RNA.MCG 5913</v>
          </cell>
        </row>
        <row r="5027">
          <cell r="C5027">
            <v>511683</v>
          </cell>
          <cell r="D5027" t="str">
            <v>RO 5.5X27.8</v>
          </cell>
        </row>
        <row r="5028">
          <cell r="C5028">
            <v>104684.01</v>
          </cell>
          <cell r="D5028" t="str">
            <v>NA/RNA.IR 5913</v>
          </cell>
        </row>
        <row r="5029">
          <cell r="C5029">
            <v>104689</v>
          </cell>
          <cell r="D5029" t="str">
            <v>UC.IR 205  DR</v>
          </cell>
        </row>
        <row r="5030">
          <cell r="C5030">
            <v>208689</v>
          </cell>
          <cell r="D5030" t="str">
            <v>UC.OR 205 DR</v>
          </cell>
        </row>
        <row r="5031">
          <cell r="C5031">
            <v>309689</v>
          </cell>
          <cell r="D5031" t="str">
            <v>UC.NCG 205 DR</v>
          </cell>
        </row>
        <row r="5032">
          <cell r="C5032">
            <v>511993</v>
          </cell>
          <cell r="D5032" t="str">
            <v>BALL 5/16"(IS:2898-1976)</v>
          </cell>
        </row>
        <row r="5033">
          <cell r="C5033">
            <v>5221247</v>
          </cell>
          <cell r="D5033" t="str">
            <v>O G SHELL GADUS S2 V100 3</v>
          </cell>
        </row>
        <row r="5034">
          <cell r="C5034">
            <v>612689</v>
          </cell>
          <cell r="D5034" t="str">
            <v>G.SCREW M5X0.8X5MM</v>
          </cell>
        </row>
        <row r="5035">
          <cell r="C5035">
            <v>717689</v>
          </cell>
          <cell r="D5035" t="str">
            <v>UC.SEAL 205 DR</v>
          </cell>
        </row>
        <row r="5036">
          <cell r="C5036">
            <v>104692</v>
          </cell>
          <cell r="D5036" t="str">
            <v>UC.IR 208 DR</v>
          </cell>
        </row>
        <row r="5037">
          <cell r="C5037">
            <v>208692</v>
          </cell>
          <cell r="D5037" t="str">
            <v>UC.OR 208 DR</v>
          </cell>
        </row>
        <row r="5038">
          <cell r="C5038">
            <v>309924</v>
          </cell>
          <cell r="D5038" t="str">
            <v>NCG.GE 40 KRRB</v>
          </cell>
        </row>
        <row r="5039">
          <cell r="C5039">
            <v>511181</v>
          </cell>
          <cell r="D5039" t="str">
            <v>BALL 15/32"(IS:2898-1976)</v>
          </cell>
        </row>
        <row r="5040">
          <cell r="C5040">
            <v>5221247</v>
          </cell>
          <cell r="D5040" t="str">
            <v>O G SHELL GADUS S2 V100 3</v>
          </cell>
        </row>
        <row r="5041">
          <cell r="C5041">
            <v>612921</v>
          </cell>
          <cell r="D5041" t="str">
            <v>G.SCREW 30 (M08X1.25X08)</v>
          </cell>
        </row>
        <row r="5042">
          <cell r="C5042">
            <v>717692</v>
          </cell>
          <cell r="D5042" t="str">
            <v>UC.SEAL 208 DR</v>
          </cell>
        </row>
        <row r="5043">
          <cell r="C5043">
            <v>104699</v>
          </cell>
          <cell r="D5043" t="str">
            <v>NATR.IR 6</v>
          </cell>
        </row>
        <row r="5044">
          <cell r="C5044">
            <v>208699</v>
          </cell>
          <cell r="D5044" t="str">
            <v>NATR.OR 6</v>
          </cell>
        </row>
        <row r="5045">
          <cell r="C5045">
            <v>309699</v>
          </cell>
          <cell r="D5045" t="str">
            <v>NATR.NCG 6</v>
          </cell>
        </row>
        <row r="5046">
          <cell r="C5046">
            <v>511699</v>
          </cell>
          <cell r="D5046" t="str">
            <v>RO 1.5X5.8</v>
          </cell>
        </row>
        <row r="5047">
          <cell r="C5047">
            <v>104700</v>
          </cell>
          <cell r="D5047" t="str">
            <v>IR.IR 202520.5</v>
          </cell>
        </row>
        <row r="5048">
          <cell r="C5048">
            <v>104701</v>
          </cell>
          <cell r="D5048" t="str">
            <v>IR.IR 121512.5</v>
          </cell>
        </row>
        <row r="5049">
          <cell r="C5049">
            <v>104702</v>
          </cell>
          <cell r="D5049" t="str">
            <v>IR.IR 121516.5</v>
          </cell>
        </row>
        <row r="5050">
          <cell r="C5050">
            <v>4703</v>
          </cell>
        </row>
        <row r="5051">
          <cell r="C5051">
            <v>104703.21</v>
          </cell>
          <cell r="D5051" t="str">
            <v>IR.IR 12X16X22.5</v>
          </cell>
        </row>
        <row r="5052">
          <cell r="C5052">
            <v>104703.21</v>
          </cell>
          <cell r="D5052" t="str">
            <v>IR.IR 12X16X22.5</v>
          </cell>
        </row>
        <row r="5053">
          <cell r="C5053">
            <v>104704</v>
          </cell>
          <cell r="D5053" t="str">
            <v>IR.IR 152020.5</v>
          </cell>
        </row>
        <row r="5054">
          <cell r="C5054">
            <v>104705</v>
          </cell>
          <cell r="D5054" t="str">
            <v>IR.IR 202512.5</v>
          </cell>
        </row>
        <row r="5055">
          <cell r="C5055">
            <v>104707</v>
          </cell>
          <cell r="D5055" t="str">
            <v>IR.IR 202525.5(HK 2525)</v>
          </cell>
        </row>
        <row r="5056">
          <cell r="C5056">
            <v>104708</v>
          </cell>
          <cell r="D5056" t="str">
            <v>IR.IR 253020.4</v>
          </cell>
        </row>
        <row r="5057">
          <cell r="C5057">
            <v>104709</v>
          </cell>
          <cell r="D5057" t="str">
            <v>IR.IR 81210</v>
          </cell>
        </row>
        <row r="5058">
          <cell r="C5058">
            <v>104710</v>
          </cell>
          <cell r="D5058" t="str">
            <v>IR.IR 81212.5</v>
          </cell>
        </row>
        <row r="5059">
          <cell r="C5059">
            <v>104710.01</v>
          </cell>
          <cell r="D5059" t="str">
            <v>IR.IR 81212.5  SPL</v>
          </cell>
        </row>
        <row r="5060">
          <cell r="C5060">
            <v>104711</v>
          </cell>
          <cell r="D5060" t="str">
            <v>IR.IR 10X16.3X10</v>
          </cell>
        </row>
        <row r="5061">
          <cell r="C5061">
            <v>104712</v>
          </cell>
          <cell r="D5061" t="str">
            <v>IR.IR 10X16.4X10</v>
          </cell>
        </row>
        <row r="5062">
          <cell r="C5062">
            <v>104713</v>
          </cell>
          <cell r="D5062" t="str">
            <v>IR.IR 10X16.5X10</v>
          </cell>
        </row>
        <row r="5063">
          <cell r="C5063">
            <v>104714</v>
          </cell>
          <cell r="D5063" t="str">
            <v>IR.IR 10X15.8X10</v>
          </cell>
        </row>
        <row r="5064">
          <cell r="C5064">
            <v>104715</v>
          </cell>
          <cell r="D5064" t="str">
            <v>IR.IR 10X16X10</v>
          </cell>
        </row>
        <row r="5065">
          <cell r="C5065">
            <v>104716</v>
          </cell>
          <cell r="D5065" t="str">
            <v>IR.IR 10X16.1X10</v>
          </cell>
        </row>
        <row r="5066">
          <cell r="C5066">
            <v>104717</v>
          </cell>
          <cell r="D5066" t="str">
            <v>IR.IR 30X35X12.5</v>
          </cell>
        </row>
        <row r="5067">
          <cell r="C5067">
            <v>104718</v>
          </cell>
          <cell r="D5067" t="str">
            <v>IR.IR 40X45X16.5</v>
          </cell>
        </row>
        <row r="5068">
          <cell r="C5068">
            <v>104719</v>
          </cell>
          <cell r="D5068" t="str">
            <v>IR.IR 10X16.2X10        F</v>
          </cell>
        </row>
        <row r="5069">
          <cell r="C5069">
            <v>104720</v>
          </cell>
          <cell r="D5069" t="str">
            <v>IR.IR 10X15.9X10</v>
          </cell>
        </row>
        <row r="5070">
          <cell r="C5070">
            <v>104721</v>
          </cell>
          <cell r="D5070" t="str">
            <v>IR.IR 10X15.7X10</v>
          </cell>
        </row>
        <row r="5071">
          <cell r="C5071">
            <v>100721.5</v>
          </cell>
          <cell r="D5071" t="str">
            <v>IR.IR 14X17X26.6</v>
          </cell>
        </row>
        <row r="5072">
          <cell r="C5072">
            <v>104724</v>
          </cell>
          <cell r="D5072" t="str">
            <v>IR.IR 120X110X30        F</v>
          </cell>
        </row>
        <row r="5073">
          <cell r="C5073">
            <v>104724.01</v>
          </cell>
          <cell r="D5073" t="str">
            <v>IR.IR 100X110X30</v>
          </cell>
        </row>
        <row r="5074">
          <cell r="C5074">
            <v>104724.02</v>
          </cell>
          <cell r="D5074" t="str">
            <v>IR.IR 100X110X40</v>
          </cell>
        </row>
        <row r="5075">
          <cell r="C5075">
            <v>104725</v>
          </cell>
          <cell r="D5075" t="str">
            <v>IR.IR 25X30X12.5        F</v>
          </cell>
        </row>
        <row r="5076">
          <cell r="C5076">
            <v>104726</v>
          </cell>
          <cell r="D5076" t="str">
            <v>IR.IR 10X16.7X10        F</v>
          </cell>
        </row>
        <row r="5077">
          <cell r="C5077">
            <v>104727</v>
          </cell>
          <cell r="D5077" t="str">
            <v>IR.IR 10X16.8X10        F</v>
          </cell>
        </row>
        <row r="5078">
          <cell r="C5078">
            <v>104728</v>
          </cell>
          <cell r="D5078" t="str">
            <v>IR.IRT 2820(28X32X20.5) F</v>
          </cell>
        </row>
        <row r="5079">
          <cell r="C5079">
            <v>104729</v>
          </cell>
          <cell r="D5079" t="str">
            <v>IR.IRT 4020(40X45X20.5) F</v>
          </cell>
        </row>
        <row r="5080">
          <cell r="C5080">
            <v>100729.01</v>
          </cell>
          <cell r="D5080" t="str">
            <v>IR.IR 15X18X19.5</v>
          </cell>
        </row>
        <row r="5081">
          <cell r="C5081">
            <v>100729.02</v>
          </cell>
          <cell r="D5081" t="str">
            <v>IR.IR 10X13X12.5</v>
          </cell>
        </row>
        <row r="5082">
          <cell r="C5082">
            <v>100729.03</v>
          </cell>
          <cell r="D5082" t="str">
            <v>IR.IR 20X24X28.5</v>
          </cell>
        </row>
        <row r="5083">
          <cell r="C5083">
            <v>100729.1</v>
          </cell>
          <cell r="D5083" t="str">
            <v>IR.IRT 45X50X12.5</v>
          </cell>
        </row>
        <row r="5084">
          <cell r="C5084">
            <v>100729.2</v>
          </cell>
          <cell r="D5084" t="str">
            <v>IR.IR 7X16.990X10.9</v>
          </cell>
        </row>
        <row r="5085">
          <cell r="C5085">
            <v>100729.3</v>
          </cell>
          <cell r="D5085" t="str">
            <v>IR.IR 10.77x 19 x11</v>
          </cell>
        </row>
        <row r="5086">
          <cell r="C5086">
            <v>100729.32</v>
          </cell>
          <cell r="D5086" t="str">
            <v>IR.IR 12.74x 22 x15</v>
          </cell>
        </row>
        <row r="5087">
          <cell r="C5087">
            <v>100729.4</v>
          </cell>
          <cell r="D5087" t="str">
            <v>IRT.IR YT 2620</v>
          </cell>
        </row>
        <row r="5088">
          <cell r="C5088">
            <v>100729.5</v>
          </cell>
          <cell r="D5088" t="str">
            <v>IRT.IR YT 2220</v>
          </cell>
        </row>
        <row r="5089">
          <cell r="C5089">
            <v>104607.03999999999</v>
          </cell>
          <cell r="D5089" t="str">
            <v>NJ.IR 309               F</v>
          </cell>
        </row>
        <row r="5090">
          <cell r="C5090">
            <v>208489</v>
          </cell>
          <cell r="D5090" t="str">
            <v>NU.OR 309</v>
          </cell>
        </row>
        <row r="5091">
          <cell r="C5091">
            <v>309489</v>
          </cell>
          <cell r="D5091" t="str">
            <v>NU.MCG 309</v>
          </cell>
        </row>
        <row r="5092">
          <cell r="C5092">
            <v>511998</v>
          </cell>
          <cell r="D5092" t="str">
            <v>RO 14X14</v>
          </cell>
        </row>
        <row r="5093">
          <cell r="C5093">
            <v>1422731</v>
          </cell>
          <cell r="D5093" t="str">
            <v>6008  Material</v>
          </cell>
        </row>
        <row r="5094">
          <cell r="C5094">
            <v>1422732</v>
          </cell>
          <cell r="D5094" t="str">
            <v>6009  Material</v>
          </cell>
        </row>
        <row r="5095">
          <cell r="C5095">
            <v>104733.01</v>
          </cell>
          <cell r="D5095" t="str">
            <v>IR.IR 60X70X28</v>
          </cell>
        </row>
        <row r="5096">
          <cell r="C5096">
            <v>100733.04</v>
          </cell>
          <cell r="D5096" t="str">
            <v>IR.IR 607025</v>
          </cell>
        </row>
        <row r="5097">
          <cell r="C5097">
            <v>104734</v>
          </cell>
          <cell r="D5097" t="str">
            <v>IR 55X72X52</v>
          </cell>
        </row>
        <row r="5098">
          <cell r="C5098">
            <v>914003</v>
          </cell>
          <cell r="D5098" t="str">
            <v>BOX 75X55X75</v>
          </cell>
        </row>
        <row r="5099">
          <cell r="C5099">
            <v>104735</v>
          </cell>
          <cell r="D5099" t="str">
            <v>IR.IR 50X59X40</v>
          </cell>
        </row>
        <row r="5100">
          <cell r="C5100">
            <v>913015</v>
          </cell>
          <cell r="D5100" t="str">
            <v>Box 75X40X75</v>
          </cell>
        </row>
        <row r="5101">
          <cell r="C5101">
            <v>104736</v>
          </cell>
          <cell r="D5101" t="str">
            <v>IR.IR 9010030</v>
          </cell>
        </row>
        <row r="5102">
          <cell r="C5102">
            <v>104737</v>
          </cell>
          <cell r="D5102" t="str">
            <v>IR.IR 42X51.5X37</v>
          </cell>
        </row>
        <row r="5103">
          <cell r="C5103">
            <v>914002</v>
          </cell>
          <cell r="D5103" t="str">
            <v>BOX 55X40X55</v>
          </cell>
        </row>
        <row r="5104">
          <cell r="C5104">
            <v>104738</v>
          </cell>
          <cell r="D5104" t="str">
            <v>IR.IR 20X28.6X16</v>
          </cell>
        </row>
        <row r="5105">
          <cell r="C5105">
            <v>913010</v>
          </cell>
          <cell r="D5105" t="str">
            <v>Box 150x40x50</v>
          </cell>
        </row>
        <row r="5106">
          <cell r="C5106">
            <v>104739</v>
          </cell>
          <cell r="D5106" t="str">
            <v>IR.IR 32X42.5X29</v>
          </cell>
        </row>
        <row r="5107">
          <cell r="C5107">
            <v>100740</v>
          </cell>
          <cell r="D5107" t="str">
            <v>RRB.IR 3308</v>
          </cell>
        </row>
        <row r="5108">
          <cell r="C5108">
            <v>200740.01</v>
          </cell>
          <cell r="D5108" t="str">
            <v>RRB.OR 3308</v>
          </cell>
        </row>
        <row r="5109">
          <cell r="C5109">
            <v>100741</v>
          </cell>
          <cell r="D5109" t="str">
            <v>IR.IR 35X43.9X28</v>
          </cell>
        </row>
        <row r="5110">
          <cell r="C5110">
            <v>100742</v>
          </cell>
          <cell r="D5110" t="str">
            <v>IR.IR 32X41X28</v>
          </cell>
        </row>
        <row r="5111">
          <cell r="C5111">
            <v>913010</v>
          </cell>
          <cell r="D5111" t="str">
            <v>Box 150x40x50</v>
          </cell>
        </row>
        <row r="5112">
          <cell r="C5112">
            <v>100743</v>
          </cell>
          <cell r="D5112" t="str">
            <v>IR.IR 34.150X25X26</v>
          </cell>
        </row>
        <row r="5113">
          <cell r="C5113">
            <v>100744</v>
          </cell>
          <cell r="D5113" t="str">
            <v>IR.IR 50X60.3X32</v>
          </cell>
        </row>
        <row r="5114">
          <cell r="C5114">
            <v>100745</v>
          </cell>
          <cell r="D5114" t="str">
            <v>IR.IR 40X50X32</v>
          </cell>
        </row>
        <row r="5115">
          <cell r="C5115">
            <v>913006</v>
          </cell>
          <cell r="D5115" t="str">
            <v>Box 50x35x50</v>
          </cell>
        </row>
        <row r="5116">
          <cell r="C5116">
            <v>100746</v>
          </cell>
          <cell r="D5116" t="str">
            <v>IR.IR 65X78.4X58</v>
          </cell>
        </row>
        <row r="5117">
          <cell r="C5117">
            <v>100746.5</v>
          </cell>
          <cell r="D5117" t="str">
            <v>IR.IR 65X78X58</v>
          </cell>
        </row>
        <row r="5118">
          <cell r="C5118">
            <v>100748.2</v>
          </cell>
          <cell r="D5118" t="str">
            <v>IR.IR 32X41X28</v>
          </cell>
        </row>
        <row r="5119">
          <cell r="C5119">
            <v>500748.2</v>
          </cell>
          <cell r="D5119" t="str">
            <v>RO 5x9 ZB</v>
          </cell>
        </row>
        <row r="5120">
          <cell r="C5120">
            <v>600748.19999999995</v>
          </cell>
          <cell r="D5120" t="str">
            <v>Snap Ring (BR 47)</v>
          </cell>
        </row>
        <row r="5121">
          <cell r="C5121">
            <v>700748.2</v>
          </cell>
          <cell r="D5121" t="str">
            <v>Flange Ring  748.20</v>
          </cell>
        </row>
        <row r="5122">
          <cell r="C5122">
            <v>900748.2</v>
          </cell>
          <cell r="D5122" t="str">
            <v>Mounting Sleeve 748.20</v>
          </cell>
        </row>
        <row r="5123">
          <cell r="C5123">
            <v>100748.3</v>
          </cell>
          <cell r="D5123" t="str">
            <v>IR.IR 20X28.6X16</v>
          </cell>
        </row>
        <row r="5124">
          <cell r="C5124">
            <v>500748.3</v>
          </cell>
          <cell r="D5124" t="str">
            <v>RO 6X9 ZB</v>
          </cell>
        </row>
        <row r="5125">
          <cell r="C5125">
            <v>600748.30000000005</v>
          </cell>
          <cell r="D5125" t="str">
            <v>Snap Ring (BR 37)</v>
          </cell>
        </row>
        <row r="5126">
          <cell r="C5126">
            <v>700748.3</v>
          </cell>
          <cell r="D5126" t="str">
            <v>Flange Ring  748.30</v>
          </cell>
        </row>
        <row r="5127">
          <cell r="C5127">
            <v>900748.3</v>
          </cell>
          <cell r="D5127" t="str">
            <v>Mounting Sleeve 748.30</v>
          </cell>
        </row>
        <row r="5128">
          <cell r="C5128">
            <v>100748.4</v>
          </cell>
          <cell r="D5128" t="str">
            <v>IR.IR 55X72.5X52</v>
          </cell>
        </row>
        <row r="5129">
          <cell r="C5129">
            <v>500748.4</v>
          </cell>
          <cell r="D5129" t="str">
            <v>RO 12X18 ZB</v>
          </cell>
        </row>
        <row r="5130">
          <cell r="C5130">
            <v>600748.4</v>
          </cell>
          <cell r="D5130" t="str">
            <v>Snap Ring (BR 88)</v>
          </cell>
        </row>
        <row r="5131">
          <cell r="C5131">
            <v>700748.4</v>
          </cell>
          <cell r="D5131" t="str">
            <v>Flange Ring  748.40</v>
          </cell>
        </row>
        <row r="5132">
          <cell r="C5132">
            <v>900748.4</v>
          </cell>
          <cell r="D5132" t="str">
            <v>Mounting Sleeve 748.40</v>
          </cell>
        </row>
        <row r="5133">
          <cell r="C5133">
            <v>100750</v>
          </cell>
          <cell r="D5133" t="str">
            <v>IR.CRB 2531.96259</v>
          </cell>
        </row>
        <row r="5134">
          <cell r="C5134">
            <v>100750.1</v>
          </cell>
          <cell r="D5134" t="str">
            <v>IR.IR 40X56X78</v>
          </cell>
        </row>
        <row r="5135">
          <cell r="C5135">
            <v>104060</v>
          </cell>
          <cell r="D5135" t="str">
            <v>BR.IR 3622</v>
          </cell>
        </row>
        <row r="5136">
          <cell r="C5136">
            <v>208060</v>
          </cell>
          <cell r="D5136" t="str">
            <v>BR.OR 3622</v>
          </cell>
        </row>
        <row r="5137">
          <cell r="C5137">
            <v>309060</v>
          </cell>
          <cell r="D5137" t="str">
            <v>BR.NCG 3622</v>
          </cell>
        </row>
        <row r="5138">
          <cell r="C5138">
            <v>410069</v>
          </cell>
          <cell r="D5138" t="str">
            <v>BR.K 3600      WITH R</v>
          </cell>
        </row>
        <row r="5139">
          <cell r="C5139">
            <v>511060</v>
          </cell>
          <cell r="D5139" t="str">
            <v>RO 2.5X9.8</v>
          </cell>
        </row>
        <row r="5140">
          <cell r="C5140">
            <v>612042</v>
          </cell>
          <cell r="D5140" t="str">
            <v>BR.N 3222</v>
          </cell>
        </row>
        <row r="5141">
          <cell r="C5141">
            <v>913010</v>
          </cell>
          <cell r="D5141" t="str">
            <v>Box 150x40x50</v>
          </cell>
        </row>
        <row r="5142">
          <cell r="C5142">
            <v>104762</v>
          </cell>
          <cell r="D5142" t="str">
            <v>BR.IR 3620 SPL.</v>
          </cell>
        </row>
        <row r="5143">
          <cell r="C5143">
            <v>208762</v>
          </cell>
          <cell r="D5143" t="str">
            <v>BR.OR 3620 SPL.</v>
          </cell>
        </row>
        <row r="5144">
          <cell r="C5144">
            <v>309762</v>
          </cell>
          <cell r="D5144" t="str">
            <v>BR.NCG 3620 SPL.</v>
          </cell>
        </row>
        <row r="5145">
          <cell r="C5145">
            <v>410062</v>
          </cell>
          <cell r="D5145" t="str">
            <v>BR.K 3622          WITH R</v>
          </cell>
        </row>
        <row r="5146">
          <cell r="C5146">
            <v>511060</v>
          </cell>
          <cell r="D5146" t="str">
            <v>RO 2.5X9.8</v>
          </cell>
        </row>
        <row r="5147">
          <cell r="C5147">
            <v>612042</v>
          </cell>
          <cell r="D5147" t="str">
            <v>BR.N 3222</v>
          </cell>
        </row>
        <row r="5148">
          <cell r="C5148">
            <v>410062</v>
          </cell>
          <cell r="D5148" t="str">
            <v>BR.K 3622          WITH R</v>
          </cell>
        </row>
        <row r="5149">
          <cell r="C5149">
            <v>309762</v>
          </cell>
          <cell r="D5149" t="str">
            <v>BR.NCG 3620 SPL.</v>
          </cell>
        </row>
        <row r="5150">
          <cell r="C5150">
            <v>511060</v>
          </cell>
          <cell r="D5150" t="str">
            <v>RO 2.5X9.8</v>
          </cell>
        </row>
        <row r="5151">
          <cell r="C5151">
            <v>104094</v>
          </cell>
          <cell r="D5151" t="str">
            <v>BR.IR 2816(24)1317</v>
          </cell>
        </row>
        <row r="5152">
          <cell r="C5152">
            <v>208753</v>
          </cell>
          <cell r="D5152" t="str">
            <v>BR.OR 2816(24)1317</v>
          </cell>
        </row>
        <row r="5153">
          <cell r="C5153">
            <v>309090.01</v>
          </cell>
          <cell r="D5153" t="str">
            <v>BR.TCG 2815</v>
          </cell>
        </row>
        <row r="5154">
          <cell r="C5154">
            <v>410753</v>
          </cell>
          <cell r="D5154" t="str">
            <v>BR.K 2816(24)1317  WITH R</v>
          </cell>
        </row>
        <row r="5155">
          <cell r="C5155">
            <v>511090</v>
          </cell>
          <cell r="D5155" t="str">
            <v>RO 2X7.8</v>
          </cell>
        </row>
        <row r="5156">
          <cell r="C5156">
            <v>612001</v>
          </cell>
          <cell r="D5156" t="str">
            <v>BR.N 2822</v>
          </cell>
        </row>
        <row r="5157">
          <cell r="C5157">
            <v>309090.01</v>
          </cell>
          <cell r="D5157" t="str">
            <v>BR.TCG 2815</v>
          </cell>
        </row>
        <row r="5158">
          <cell r="C5158">
            <v>104060</v>
          </cell>
          <cell r="D5158" t="str">
            <v>BR.IR 3622</v>
          </cell>
        </row>
        <row r="5159">
          <cell r="C5159">
            <v>208137</v>
          </cell>
          <cell r="D5159" t="str">
            <v>BR.OR 3719(22)</v>
          </cell>
        </row>
        <row r="5160">
          <cell r="C5160">
            <v>309060</v>
          </cell>
          <cell r="D5160" t="str">
            <v>BR.NCG 3622</v>
          </cell>
        </row>
        <row r="5161">
          <cell r="C5161">
            <v>410754</v>
          </cell>
          <cell r="D5161" t="str">
            <v>BR.K 3719(06)      WITH R</v>
          </cell>
        </row>
        <row r="5162">
          <cell r="C5162">
            <v>511060</v>
          </cell>
          <cell r="D5162" t="str">
            <v>RO 2.5X9.8</v>
          </cell>
        </row>
        <row r="5163">
          <cell r="C5163">
            <v>612042</v>
          </cell>
          <cell r="D5163" t="str">
            <v>BR.N 3222</v>
          </cell>
        </row>
        <row r="5164">
          <cell r="C5164">
            <v>104755</v>
          </cell>
          <cell r="D5164" t="str">
            <v>BR.IR 4319</v>
          </cell>
        </row>
        <row r="5165">
          <cell r="C5165">
            <v>208755</v>
          </cell>
          <cell r="D5165" t="str">
            <v>BR.OR 4319</v>
          </cell>
        </row>
        <row r="5166">
          <cell r="C5166">
            <v>511461</v>
          </cell>
          <cell r="D5166" t="str">
            <v>RO 6X6</v>
          </cell>
        </row>
        <row r="5167">
          <cell r="C5167">
            <v>717755</v>
          </cell>
          <cell r="D5167" t="str">
            <v>Felt 3x5x112 mm.</v>
          </cell>
        </row>
        <row r="5168">
          <cell r="C5168">
            <v>913006</v>
          </cell>
          <cell r="D5168" t="str">
            <v>Box 50x35x50</v>
          </cell>
        </row>
        <row r="5169">
          <cell r="C5169">
            <v>104756</v>
          </cell>
          <cell r="D5169" t="str">
            <v>BR.IR 52[P]25</v>
          </cell>
        </row>
        <row r="5170">
          <cell r="C5170">
            <v>208756</v>
          </cell>
          <cell r="D5170" t="str">
            <v>BR.OR 52[P]25</v>
          </cell>
        </row>
        <row r="5171">
          <cell r="C5171">
            <v>309756</v>
          </cell>
          <cell r="D5171" t="str">
            <v>BR.TCG 52[P]25</v>
          </cell>
        </row>
        <row r="5172">
          <cell r="C5172">
            <v>511141</v>
          </cell>
          <cell r="D5172" t="str">
            <v>RO 3.5X12.8</v>
          </cell>
        </row>
        <row r="5173">
          <cell r="C5173">
            <v>818141</v>
          </cell>
          <cell r="D5173" t="str">
            <v>8.5 mm Pin(BR 52[P]25)</v>
          </cell>
        </row>
        <row r="5174">
          <cell r="C5174">
            <v>104001</v>
          </cell>
          <cell r="D5174" t="str">
            <v>BR.IR 2822</v>
          </cell>
        </row>
        <row r="5175">
          <cell r="C5175">
            <v>208757</v>
          </cell>
          <cell r="D5175" t="str">
            <v>BR.OR 30[P]16.5F</v>
          </cell>
        </row>
        <row r="5176">
          <cell r="C5176">
            <v>309001</v>
          </cell>
          <cell r="D5176" t="str">
            <v>BR.NCG 2822</v>
          </cell>
        </row>
        <row r="5177">
          <cell r="C5177">
            <v>511001</v>
          </cell>
          <cell r="D5177" t="str">
            <v>RO 2X9.8</v>
          </cell>
        </row>
        <row r="5178">
          <cell r="C5178">
            <v>612001</v>
          </cell>
          <cell r="D5178" t="str">
            <v>BR.N 2822</v>
          </cell>
        </row>
        <row r="5179">
          <cell r="C5179">
            <v>104758</v>
          </cell>
          <cell r="D5179" t="str">
            <v>BR.IR 32[P]17-25.4</v>
          </cell>
        </row>
        <row r="5180">
          <cell r="C5180">
            <v>208758</v>
          </cell>
          <cell r="D5180" t="str">
            <v>BR.OR 32[P]17</v>
          </cell>
        </row>
        <row r="5181">
          <cell r="C5181">
            <v>309758</v>
          </cell>
          <cell r="D5181" t="str">
            <v>BR.TCG 32[P]17</v>
          </cell>
        </row>
        <row r="5182">
          <cell r="C5182">
            <v>511120</v>
          </cell>
          <cell r="D5182" t="str">
            <v>RO 3X11.8</v>
          </cell>
        </row>
        <row r="5183">
          <cell r="C5183">
            <v>612042</v>
          </cell>
          <cell r="D5183" t="str">
            <v>BR.N 3222</v>
          </cell>
        </row>
        <row r="5184">
          <cell r="C5184">
            <v>208759</v>
          </cell>
          <cell r="D5184" t="str">
            <v>BR.OR 32[P]22 SPL.</v>
          </cell>
        </row>
        <row r="5185">
          <cell r="C5185">
            <v>309125.09999999998</v>
          </cell>
          <cell r="D5185" t="str">
            <v>BR.NCG 3218.5(06)LOCKTYPE</v>
          </cell>
        </row>
        <row r="5186">
          <cell r="C5186">
            <v>410125.02</v>
          </cell>
          <cell r="D5186" t="str">
            <v>BR.K 3218.5(06)     SKF G</v>
          </cell>
        </row>
        <row r="5187">
          <cell r="C5187">
            <v>511001</v>
          </cell>
          <cell r="D5187" t="str">
            <v>RO 2X9.8</v>
          </cell>
        </row>
        <row r="5188">
          <cell r="C5188">
            <v>612125</v>
          </cell>
          <cell r="D5188" t="str">
            <v>BR.N 3218.5(06)</v>
          </cell>
        </row>
        <row r="5189">
          <cell r="C5189">
            <v>913016</v>
          </cell>
          <cell r="D5189" t="str">
            <v>Box 250x40x50</v>
          </cell>
        </row>
        <row r="5190">
          <cell r="C5190">
            <v>208759.21</v>
          </cell>
          <cell r="D5190" t="str">
            <v>BR.OR 32[P]22 SPL MZ</v>
          </cell>
        </row>
        <row r="5191">
          <cell r="C5191">
            <v>309125.09999999998</v>
          </cell>
          <cell r="D5191" t="str">
            <v>BR.NCG 3218.5(06)LOCKTYPE</v>
          </cell>
        </row>
        <row r="5192">
          <cell r="C5192">
            <v>410048.21</v>
          </cell>
          <cell r="D5192" t="str">
            <v>BR.K 320024 WITH 5.5MM HO</v>
          </cell>
        </row>
        <row r="5193">
          <cell r="C5193">
            <v>612042</v>
          </cell>
          <cell r="D5193" t="str">
            <v>BR.N 3222</v>
          </cell>
        </row>
        <row r="5194">
          <cell r="C5194">
            <v>104760</v>
          </cell>
          <cell r="D5194" t="str">
            <v>BR.IR 34[P]19-25.4</v>
          </cell>
        </row>
        <row r="5195">
          <cell r="C5195">
            <v>208760</v>
          </cell>
          <cell r="D5195" t="str">
            <v>BR.OR 34[P]19-25.4</v>
          </cell>
        </row>
        <row r="5196">
          <cell r="C5196">
            <v>309760</v>
          </cell>
          <cell r="D5196" t="str">
            <v>BR.NCG 34[P]19-25.4</v>
          </cell>
        </row>
        <row r="5197">
          <cell r="C5197">
            <v>511001</v>
          </cell>
          <cell r="D5197" t="str">
            <v>RO 2X9.8</v>
          </cell>
        </row>
        <row r="5198">
          <cell r="C5198">
            <v>612042</v>
          </cell>
          <cell r="D5198" t="str">
            <v>BR.N 3222</v>
          </cell>
        </row>
        <row r="5199">
          <cell r="C5199">
            <v>913001</v>
          </cell>
          <cell r="D5199" t="str">
            <v>Box 48x30x40</v>
          </cell>
        </row>
        <row r="5200">
          <cell r="C5200">
            <v>104761</v>
          </cell>
          <cell r="D5200" t="str">
            <v>M.IR 76100(3216.2(06)</v>
          </cell>
        </row>
        <row r="5201">
          <cell r="C5201">
            <v>208040.4</v>
          </cell>
          <cell r="D5201" t="str">
            <v>BR.OR 3222 LMW</v>
          </cell>
        </row>
        <row r="5202">
          <cell r="C5202">
            <v>309046.03999999998</v>
          </cell>
          <cell r="D5202" t="str">
            <v>BR.NCG 322224(LOCK TYPE)</v>
          </cell>
        </row>
        <row r="5203">
          <cell r="C5203">
            <v>410761</v>
          </cell>
          <cell r="D5203" t="str">
            <v>BR.K 3216(06)      WITH R</v>
          </cell>
        </row>
        <row r="5204">
          <cell r="C5204">
            <v>511042</v>
          </cell>
          <cell r="D5204" t="str">
            <v>RO 2.5X10.8</v>
          </cell>
        </row>
        <row r="5205">
          <cell r="C5205">
            <v>612042</v>
          </cell>
          <cell r="D5205" t="str">
            <v>BR.N 3222</v>
          </cell>
        </row>
        <row r="5206">
          <cell r="C5206">
            <v>309761</v>
          </cell>
          <cell r="D5206" t="str">
            <v>BR.NCG 3216(06)</v>
          </cell>
        </row>
        <row r="5207">
          <cell r="C5207">
            <v>511042</v>
          </cell>
          <cell r="D5207" t="str">
            <v>RO 2.5X10.8</v>
          </cell>
        </row>
        <row r="5208">
          <cell r="C5208">
            <v>104762</v>
          </cell>
          <cell r="D5208" t="str">
            <v>BR.IR 3620 SPL.</v>
          </cell>
        </row>
        <row r="5209">
          <cell r="C5209">
            <v>208762</v>
          </cell>
          <cell r="D5209" t="str">
            <v>BR.OR 3620 SPL.</v>
          </cell>
        </row>
        <row r="5210">
          <cell r="C5210">
            <v>309762</v>
          </cell>
          <cell r="D5210" t="str">
            <v>BR.NCG 3620 SPL.</v>
          </cell>
        </row>
        <row r="5211">
          <cell r="C5211">
            <v>410762</v>
          </cell>
          <cell r="D5211" t="str">
            <v>BR.K 3620 SPL.     WITH R</v>
          </cell>
        </row>
        <row r="5212">
          <cell r="C5212">
            <v>511060</v>
          </cell>
          <cell r="D5212" t="str">
            <v>RO 2.5X9.8</v>
          </cell>
        </row>
        <row r="5213">
          <cell r="C5213">
            <v>612042</v>
          </cell>
          <cell r="D5213" t="str">
            <v>BR.N 3222</v>
          </cell>
        </row>
        <row r="5214">
          <cell r="C5214">
            <v>913010</v>
          </cell>
          <cell r="D5214" t="str">
            <v>Box 150x40x50</v>
          </cell>
        </row>
        <row r="5215">
          <cell r="C5215">
            <v>104762</v>
          </cell>
          <cell r="D5215" t="str">
            <v>BR.IR 3620 SPL.</v>
          </cell>
        </row>
        <row r="5216">
          <cell r="C5216">
            <v>309762</v>
          </cell>
          <cell r="D5216" t="str">
            <v>BR.NCG 3620 SPL.</v>
          </cell>
        </row>
        <row r="5217">
          <cell r="C5217">
            <v>410762</v>
          </cell>
          <cell r="D5217" t="str">
            <v>BR.K 3620 SPL.     WITH R</v>
          </cell>
        </row>
        <row r="5218">
          <cell r="C5218">
            <v>511060</v>
          </cell>
          <cell r="D5218" t="str">
            <v>RO 2.5X9.8</v>
          </cell>
        </row>
        <row r="5219">
          <cell r="C5219">
            <v>913010</v>
          </cell>
          <cell r="D5219" t="str">
            <v>Box 150x40x50</v>
          </cell>
        </row>
        <row r="5220">
          <cell r="C5220">
            <v>104763</v>
          </cell>
          <cell r="D5220" t="str">
            <v>M.IR 76311</v>
          </cell>
        </row>
        <row r="5221">
          <cell r="C5221">
            <v>208763</v>
          </cell>
          <cell r="D5221" t="str">
            <v>M.OR 76311</v>
          </cell>
        </row>
        <row r="5222">
          <cell r="C5222">
            <v>309001</v>
          </cell>
          <cell r="D5222" t="str">
            <v>BR.NCG 2822</v>
          </cell>
        </row>
        <row r="5223">
          <cell r="C5223">
            <v>511001</v>
          </cell>
          <cell r="D5223" t="str">
            <v>RO 2X9.8</v>
          </cell>
        </row>
        <row r="5224">
          <cell r="C5224">
            <v>104764</v>
          </cell>
          <cell r="D5224" t="str">
            <v>M.IR 76411</v>
          </cell>
        </row>
        <row r="5225">
          <cell r="C5225">
            <v>208764</v>
          </cell>
          <cell r="D5225" t="str">
            <v>M.OR 76411</v>
          </cell>
        </row>
        <row r="5226">
          <cell r="C5226">
            <v>309764</v>
          </cell>
          <cell r="D5226" t="str">
            <v>M.NCG 76411 (22x28x12)</v>
          </cell>
        </row>
        <row r="5227">
          <cell r="C5227">
            <v>511764</v>
          </cell>
          <cell r="D5227" t="str">
            <v>RO 3X9.4</v>
          </cell>
        </row>
        <row r="5228">
          <cell r="C5228">
            <v>104765</v>
          </cell>
          <cell r="D5228" t="str">
            <v>M.IR 76511</v>
          </cell>
        </row>
        <row r="5229">
          <cell r="C5229">
            <v>208765</v>
          </cell>
          <cell r="D5229" t="str">
            <v>M.OR 76511</v>
          </cell>
        </row>
        <row r="5230">
          <cell r="C5230">
            <v>309764</v>
          </cell>
          <cell r="D5230" t="str">
            <v>M.NCG 76411 (22x28x12)</v>
          </cell>
        </row>
        <row r="5231">
          <cell r="C5231">
            <v>511764</v>
          </cell>
          <cell r="D5231" t="str">
            <v>RO 3X9.4</v>
          </cell>
        </row>
        <row r="5232">
          <cell r="C5232">
            <v>104766</v>
          </cell>
          <cell r="D5232" t="str">
            <v>M.IR 76611</v>
          </cell>
        </row>
        <row r="5233">
          <cell r="C5233">
            <v>208766</v>
          </cell>
          <cell r="D5233" t="str">
            <v>M.OR 76611</v>
          </cell>
        </row>
        <row r="5234">
          <cell r="C5234">
            <v>309764</v>
          </cell>
          <cell r="D5234" t="str">
            <v>M.NCG 76411 (22x28x12)</v>
          </cell>
        </row>
        <row r="5235">
          <cell r="C5235">
            <v>511764</v>
          </cell>
          <cell r="D5235" t="str">
            <v>RO 3X9.4</v>
          </cell>
        </row>
        <row r="5236">
          <cell r="C5236">
            <v>104767</v>
          </cell>
          <cell r="D5236" t="str">
            <v>M.IR 76711</v>
          </cell>
        </row>
        <row r="5237">
          <cell r="C5237">
            <v>208767</v>
          </cell>
          <cell r="D5237" t="str">
            <v>M.OR 76711</v>
          </cell>
        </row>
        <row r="5238">
          <cell r="C5238">
            <v>309001</v>
          </cell>
          <cell r="D5238" t="str">
            <v>BR.NCG 2822</v>
          </cell>
        </row>
        <row r="5239">
          <cell r="C5239">
            <v>511001</v>
          </cell>
          <cell r="D5239" t="str">
            <v>RO 2X9.8</v>
          </cell>
        </row>
        <row r="5240">
          <cell r="C5240">
            <v>1422768</v>
          </cell>
          <cell r="D5240" t="str">
            <v>R 76877(2B18-3) materil</v>
          </cell>
        </row>
        <row r="5241">
          <cell r="C5241">
            <v>913016</v>
          </cell>
          <cell r="D5241" t="str">
            <v>Box 250x40x50</v>
          </cell>
        </row>
        <row r="5242">
          <cell r="C5242">
            <v>104762</v>
          </cell>
          <cell r="D5242" t="str">
            <v>BR.IR 3620 SPL.</v>
          </cell>
        </row>
        <row r="5243">
          <cell r="C5243">
            <v>208762</v>
          </cell>
          <cell r="D5243" t="str">
            <v>BR.OR 3620 SPL.</v>
          </cell>
        </row>
        <row r="5244">
          <cell r="C5244">
            <v>309762</v>
          </cell>
          <cell r="D5244" t="str">
            <v>BR.NCG 3620 SPL.</v>
          </cell>
        </row>
        <row r="5245">
          <cell r="C5245">
            <v>410069</v>
          </cell>
          <cell r="D5245" t="str">
            <v>BR.K 3600      WITH R</v>
          </cell>
        </row>
        <row r="5246">
          <cell r="C5246">
            <v>511060</v>
          </cell>
          <cell r="D5246" t="str">
            <v>RO 2.5X9.8</v>
          </cell>
        </row>
        <row r="5247">
          <cell r="C5247">
            <v>612042</v>
          </cell>
          <cell r="D5247" t="str">
            <v>BR.N 3222</v>
          </cell>
        </row>
        <row r="5248">
          <cell r="C5248">
            <v>104040</v>
          </cell>
          <cell r="D5248" t="str">
            <v>BR.IR 3222</v>
          </cell>
        </row>
        <row r="5249">
          <cell r="C5249">
            <v>208046</v>
          </cell>
          <cell r="D5249" t="str">
            <v>BR.OR 322224 SPL.</v>
          </cell>
        </row>
        <row r="5250">
          <cell r="C5250">
            <v>309040</v>
          </cell>
          <cell r="D5250" t="str">
            <v>BR.NCG 3222</v>
          </cell>
        </row>
        <row r="5251">
          <cell r="C5251">
            <v>410047.02</v>
          </cell>
          <cell r="D5251" t="str">
            <v>BR.K 322424         SKF G</v>
          </cell>
        </row>
        <row r="5252">
          <cell r="C5252">
            <v>511040</v>
          </cell>
          <cell r="D5252" t="str">
            <v>RO 2X11.8</v>
          </cell>
        </row>
        <row r="5253">
          <cell r="C5253">
            <v>612040.4</v>
          </cell>
          <cell r="D5253" t="str">
            <v>BR.N 3200 LMW</v>
          </cell>
        </row>
        <row r="5254">
          <cell r="C5254">
            <v>104046</v>
          </cell>
          <cell r="D5254" t="str">
            <v>BR.IR 322224 SPL.</v>
          </cell>
        </row>
        <row r="5255">
          <cell r="C5255">
            <v>208771</v>
          </cell>
          <cell r="D5255" t="str">
            <v>M.OR77100(BR 320024SPLS)</v>
          </cell>
        </row>
        <row r="5256">
          <cell r="C5256">
            <v>309046.03999999998</v>
          </cell>
          <cell r="D5256" t="str">
            <v>BR.NCG 322224(LOCK TYPE)</v>
          </cell>
        </row>
        <row r="5257">
          <cell r="C5257">
            <v>410771</v>
          </cell>
          <cell r="D5257" t="str">
            <v>M.K 77100(BR 320024SPLS)</v>
          </cell>
        </row>
        <row r="5258">
          <cell r="C5258">
            <v>511042</v>
          </cell>
          <cell r="D5258" t="str">
            <v>RO 2.5X10.8</v>
          </cell>
        </row>
        <row r="5259">
          <cell r="C5259">
            <v>5221208</v>
          </cell>
          <cell r="D5259" t="str">
            <v>O G NBU 12/300 KP</v>
          </cell>
        </row>
        <row r="5260">
          <cell r="C5260">
            <v>612771</v>
          </cell>
          <cell r="D5260" t="str">
            <v>M.N 77100(BR 320024 SPLS)</v>
          </cell>
        </row>
        <row r="5261">
          <cell r="C5261">
            <v>410771</v>
          </cell>
          <cell r="D5261" t="str">
            <v>M.K 77100(BR 320024SPLS)</v>
          </cell>
        </row>
        <row r="5262">
          <cell r="C5262">
            <v>104772</v>
          </cell>
          <cell r="D5262" t="str">
            <v>M.IR 77299(BR 5525)</v>
          </cell>
        </row>
        <row r="5263">
          <cell r="C5263">
            <v>208772</v>
          </cell>
          <cell r="D5263" t="str">
            <v>M.OR 77299(BR 5525)</v>
          </cell>
        </row>
        <row r="5264">
          <cell r="C5264">
            <v>511772</v>
          </cell>
          <cell r="D5264" t="str">
            <v>RO 7.00X7.00</v>
          </cell>
        </row>
        <row r="5265">
          <cell r="C5265">
            <v>717772</v>
          </cell>
          <cell r="D5265" t="str">
            <v>FELT 4.4X6.9X131</v>
          </cell>
        </row>
        <row r="5266">
          <cell r="C5266">
            <v>913002</v>
          </cell>
          <cell r="D5266" t="str">
            <v>Box 75x30x75</v>
          </cell>
        </row>
        <row r="5267">
          <cell r="C5267">
            <v>208772</v>
          </cell>
          <cell r="D5267" t="str">
            <v>M.OR 77299(BR 5525)</v>
          </cell>
        </row>
        <row r="5268">
          <cell r="C5268">
            <v>104772</v>
          </cell>
          <cell r="D5268" t="str">
            <v>M.IR 77299(BR 5525)</v>
          </cell>
        </row>
        <row r="5269">
          <cell r="C5269">
            <v>208772.5</v>
          </cell>
          <cell r="D5269" t="str">
            <v>BR.OR 5525 SPL</v>
          </cell>
        </row>
        <row r="5270">
          <cell r="C5270">
            <v>511772</v>
          </cell>
          <cell r="D5270" t="str">
            <v>RO 7.00X7.00</v>
          </cell>
        </row>
        <row r="5271">
          <cell r="C5271">
            <v>717772</v>
          </cell>
          <cell r="D5271" t="str">
            <v>FELT 4.4X6.9X131</v>
          </cell>
        </row>
        <row r="5272">
          <cell r="C5272">
            <v>208772.5</v>
          </cell>
          <cell r="D5272" t="str">
            <v>BR.OR 5525 SPL</v>
          </cell>
        </row>
        <row r="5273">
          <cell r="C5273">
            <v>104046</v>
          </cell>
          <cell r="D5273" t="str">
            <v>BR.IR 322224 SPL.</v>
          </cell>
        </row>
        <row r="5274">
          <cell r="C5274">
            <v>208040.4</v>
          </cell>
          <cell r="D5274" t="str">
            <v>BR.OR 3222 LMW</v>
          </cell>
        </row>
        <row r="5275">
          <cell r="C5275">
            <v>309046.03999999998</v>
          </cell>
          <cell r="D5275" t="str">
            <v>BR.NCG 322224(LOCK TYPE)</v>
          </cell>
        </row>
        <row r="5276">
          <cell r="C5276">
            <v>410042</v>
          </cell>
          <cell r="D5276" t="str">
            <v>BR.K 3222          WITH R</v>
          </cell>
        </row>
        <row r="5277">
          <cell r="C5277">
            <v>511042</v>
          </cell>
          <cell r="D5277" t="str">
            <v>RO 2.5X10.8</v>
          </cell>
        </row>
        <row r="5278">
          <cell r="C5278">
            <v>612040.4</v>
          </cell>
          <cell r="D5278" t="str">
            <v>BR.N 3200 LMW</v>
          </cell>
        </row>
        <row r="5279">
          <cell r="C5279">
            <v>913016</v>
          </cell>
          <cell r="D5279" t="str">
            <v>Box 250x40x50</v>
          </cell>
        </row>
        <row r="5280">
          <cell r="C5280">
            <v>104011</v>
          </cell>
          <cell r="D5280" t="str">
            <v>BR.IR 28161620</v>
          </cell>
        </row>
        <row r="5281">
          <cell r="C5281">
            <v>208011</v>
          </cell>
          <cell r="D5281" t="str">
            <v>BR.OR 28161620</v>
          </cell>
        </row>
        <row r="5282">
          <cell r="C5282">
            <v>309011</v>
          </cell>
          <cell r="D5282" t="str">
            <v>BR.NCG 28161620</v>
          </cell>
        </row>
        <row r="5283">
          <cell r="C5283">
            <v>511090</v>
          </cell>
          <cell r="D5283" t="str">
            <v>RO 2X7.8</v>
          </cell>
        </row>
        <row r="5284">
          <cell r="C5284">
            <v>612001</v>
          </cell>
          <cell r="D5284" t="str">
            <v>BR.N 2822</v>
          </cell>
        </row>
        <row r="5285">
          <cell r="C5285">
            <v>913010</v>
          </cell>
          <cell r="D5285" t="str">
            <v>Box 150x40x50</v>
          </cell>
        </row>
        <row r="5286">
          <cell r="C5286">
            <v>104046</v>
          </cell>
          <cell r="D5286" t="str">
            <v>BR.IR 322224 SPL.</v>
          </cell>
        </row>
        <row r="5287">
          <cell r="C5287">
            <v>208040.4</v>
          </cell>
          <cell r="D5287" t="str">
            <v>BR.OR 3222 LMW</v>
          </cell>
        </row>
        <row r="5288">
          <cell r="C5288">
            <v>309046.03999999998</v>
          </cell>
          <cell r="D5288" t="str">
            <v>BR.NCG 322224(LOCK TYPE)</v>
          </cell>
        </row>
        <row r="5289">
          <cell r="C5289">
            <v>410775</v>
          </cell>
          <cell r="D5289" t="str">
            <v>M.K 77500</v>
          </cell>
        </row>
        <row r="5290">
          <cell r="C5290">
            <v>511042</v>
          </cell>
          <cell r="D5290" t="str">
            <v>RO 2.5X10.8</v>
          </cell>
        </row>
        <row r="5291">
          <cell r="C5291">
            <v>612040.4</v>
          </cell>
          <cell r="D5291" t="str">
            <v>BR.N 3200 LMW</v>
          </cell>
        </row>
        <row r="5292">
          <cell r="C5292">
            <v>818252</v>
          </cell>
          <cell r="D5292" t="str">
            <v>NYLON RETUNER 23 mm.</v>
          </cell>
        </row>
        <row r="5293">
          <cell r="C5293">
            <v>913016</v>
          </cell>
          <cell r="D5293" t="str">
            <v>Box 250x40x50</v>
          </cell>
        </row>
        <row r="5294">
          <cell r="C5294">
            <v>410775</v>
          </cell>
          <cell r="D5294" t="str">
            <v>M.K 77500</v>
          </cell>
        </row>
        <row r="5295">
          <cell r="C5295">
            <v>104040</v>
          </cell>
          <cell r="D5295" t="str">
            <v>BR.IR 3222</v>
          </cell>
        </row>
        <row r="5296">
          <cell r="C5296">
            <v>208040.4</v>
          </cell>
          <cell r="D5296" t="str">
            <v>BR.OR 3222 LMW</v>
          </cell>
        </row>
        <row r="5297">
          <cell r="C5297">
            <v>309040.03000000003</v>
          </cell>
          <cell r="D5297" t="str">
            <v>BR.NCG 3222(22 ROLLERS)</v>
          </cell>
        </row>
        <row r="5298">
          <cell r="C5298">
            <v>410040.4</v>
          </cell>
          <cell r="D5298" t="str">
            <v>BR.K 3200 LMW</v>
          </cell>
        </row>
        <row r="5299">
          <cell r="C5299">
            <v>511040</v>
          </cell>
          <cell r="D5299" t="str">
            <v>RO 2X11.8</v>
          </cell>
        </row>
        <row r="5300">
          <cell r="C5300">
            <v>612040.4</v>
          </cell>
          <cell r="D5300" t="str">
            <v>BR.N 3200 LMW</v>
          </cell>
        </row>
        <row r="5301">
          <cell r="C5301">
            <v>913016</v>
          </cell>
          <cell r="D5301" t="str">
            <v>Box 250x40x50</v>
          </cell>
        </row>
        <row r="5302">
          <cell r="C5302">
            <v>309040.03000000003</v>
          </cell>
          <cell r="D5302" t="str">
            <v>BR.NCG 3222(22 ROLLERS)</v>
          </cell>
        </row>
        <row r="5303">
          <cell r="C5303">
            <v>511040</v>
          </cell>
          <cell r="D5303" t="str">
            <v>RO 2X11.8</v>
          </cell>
        </row>
        <row r="5304">
          <cell r="C5304">
            <v>104046</v>
          </cell>
          <cell r="D5304" t="str">
            <v>BR.IR 322224 SPL.</v>
          </cell>
        </row>
        <row r="5305">
          <cell r="C5305">
            <v>208040.4</v>
          </cell>
          <cell r="D5305" t="str">
            <v>BR.OR 3222 LMW</v>
          </cell>
        </row>
        <row r="5306">
          <cell r="C5306">
            <v>309046.03999999998</v>
          </cell>
          <cell r="D5306" t="str">
            <v>BR.NCG 322224(LOCK TYPE)</v>
          </cell>
        </row>
        <row r="5307">
          <cell r="C5307">
            <v>410775</v>
          </cell>
          <cell r="D5307" t="str">
            <v>M.K 77500</v>
          </cell>
        </row>
        <row r="5308">
          <cell r="C5308">
            <v>511042</v>
          </cell>
          <cell r="D5308" t="str">
            <v>RO 2.5X10.8</v>
          </cell>
        </row>
        <row r="5309">
          <cell r="C5309">
            <v>5221208.0199999996</v>
          </cell>
          <cell r="D5309" t="str">
            <v>O Centoplex BE41 103BH</v>
          </cell>
        </row>
        <row r="5310">
          <cell r="C5310">
            <v>612040.4</v>
          </cell>
          <cell r="D5310" t="str">
            <v>BR.N 3200 LMW</v>
          </cell>
        </row>
        <row r="5311">
          <cell r="C5311">
            <v>818252</v>
          </cell>
          <cell r="D5311" t="str">
            <v>NYLON RETUNER 23 mm.</v>
          </cell>
        </row>
        <row r="5312">
          <cell r="C5312">
            <v>913016</v>
          </cell>
          <cell r="D5312" t="str">
            <v>Box 250x40x50</v>
          </cell>
        </row>
        <row r="5313">
          <cell r="C5313">
            <v>104006</v>
          </cell>
          <cell r="D5313" t="str">
            <v>BR.IR 282223 SPL.</v>
          </cell>
        </row>
        <row r="5314">
          <cell r="C5314">
            <v>208001</v>
          </cell>
          <cell r="D5314" t="str">
            <v>BR.OR 2822</v>
          </cell>
        </row>
        <row r="5315">
          <cell r="C5315">
            <v>309006</v>
          </cell>
          <cell r="D5315" t="str">
            <v>BR.NCG 282223</v>
          </cell>
        </row>
        <row r="5316">
          <cell r="C5316">
            <v>410001</v>
          </cell>
          <cell r="D5316" t="str">
            <v>BR.K 2800          WITH R</v>
          </cell>
        </row>
        <row r="5317">
          <cell r="C5317">
            <v>511003</v>
          </cell>
          <cell r="D5317" t="str">
            <v>RO 2.3X9.8</v>
          </cell>
        </row>
        <row r="5318">
          <cell r="C5318">
            <v>612090</v>
          </cell>
          <cell r="D5318" t="str">
            <v>BR.N 2815(06)</v>
          </cell>
        </row>
        <row r="5319">
          <cell r="C5319">
            <v>913016</v>
          </cell>
          <cell r="D5319" t="str">
            <v>Box 250x40x50</v>
          </cell>
        </row>
        <row r="5320">
          <cell r="C5320">
            <v>104755</v>
          </cell>
          <cell r="D5320" t="str">
            <v>BR.IR 4319</v>
          </cell>
        </row>
        <row r="5321">
          <cell r="C5321">
            <v>208755</v>
          </cell>
          <cell r="D5321" t="str">
            <v>BR.OR 4319</v>
          </cell>
        </row>
        <row r="5322">
          <cell r="C5322">
            <v>410755</v>
          </cell>
          <cell r="D5322" t="str">
            <v>BR.K 4319          WITH R</v>
          </cell>
        </row>
        <row r="5323">
          <cell r="C5323">
            <v>511139</v>
          </cell>
          <cell r="D5323" t="str">
            <v>RO 6.35X6.35</v>
          </cell>
        </row>
        <row r="5324">
          <cell r="C5324">
            <v>104778</v>
          </cell>
          <cell r="D5324" t="str">
            <v>M.IR 77826(TEX Z 232)</v>
          </cell>
        </row>
        <row r="5325">
          <cell r="C5325">
            <v>208026</v>
          </cell>
          <cell r="D5325" t="str">
            <v>BR.OR 3000</v>
          </cell>
        </row>
        <row r="5326">
          <cell r="C5326">
            <v>309026</v>
          </cell>
          <cell r="D5326" t="str">
            <v>BR.NCG 3000</v>
          </cell>
        </row>
        <row r="5327">
          <cell r="C5327">
            <v>410778</v>
          </cell>
          <cell r="D5327" t="str">
            <v>M.K 77826(TEXZ 232)WITH R</v>
          </cell>
        </row>
        <row r="5328">
          <cell r="C5328">
            <v>511001</v>
          </cell>
          <cell r="D5328" t="str">
            <v>RO 2X9.8</v>
          </cell>
        </row>
        <row r="5329">
          <cell r="C5329">
            <v>612001</v>
          </cell>
          <cell r="D5329" t="str">
            <v>BR.N 2822</v>
          </cell>
        </row>
        <row r="5330">
          <cell r="C5330">
            <v>913016</v>
          </cell>
          <cell r="D5330" t="str">
            <v>Box 250x40x50</v>
          </cell>
        </row>
        <row r="5331">
          <cell r="C5331">
            <v>104779</v>
          </cell>
          <cell r="D5331" t="str">
            <v>M.IR 77900</v>
          </cell>
        </row>
        <row r="5332">
          <cell r="C5332">
            <v>208779</v>
          </cell>
          <cell r="D5332" t="str">
            <v>M.OR 77900</v>
          </cell>
        </row>
        <row r="5333">
          <cell r="C5333">
            <v>309111.01</v>
          </cell>
          <cell r="D5333" t="str">
            <v>BR.NCG 3216.3(06)</v>
          </cell>
        </row>
        <row r="5334">
          <cell r="C5334">
            <v>511145</v>
          </cell>
          <cell r="D5334" t="str">
            <v>RO 3X9.8</v>
          </cell>
        </row>
        <row r="5335">
          <cell r="C5335">
            <v>913016</v>
          </cell>
          <cell r="D5335" t="str">
            <v>Box 250x40x50</v>
          </cell>
        </row>
        <row r="5336">
          <cell r="C5336">
            <v>104046</v>
          </cell>
          <cell r="D5336" t="str">
            <v>BR.IR 322224 SPL.</v>
          </cell>
        </row>
        <row r="5337">
          <cell r="C5337">
            <v>208046</v>
          </cell>
          <cell r="D5337" t="str">
            <v>BR.OR 322224 SPL.</v>
          </cell>
        </row>
        <row r="5338">
          <cell r="C5338">
            <v>309046</v>
          </cell>
          <cell r="D5338" t="str">
            <v>BR.NCG 322224</v>
          </cell>
        </row>
        <row r="5339">
          <cell r="C5339">
            <v>410780</v>
          </cell>
          <cell r="D5339" t="str">
            <v>M.K 78022(EJET 200120)</v>
          </cell>
        </row>
        <row r="5340">
          <cell r="C5340">
            <v>511042</v>
          </cell>
          <cell r="D5340" t="str">
            <v>RO 2.5X10.8</v>
          </cell>
        </row>
        <row r="5341">
          <cell r="C5341">
            <v>612040.4</v>
          </cell>
          <cell r="D5341" t="str">
            <v>BR.N 3200 LMW</v>
          </cell>
        </row>
        <row r="5342">
          <cell r="C5342">
            <v>913016</v>
          </cell>
          <cell r="D5342" t="str">
            <v>Box 250x40x50</v>
          </cell>
        </row>
        <row r="5343">
          <cell r="C5343">
            <v>208049</v>
          </cell>
          <cell r="D5343" t="str">
            <v>BR.OR 32-01-06</v>
          </cell>
        </row>
        <row r="5344">
          <cell r="C5344">
            <v>309125</v>
          </cell>
          <cell r="D5344" t="str">
            <v>BR.NCG 3218.5(06)</v>
          </cell>
        </row>
        <row r="5345">
          <cell r="C5345">
            <v>410759.02</v>
          </cell>
          <cell r="D5345" t="str">
            <v>M.K 78188(B 32P22S) SKF G</v>
          </cell>
        </row>
        <row r="5346">
          <cell r="C5346">
            <v>511001</v>
          </cell>
          <cell r="D5346" t="str">
            <v>RO 2X9.8</v>
          </cell>
        </row>
        <row r="5347">
          <cell r="C5347">
            <v>612125</v>
          </cell>
          <cell r="D5347" t="str">
            <v>BR.N 3218.5(06)</v>
          </cell>
        </row>
        <row r="5348">
          <cell r="C5348">
            <v>818162</v>
          </cell>
          <cell r="D5348" t="str">
            <v>2.5 mm Pin(BR 32[P]18-26)</v>
          </cell>
        </row>
        <row r="5349">
          <cell r="C5349">
            <v>104046</v>
          </cell>
          <cell r="D5349" t="str">
            <v>BR.IR 322224 SPL.</v>
          </cell>
        </row>
        <row r="5350">
          <cell r="C5350">
            <v>208040.4</v>
          </cell>
          <cell r="D5350" t="str">
            <v>BR.OR 3222 LMW</v>
          </cell>
        </row>
        <row r="5351">
          <cell r="C5351">
            <v>309046.03999999998</v>
          </cell>
          <cell r="D5351" t="str">
            <v>BR.NCG 322224(LOCK TYPE)</v>
          </cell>
        </row>
        <row r="5352">
          <cell r="C5352">
            <v>410121.01</v>
          </cell>
          <cell r="D5352" t="str">
            <v>BR.K 3217L          W/O R</v>
          </cell>
        </row>
        <row r="5353">
          <cell r="C5353">
            <v>511042</v>
          </cell>
          <cell r="D5353" t="str">
            <v>RO 2.5X10.8</v>
          </cell>
        </row>
        <row r="5354">
          <cell r="C5354">
            <v>612042</v>
          </cell>
          <cell r="D5354" t="str">
            <v>BR.N 3222</v>
          </cell>
        </row>
        <row r="5355">
          <cell r="C5355">
            <v>913006</v>
          </cell>
          <cell r="D5355" t="str">
            <v>Box 50x35x50</v>
          </cell>
        </row>
        <row r="5356">
          <cell r="C5356">
            <v>104046</v>
          </cell>
          <cell r="D5356" t="str">
            <v>BR.IR 322224 SPL.</v>
          </cell>
        </row>
        <row r="5357">
          <cell r="C5357">
            <v>208040.4</v>
          </cell>
          <cell r="D5357" t="str">
            <v>BR.OR 3222 LMW</v>
          </cell>
        </row>
        <row r="5358">
          <cell r="C5358">
            <v>309046.03999999998</v>
          </cell>
          <cell r="D5358" t="str">
            <v>BR.NCG 322224(LOCK TYPE)</v>
          </cell>
        </row>
        <row r="5359">
          <cell r="C5359">
            <v>410041</v>
          </cell>
          <cell r="D5359" t="str">
            <v>BR.K 3220          WITH R</v>
          </cell>
        </row>
        <row r="5360">
          <cell r="C5360">
            <v>511042</v>
          </cell>
          <cell r="D5360" t="str">
            <v>RO 2.5X10.8</v>
          </cell>
        </row>
        <row r="5361">
          <cell r="C5361">
            <v>612040.4</v>
          </cell>
          <cell r="D5361" t="str">
            <v>BR.N 3200 LMW</v>
          </cell>
        </row>
        <row r="5362">
          <cell r="C5362">
            <v>913016</v>
          </cell>
          <cell r="D5362" t="str">
            <v>Box 250x40x50</v>
          </cell>
        </row>
        <row r="5363">
          <cell r="C5363">
            <v>104046</v>
          </cell>
          <cell r="D5363" t="str">
            <v>BR.IR 322224 SPL.</v>
          </cell>
        </row>
        <row r="5364">
          <cell r="C5364">
            <v>208040.4</v>
          </cell>
          <cell r="D5364" t="str">
            <v>BR.OR 3222 LMW</v>
          </cell>
        </row>
        <row r="5365">
          <cell r="C5365">
            <v>309046.03999999998</v>
          </cell>
          <cell r="D5365" t="str">
            <v>BR.NCG 322224(LOCK TYPE)</v>
          </cell>
        </row>
        <row r="5366">
          <cell r="C5366">
            <v>410043.01</v>
          </cell>
          <cell r="D5366" t="str">
            <v>BR.K 3224           W/O R</v>
          </cell>
        </row>
        <row r="5367">
          <cell r="C5367">
            <v>511042</v>
          </cell>
          <cell r="D5367" t="str">
            <v>RO 2.5X10.8</v>
          </cell>
        </row>
        <row r="5368">
          <cell r="C5368">
            <v>612040.4</v>
          </cell>
          <cell r="D5368" t="str">
            <v>BR.N 3200 LMW</v>
          </cell>
        </row>
        <row r="5369">
          <cell r="C5369">
            <v>104762</v>
          </cell>
          <cell r="D5369" t="str">
            <v>BR.IR 3620 SPL.</v>
          </cell>
        </row>
        <row r="5370">
          <cell r="C5370">
            <v>208762</v>
          </cell>
          <cell r="D5370" t="str">
            <v>BR.OR 3620 SPL.</v>
          </cell>
        </row>
        <row r="5371">
          <cell r="C5371">
            <v>309762</v>
          </cell>
          <cell r="D5371" t="str">
            <v>BR.NCG 3620 SPL.</v>
          </cell>
        </row>
        <row r="5372">
          <cell r="C5372">
            <v>410063</v>
          </cell>
          <cell r="D5372" t="str">
            <v>BR.K 3625         WITH</v>
          </cell>
        </row>
        <row r="5373">
          <cell r="C5373">
            <v>511060</v>
          </cell>
          <cell r="D5373" t="str">
            <v>RO 2.5X9.8</v>
          </cell>
        </row>
        <row r="5374">
          <cell r="C5374">
            <v>612042</v>
          </cell>
          <cell r="D5374" t="str">
            <v>BR.N 3222</v>
          </cell>
        </row>
        <row r="5375">
          <cell r="C5375">
            <v>104762</v>
          </cell>
          <cell r="D5375" t="str">
            <v>BR.IR 3620 SPL.</v>
          </cell>
        </row>
        <row r="5376">
          <cell r="C5376">
            <v>208762</v>
          </cell>
          <cell r="D5376" t="str">
            <v>BR.OR 3620 SPL.</v>
          </cell>
        </row>
        <row r="5377">
          <cell r="C5377">
            <v>309762</v>
          </cell>
          <cell r="D5377" t="str">
            <v>BR.NCG 3620 SPL.</v>
          </cell>
        </row>
        <row r="5378">
          <cell r="C5378">
            <v>410064</v>
          </cell>
          <cell r="D5378" t="str">
            <v>BR.K 3626          WITH</v>
          </cell>
        </row>
        <row r="5379">
          <cell r="C5379">
            <v>511060</v>
          </cell>
          <cell r="D5379" t="str">
            <v>RO 2.5X9.8</v>
          </cell>
        </row>
        <row r="5380">
          <cell r="C5380">
            <v>612042</v>
          </cell>
          <cell r="D5380" t="str">
            <v>BR.N 3222</v>
          </cell>
        </row>
        <row r="5381">
          <cell r="C5381">
            <v>208145</v>
          </cell>
          <cell r="D5381" t="str">
            <v>BR.OR 2130(20)</v>
          </cell>
        </row>
        <row r="5382">
          <cell r="C5382">
            <v>309145</v>
          </cell>
          <cell r="D5382" t="str">
            <v>BR.TCG 2130(20)</v>
          </cell>
        </row>
        <row r="5383">
          <cell r="C5383">
            <v>410149</v>
          </cell>
          <cell r="D5383" t="str">
            <v>BR.K 2130(22)      WITH R</v>
          </cell>
        </row>
        <row r="5384">
          <cell r="C5384">
            <v>511145</v>
          </cell>
          <cell r="D5384" t="str">
            <v>RO 3X9.8</v>
          </cell>
        </row>
        <row r="5385">
          <cell r="C5385">
            <v>612787</v>
          </cell>
          <cell r="D5385" t="str">
            <v>BR.N 78722 (BR 2130 22)</v>
          </cell>
        </row>
        <row r="5386">
          <cell r="C5386">
            <v>913016</v>
          </cell>
          <cell r="D5386" t="str">
            <v>Box 250x40x50</v>
          </cell>
        </row>
        <row r="5387">
          <cell r="C5387">
            <v>208779</v>
          </cell>
          <cell r="D5387" t="str">
            <v>M.OR 77900</v>
          </cell>
        </row>
        <row r="5388">
          <cell r="C5388">
            <v>309788</v>
          </cell>
          <cell r="D5388" t="str">
            <v>BR.NCG M 78800</v>
          </cell>
        </row>
        <row r="5389">
          <cell r="C5389">
            <v>511145</v>
          </cell>
          <cell r="D5389" t="str">
            <v>RO 3X9.8</v>
          </cell>
        </row>
        <row r="5390">
          <cell r="C5390">
            <v>913016</v>
          </cell>
          <cell r="D5390" t="str">
            <v>Box 250x40x50</v>
          </cell>
        </row>
        <row r="5391">
          <cell r="C5391">
            <v>309788</v>
          </cell>
          <cell r="D5391" t="str">
            <v>BR.NCG M 78800</v>
          </cell>
        </row>
        <row r="5392">
          <cell r="C5392">
            <v>511145</v>
          </cell>
          <cell r="D5392" t="str">
            <v>RO 3X9.8</v>
          </cell>
        </row>
        <row r="5393">
          <cell r="C5393">
            <v>913010</v>
          </cell>
          <cell r="D5393" t="str">
            <v>Box 150x40x50</v>
          </cell>
        </row>
        <row r="5394">
          <cell r="C5394">
            <v>104046</v>
          </cell>
          <cell r="D5394" t="str">
            <v>BR.IR 322224 SPL.</v>
          </cell>
        </row>
        <row r="5395">
          <cell r="C5395">
            <v>208040.4</v>
          </cell>
          <cell r="D5395" t="str">
            <v>BR.OR 3222 LMW</v>
          </cell>
        </row>
        <row r="5396">
          <cell r="C5396">
            <v>309046.03999999998</v>
          </cell>
          <cell r="D5396" t="str">
            <v>BR.NCG 322224(LOCK TYPE)</v>
          </cell>
        </row>
        <row r="5397">
          <cell r="C5397">
            <v>410789</v>
          </cell>
          <cell r="D5397" t="str">
            <v>M.K 789 ST</v>
          </cell>
        </row>
        <row r="5398">
          <cell r="C5398">
            <v>511042</v>
          </cell>
          <cell r="D5398" t="str">
            <v>RO 2.5X10.8</v>
          </cell>
        </row>
        <row r="5399">
          <cell r="C5399">
            <v>612040.4</v>
          </cell>
          <cell r="D5399" t="str">
            <v>BR.N 3200 LMW</v>
          </cell>
        </row>
        <row r="5400">
          <cell r="C5400">
            <v>200790</v>
          </cell>
          <cell r="D5400" t="str">
            <v>OR.43-7</v>
          </cell>
        </row>
        <row r="5401">
          <cell r="C5401">
            <v>511790</v>
          </cell>
          <cell r="D5401" t="str">
            <v>RO 6.5X9 ZB</v>
          </cell>
        </row>
        <row r="5402">
          <cell r="C5402">
            <v>717790</v>
          </cell>
          <cell r="D5402" t="str">
            <v>SLEEVE 43-7</v>
          </cell>
        </row>
        <row r="5403">
          <cell r="C5403">
            <v>913021</v>
          </cell>
          <cell r="D5403" t="str">
            <v>Box 55X20X55</v>
          </cell>
        </row>
        <row r="5404">
          <cell r="C5404">
            <v>100791</v>
          </cell>
          <cell r="D5404" t="str">
            <v>IR.45-3-00-3026</v>
          </cell>
        </row>
        <row r="5405">
          <cell r="C5405">
            <v>100791.01</v>
          </cell>
          <cell r="D5405" t="str">
            <v>WS.45-3-00-3026</v>
          </cell>
        </row>
        <row r="5406">
          <cell r="C5406">
            <v>200791</v>
          </cell>
          <cell r="D5406" t="str">
            <v>OR.45-3-00-3026</v>
          </cell>
        </row>
        <row r="5407">
          <cell r="C5407">
            <v>511791</v>
          </cell>
          <cell r="D5407" t="str">
            <v>RO 11X11 ZB</v>
          </cell>
        </row>
        <row r="5408">
          <cell r="C5408">
            <v>208799.01</v>
          </cell>
          <cell r="D5408" t="str">
            <v>NK.OR 6/10 TN</v>
          </cell>
        </row>
        <row r="5409">
          <cell r="C5409">
            <v>309799.01</v>
          </cell>
          <cell r="D5409" t="str">
            <v>NK.NCG 6/10 TN</v>
          </cell>
        </row>
        <row r="5410">
          <cell r="C5410">
            <v>511699</v>
          </cell>
          <cell r="D5410" t="str">
            <v>RO 1.5X5.8</v>
          </cell>
        </row>
        <row r="5411">
          <cell r="C5411">
            <v>717799.02</v>
          </cell>
          <cell r="D5411" t="str">
            <v>SEAL NK 6/10 TN</v>
          </cell>
        </row>
        <row r="5412">
          <cell r="C5412">
            <v>913016</v>
          </cell>
          <cell r="D5412" t="str">
            <v>Box 250x40x50</v>
          </cell>
        </row>
        <row r="5413">
          <cell r="C5413">
            <v>104800.01</v>
          </cell>
          <cell r="D5413" t="str">
            <v>NKI.IR 5/12(5812)</v>
          </cell>
        </row>
        <row r="5414">
          <cell r="C5414">
            <v>208800.01</v>
          </cell>
          <cell r="D5414" t="str">
            <v>NK.OR 8/12(NKI 5/12)</v>
          </cell>
        </row>
        <row r="5415">
          <cell r="C5415">
            <v>309800.01</v>
          </cell>
          <cell r="D5415" t="str">
            <v>NKI.MCG 5/12(NK 8/12)</v>
          </cell>
        </row>
        <row r="5416">
          <cell r="C5416">
            <v>511427</v>
          </cell>
          <cell r="D5416" t="str">
            <v>RO 1.5X7.8 BP</v>
          </cell>
        </row>
        <row r="5417">
          <cell r="C5417">
            <v>208800.01</v>
          </cell>
          <cell r="D5417" t="str">
            <v>NK.OR 8/12(NKI 5/12)</v>
          </cell>
        </row>
        <row r="5418">
          <cell r="C5418">
            <v>309800.01</v>
          </cell>
          <cell r="D5418" t="str">
            <v>NKI.MCG 5/12(NK 8/12)</v>
          </cell>
        </row>
        <row r="5419">
          <cell r="C5419">
            <v>511427</v>
          </cell>
          <cell r="D5419" t="str">
            <v>RO 1.5X7.8 BP</v>
          </cell>
        </row>
        <row r="5420">
          <cell r="C5420">
            <v>913016</v>
          </cell>
          <cell r="D5420" t="str">
            <v>Box 250x40x50</v>
          </cell>
        </row>
        <row r="5421">
          <cell r="C5421">
            <v>104800.01</v>
          </cell>
          <cell r="D5421" t="str">
            <v>NKI.IR 5/12(5812)</v>
          </cell>
        </row>
        <row r="5422">
          <cell r="C5422">
            <v>208801.01</v>
          </cell>
          <cell r="D5422" t="str">
            <v>NK.OR 8/16</v>
          </cell>
        </row>
        <row r="5423">
          <cell r="C5423">
            <v>309801.01</v>
          </cell>
          <cell r="D5423" t="str">
            <v>NK.MCG 8/16</v>
          </cell>
        </row>
        <row r="5424">
          <cell r="C5424">
            <v>104802.01</v>
          </cell>
          <cell r="D5424" t="str">
            <v>NKI.IR 6/12(6912)</v>
          </cell>
        </row>
        <row r="5425">
          <cell r="C5425">
            <v>208802.01</v>
          </cell>
          <cell r="D5425" t="str">
            <v>NK.OR 9/12(NKI 6/12)</v>
          </cell>
        </row>
        <row r="5426">
          <cell r="C5426">
            <v>309802.01</v>
          </cell>
          <cell r="D5426" t="str">
            <v>NKI.MCG 6/12(NK 9/12)</v>
          </cell>
        </row>
        <row r="5427">
          <cell r="C5427">
            <v>511427</v>
          </cell>
          <cell r="D5427" t="str">
            <v>RO 1.5X7.8 BP</v>
          </cell>
        </row>
        <row r="5428">
          <cell r="C5428">
            <v>208802.01</v>
          </cell>
          <cell r="D5428" t="str">
            <v>NK.OR 9/12(NKI 6/12)</v>
          </cell>
        </row>
        <row r="5429">
          <cell r="C5429">
            <v>309802.01</v>
          </cell>
          <cell r="D5429" t="str">
            <v>NKI.MCG 6/12(NK 9/12)</v>
          </cell>
        </row>
        <row r="5430">
          <cell r="C5430">
            <v>511427</v>
          </cell>
          <cell r="D5430" t="str">
            <v>RO 1.5X7.8 BP</v>
          </cell>
        </row>
        <row r="5431">
          <cell r="C5431">
            <v>104802.01</v>
          </cell>
          <cell r="D5431" t="str">
            <v>NKI.IR 6/12(6912)</v>
          </cell>
        </row>
        <row r="5432">
          <cell r="C5432">
            <v>104803.01</v>
          </cell>
          <cell r="D5432" t="str">
            <v>NKI.IR 6/16(6916)</v>
          </cell>
        </row>
        <row r="5433">
          <cell r="C5433">
            <v>208803.01</v>
          </cell>
          <cell r="D5433" t="str">
            <v>NK.OR 9/16(NKI 6/16)</v>
          </cell>
        </row>
        <row r="5434">
          <cell r="C5434">
            <v>309803.01</v>
          </cell>
          <cell r="D5434" t="str">
            <v>NKI.MCG 6/16(NK 9/16)</v>
          </cell>
        </row>
        <row r="5435">
          <cell r="C5435">
            <v>208803.01</v>
          </cell>
          <cell r="D5435" t="str">
            <v>NK.OR 9/16(NKI 6/16)</v>
          </cell>
        </row>
        <row r="5436">
          <cell r="C5436">
            <v>309803.01</v>
          </cell>
          <cell r="D5436" t="str">
            <v>NKI.MCG 6/16(NK 9/16)</v>
          </cell>
        </row>
        <row r="5437">
          <cell r="C5437">
            <v>104803.01</v>
          </cell>
          <cell r="D5437" t="str">
            <v>NKI.IR 6/16(6916)</v>
          </cell>
        </row>
        <row r="5438">
          <cell r="C5438">
            <v>104804.01</v>
          </cell>
          <cell r="D5438" t="str">
            <v>NKI.IR 7/12(71012)</v>
          </cell>
        </row>
        <row r="5439">
          <cell r="C5439">
            <v>208804.01</v>
          </cell>
          <cell r="D5439" t="str">
            <v>NK.OR 10/12(NKI 7/12)</v>
          </cell>
        </row>
        <row r="5440">
          <cell r="C5440">
            <v>309804.01</v>
          </cell>
          <cell r="D5440" t="str">
            <v>NKI.NCG 7/12(NK 10/12 TN)</v>
          </cell>
        </row>
        <row r="5441">
          <cell r="C5441">
            <v>511427</v>
          </cell>
          <cell r="D5441" t="str">
            <v>RO 1.5X7.8 BP</v>
          </cell>
        </row>
        <row r="5442">
          <cell r="C5442">
            <v>208804.01</v>
          </cell>
          <cell r="D5442" t="str">
            <v>NK.OR 10/12(NKI 7/12)</v>
          </cell>
        </row>
        <row r="5443">
          <cell r="C5443">
            <v>309804.01</v>
          </cell>
          <cell r="D5443" t="str">
            <v>NKI.NCG 7/12(NK 10/12 TN)</v>
          </cell>
        </row>
        <row r="5444">
          <cell r="C5444">
            <v>511427</v>
          </cell>
          <cell r="D5444" t="str">
            <v>RO 1.5X7.8 BP</v>
          </cell>
        </row>
        <row r="5445">
          <cell r="C5445">
            <v>717804.02</v>
          </cell>
          <cell r="D5445" t="str">
            <v>SEAL NK 10/12 TN</v>
          </cell>
        </row>
        <row r="5446">
          <cell r="C5446">
            <v>104804.01</v>
          </cell>
          <cell r="D5446" t="str">
            <v>NKI.IR 7/12(71012)</v>
          </cell>
        </row>
        <row r="5447">
          <cell r="C5447">
            <v>104805.01</v>
          </cell>
          <cell r="D5447" t="str">
            <v>NKI.IR 7/16(71016)</v>
          </cell>
        </row>
        <row r="5448">
          <cell r="C5448">
            <v>208805.01</v>
          </cell>
          <cell r="D5448" t="str">
            <v>NK.OR 10/16(NKI 7/16)</v>
          </cell>
        </row>
        <row r="5449">
          <cell r="C5449">
            <v>309805.01</v>
          </cell>
          <cell r="D5449" t="str">
            <v>NKI.MCG 7/16(NK 10/16)</v>
          </cell>
        </row>
        <row r="5450">
          <cell r="C5450">
            <v>208805.01</v>
          </cell>
          <cell r="D5450" t="str">
            <v>NK.OR 10/16(NKI 7/16)</v>
          </cell>
        </row>
        <row r="5451">
          <cell r="C5451">
            <v>309805.01</v>
          </cell>
          <cell r="D5451" t="str">
            <v>NKI.MCG 7/16(NK 10/16)</v>
          </cell>
        </row>
        <row r="5452">
          <cell r="C5452">
            <v>104805.01</v>
          </cell>
          <cell r="D5452" t="str">
            <v>NKI.IR 7/16(71016)</v>
          </cell>
        </row>
        <row r="5453">
          <cell r="C5453">
            <v>104806.01</v>
          </cell>
          <cell r="D5453" t="str">
            <v>NKI.IR 9/12(91212)</v>
          </cell>
        </row>
        <row r="5454">
          <cell r="C5454">
            <v>208806.01</v>
          </cell>
          <cell r="D5454" t="str">
            <v>NK.OR 12/12(NKI 9/12)</v>
          </cell>
        </row>
        <row r="5455">
          <cell r="C5455">
            <v>309806.01</v>
          </cell>
          <cell r="D5455" t="str">
            <v>NKI.MCG 9/12(NK 12/12)</v>
          </cell>
        </row>
        <row r="5456">
          <cell r="C5456">
            <v>208806.01</v>
          </cell>
          <cell r="D5456" t="str">
            <v>NK.OR 12/12(NKI 9/12)</v>
          </cell>
        </row>
        <row r="5457">
          <cell r="C5457">
            <v>309806.01</v>
          </cell>
          <cell r="D5457" t="str">
            <v>NKI.MCG 9/12(NK 12/12)</v>
          </cell>
        </row>
        <row r="5458">
          <cell r="C5458">
            <v>511090</v>
          </cell>
          <cell r="D5458" t="str">
            <v>RO 2X7.8</v>
          </cell>
        </row>
        <row r="5459">
          <cell r="C5459">
            <v>913016</v>
          </cell>
          <cell r="D5459" t="str">
            <v>Box 250x40x50</v>
          </cell>
        </row>
        <row r="5460">
          <cell r="C5460">
            <v>104806.01</v>
          </cell>
          <cell r="D5460" t="str">
            <v>NKI.IR 9/12(91212)</v>
          </cell>
        </row>
        <row r="5461">
          <cell r="C5461">
            <v>104807.01</v>
          </cell>
          <cell r="D5461" t="str">
            <v>NKI.IR 9/16(91216)</v>
          </cell>
        </row>
        <row r="5462">
          <cell r="C5462">
            <v>208807.01</v>
          </cell>
          <cell r="D5462" t="str">
            <v>NK.OR 12/16(NKI 9/16)</v>
          </cell>
        </row>
        <row r="5463">
          <cell r="C5463">
            <v>309807.01</v>
          </cell>
          <cell r="D5463" t="str">
            <v>NKI.MCG 9/16(NK 12/16)</v>
          </cell>
        </row>
        <row r="5464">
          <cell r="C5464">
            <v>511807.01</v>
          </cell>
          <cell r="D5464" t="str">
            <v>RO 2X12.8</v>
          </cell>
        </row>
        <row r="5465">
          <cell r="C5465">
            <v>208807.01</v>
          </cell>
          <cell r="D5465" t="str">
            <v>NK.OR 12/16(NKI 9/16)</v>
          </cell>
        </row>
        <row r="5466">
          <cell r="C5466">
            <v>309807.01</v>
          </cell>
          <cell r="D5466" t="str">
            <v>NKI.MCG 9/16(NK 12/16)</v>
          </cell>
        </row>
        <row r="5467">
          <cell r="C5467">
            <v>511807.01</v>
          </cell>
          <cell r="D5467" t="str">
            <v>RO 2X12.8</v>
          </cell>
        </row>
        <row r="5468">
          <cell r="C5468">
            <v>913016</v>
          </cell>
          <cell r="D5468" t="str">
            <v>Box 250x40x50</v>
          </cell>
        </row>
        <row r="5469">
          <cell r="C5469">
            <v>104807.01</v>
          </cell>
          <cell r="D5469" t="str">
            <v>NKI.IR 9/16(91216)</v>
          </cell>
        </row>
        <row r="5470">
          <cell r="C5470">
            <v>104808.01</v>
          </cell>
          <cell r="D5470" t="str">
            <v>NKI.IR 10/16(101416)</v>
          </cell>
        </row>
        <row r="5471">
          <cell r="C5471">
            <v>208808.01</v>
          </cell>
          <cell r="D5471" t="str">
            <v>NK.OR 14/16(NKI 10/16)</v>
          </cell>
        </row>
        <row r="5472">
          <cell r="C5472">
            <v>309808.01</v>
          </cell>
          <cell r="D5472" t="str">
            <v>NKI.MCG 10/16(NK 14/16)</v>
          </cell>
        </row>
        <row r="5473">
          <cell r="C5473">
            <v>511270.01</v>
          </cell>
          <cell r="D5473" t="str">
            <v>RO 2.5X12.8</v>
          </cell>
        </row>
        <row r="5474">
          <cell r="C5474">
            <v>208808.01</v>
          </cell>
          <cell r="D5474" t="str">
            <v>NK.OR 14/16(NKI 10/16)</v>
          </cell>
        </row>
        <row r="5475">
          <cell r="C5475">
            <v>309808.01</v>
          </cell>
          <cell r="D5475" t="str">
            <v>NKI.MCG 10/16(NK 14/16)</v>
          </cell>
        </row>
        <row r="5476">
          <cell r="C5476">
            <v>511270.01</v>
          </cell>
          <cell r="D5476" t="str">
            <v>RO 2.5X12.8</v>
          </cell>
        </row>
        <row r="5477">
          <cell r="C5477">
            <v>913016</v>
          </cell>
          <cell r="D5477" t="str">
            <v>Box 250x40x50</v>
          </cell>
        </row>
        <row r="5478">
          <cell r="C5478">
            <v>104808.01</v>
          </cell>
          <cell r="D5478" t="str">
            <v>NKI.IR 10/16(101416)</v>
          </cell>
        </row>
        <row r="5479">
          <cell r="C5479">
            <v>104808.21</v>
          </cell>
          <cell r="D5479" t="str">
            <v>IR.IR 10X14X16.5</v>
          </cell>
        </row>
        <row r="5480">
          <cell r="C5480">
            <v>104808.21</v>
          </cell>
          <cell r="D5480" t="str">
            <v>IR.IR 10X14X16.5</v>
          </cell>
        </row>
        <row r="5481">
          <cell r="C5481">
            <v>104809.01</v>
          </cell>
          <cell r="D5481" t="str">
            <v>NKI.IR 10/20(101420)</v>
          </cell>
        </row>
        <row r="5482">
          <cell r="C5482">
            <v>208809.01</v>
          </cell>
          <cell r="D5482" t="str">
            <v>NK.OR 14/20(NKI 10/20)</v>
          </cell>
        </row>
        <row r="5483">
          <cell r="C5483">
            <v>309809.01</v>
          </cell>
          <cell r="D5483" t="str">
            <v>NKI.MCG 10/20(NK 14/20)</v>
          </cell>
        </row>
        <row r="5484">
          <cell r="C5484">
            <v>511209.01</v>
          </cell>
          <cell r="D5484" t="str">
            <v>RO 2.5X16.8</v>
          </cell>
        </row>
        <row r="5485">
          <cell r="C5485">
            <v>208809.01</v>
          </cell>
          <cell r="D5485" t="str">
            <v>NK.OR 14/20(NKI 10/20)</v>
          </cell>
        </row>
        <row r="5486">
          <cell r="C5486">
            <v>309809.01</v>
          </cell>
          <cell r="D5486" t="str">
            <v>NKI.MCG 10/20(NK 14/20)</v>
          </cell>
        </row>
        <row r="5487">
          <cell r="C5487">
            <v>511209.01</v>
          </cell>
          <cell r="D5487" t="str">
            <v>RO 2.5X16.8</v>
          </cell>
        </row>
        <row r="5488">
          <cell r="C5488">
            <v>913016</v>
          </cell>
          <cell r="D5488" t="str">
            <v>Box 250x40x50</v>
          </cell>
        </row>
        <row r="5489">
          <cell r="C5489">
            <v>104809.01</v>
          </cell>
          <cell r="D5489" t="str">
            <v>NKI.IR 10/20(101420)</v>
          </cell>
        </row>
        <row r="5490">
          <cell r="C5490">
            <v>104809.21</v>
          </cell>
          <cell r="D5490" t="str">
            <v>IR.IR 10X14X28.5</v>
          </cell>
        </row>
        <row r="5491">
          <cell r="C5491">
            <v>104810.01</v>
          </cell>
          <cell r="D5491" t="str">
            <v>NKI.IR 12/16(121616)</v>
          </cell>
        </row>
        <row r="5492">
          <cell r="C5492">
            <v>208810.01</v>
          </cell>
          <cell r="D5492" t="str">
            <v>NK.OR 16/16(NKI 12/16)</v>
          </cell>
        </row>
        <row r="5493">
          <cell r="C5493">
            <v>309810.01</v>
          </cell>
          <cell r="D5493" t="str">
            <v>NKI.MCG 12/16(NK 16/16)</v>
          </cell>
        </row>
        <row r="5494">
          <cell r="C5494">
            <v>511270.01</v>
          </cell>
          <cell r="D5494" t="str">
            <v>RO 2.5X12.8</v>
          </cell>
        </row>
        <row r="5495">
          <cell r="C5495">
            <v>208810.01</v>
          </cell>
          <cell r="D5495" t="str">
            <v>NK.OR 16/16(NKI 12/16)</v>
          </cell>
        </row>
        <row r="5496">
          <cell r="C5496">
            <v>309810.01</v>
          </cell>
          <cell r="D5496" t="str">
            <v>NKI.MCG 12/16(NK 16/16)</v>
          </cell>
        </row>
        <row r="5497">
          <cell r="C5497">
            <v>511270.01</v>
          </cell>
          <cell r="D5497" t="str">
            <v>RO 2.5X12.8</v>
          </cell>
        </row>
        <row r="5498">
          <cell r="C5498">
            <v>913016</v>
          </cell>
          <cell r="D5498" t="str">
            <v>Box 250x40x50</v>
          </cell>
        </row>
        <row r="5499">
          <cell r="C5499">
            <v>104810.01</v>
          </cell>
          <cell r="D5499" t="str">
            <v>NKI.IR 12/16(121616)</v>
          </cell>
        </row>
        <row r="5500">
          <cell r="C5500">
            <v>104811.01</v>
          </cell>
          <cell r="D5500" t="str">
            <v>NKI.IR 12/20(121620)</v>
          </cell>
        </row>
        <row r="5501">
          <cell r="C5501">
            <v>208811.01</v>
          </cell>
          <cell r="D5501" t="str">
            <v>NK.OR 16/20(NKI 12/20)</v>
          </cell>
        </row>
        <row r="5502">
          <cell r="C5502">
            <v>309811.01</v>
          </cell>
          <cell r="D5502" t="str">
            <v>NKI.MCG 12/20(NK 16/20)</v>
          </cell>
        </row>
        <row r="5503">
          <cell r="C5503">
            <v>511209.01</v>
          </cell>
          <cell r="D5503" t="str">
            <v>RO 2.5X16.8</v>
          </cell>
        </row>
        <row r="5504">
          <cell r="C5504">
            <v>913016</v>
          </cell>
          <cell r="D5504" t="str">
            <v>Box 250x40x50</v>
          </cell>
        </row>
        <row r="5505">
          <cell r="C5505">
            <v>208811.01</v>
          </cell>
          <cell r="D5505" t="str">
            <v>NK.OR 16/20(NKI 12/20)</v>
          </cell>
        </row>
        <row r="5506">
          <cell r="C5506">
            <v>309811.01</v>
          </cell>
          <cell r="D5506" t="str">
            <v>NKI.MCG 12/20(NK 16/20)</v>
          </cell>
        </row>
        <row r="5507">
          <cell r="C5507">
            <v>511209.01</v>
          </cell>
          <cell r="D5507" t="str">
            <v>RO 2.5X16.8</v>
          </cell>
        </row>
        <row r="5508">
          <cell r="C5508">
            <v>913016</v>
          </cell>
          <cell r="D5508" t="str">
            <v>Box 250x40x50</v>
          </cell>
        </row>
        <row r="5509">
          <cell r="C5509">
            <v>104811.01</v>
          </cell>
          <cell r="D5509" t="str">
            <v>NKI.IR 12/20(121620)</v>
          </cell>
        </row>
        <row r="5510">
          <cell r="C5510">
            <v>104811.01</v>
          </cell>
          <cell r="D5510" t="str">
            <v>NKI.IR 12/20(121620)</v>
          </cell>
        </row>
        <row r="5511">
          <cell r="C5511">
            <v>208811.01</v>
          </cell>
          <cell r="D5511" t="str">
            <v>NK.OR 16/20(NKI 12/20)</v>
          </cell>
        </row>
        <row r="5512">
          <cell r="C5512">
            <v>309811.01</v>
          </cell>
          <cell r="D5512" t="str">
            <v>NKI.MCG 12/20(NK 16/20)</v>
          </cell>
        </row>
        <row r="5513">
          <cell r="C5513">
            <v>511209.01</v>
          </cell>
          <cell r="D5513" t="str">
            <v>RO 2.5X16.8</v>
          </cell>
        </row>
        <row r="5514">
          <cell r="C5514">
            <v>104812.01</v>
          </cell>
          <cell r="D5514" t="str">
            <v>NKI.IR 15/16(151916)</v>
          </cell>
        </row>
        <row r="5515">
          <cell r="C5515">
            <v>208812.01</v>
          </cell>
          <cell r="D5515" t="str">
            <v>NK.OR 19/16(NKI 15/16)</v>
          </cell>
        </row>
        <row r="5516">
          <cell r="C5516">
            <v>309812.01</v>
          </cell>
          <cell r="D5516" t="str">
            <v>NKI.MCG 15/16(NK 19/16)</v>
          </cell>
        </row>
        <row r="5517">
          <cell r="C5517">
            <v>511270.01</v>
          </cell>
          <cell r="D5517" t="str">
            <v>RO 2.5X12.8</v>
          </cell>
        </row>
        <row r="5518">
          <cell r="C5518">
            <v>913016</v>
          </cell>
          <cell r="D5518" t="str">
            <v>Box 250x40x50</v>
          </cell>
        </row>
        <row r="5519">
          <cell r="C5519">
            <v>208812.01</v>
          </cell>
          <cell r="D5519" t="str">
            <v>NK.OR 19/16(NKI 15/16)</v>
          </cell>
        </row>
        <row r="5520">
          <cell r="C5520">
            <v>309812.01</v>
          </cell>
          <cell r="D5520" t="str">
            <v>NKI.MCG 15/16(NK 19/16)</v>
          </cell>
        </row>
        <row r="5521">
          <cell r="C5521">
            <v>511270.01</v>
          </cell>
          <cell r="D5521" t="str">
            <v>RO 2.5X12.8</v>
          </cell>
        </row>
        <row r="5522">
          <cell r="C5522">
            <v>913016</v>
          </cell>
          <cell r="D5522" t="str">
            <v>Box 250x40x50</v>
          </cell>
        </row>
        <row r="5523">
          <cell r="C5523">
            <v>104812.01</v>
          </cell>
          <cell r="D5523" t="str">
            <v>NKI.IR 15/16(151916)</v>
          </cell>
        </row>
        <row r="5524">
          <cell r="C5524">
            <v>200812.04</v>
          </cell>
          <cell r="D5524" t="str">
            <v>NK.OR 19/16 SPL</v>
          </cell>
        </row>
        <row r="5525">
          <cell r="C5525">
            <v>309812.01</v>
          </cell>
          <cell r="D5525" t="str">
            <v>NKI.MCG 15/16(NK 19/16)</v>
          </cell>
        </row>
        <row r="5526">
          <cell r="C5526">
            <v>511270.01</v>
          </cell>
          <cell r="D5526" t="str">
            <v>RO 2.5X12.8</v>
          </cell>
        </row>
        <row r="5527">
          <cell r="C5527">
            <v>104812.02</v>
          </cell>
          <cell r="D5527" t="str">
            <v>NKI.IR 15/16 SPL</v>
          </cell>
        </row>
        <row r="5528">
          <cell r="C5528">
            <v>200812.04</v>
          </cell>
          <cell r="D5528" t="str">
            <v>NK.OR 19/16 SPL</v>
          </cell>
        </row>
        <row r="5529">
          <cell r="C5529">
            <v>309812.01</v>
          </cell>
          <cell r="D5529" t="str">
            <v>NKI.MCG 15/16(NK 19/16)</v>
          </cell>
        </row>
        <row r="5530">
          <cell r="C5530">
            <v>511270.01</v>
          </cell>
          <cell r="D5530" t="str">
            <v>RO 2.5X12.8</v>
          </cell>
        </row>
        <row r="5531">
          <cell r="C5531">
            <v>200812.04</v>
          </cell>
          <cell r="D5531" t="str">
            <v>NK.OR 19/16 SPL</v>
          </cell>
        </row>
        <row r="5532">
          <cell r="C5532">
            <v>309812.01</v>
          </cell>
          <cell r="D5532" t="str">
            <v>NKI.MCG 15/16(NK 19/16)</v>
          </cell>
        </row>
        <row r="5533">
          <cell r="C5533">
            <v>511270.01</v>
          </cell>
          <cell r="D5533" t="str">
            <v>RO 2.5X12.8</v>
          </cell>
        </row>
        <row r="5534">
          <cell r="C5534">
            <v>104812.02</v>
          </cell>
          <cell r="D5534" t="str">
            <v>NKI.IR 15/16 SPL</v>
          </cell>
        </row>
        <row r="5535">
          <cell r="C5535">
            <v>104813.01</v>
          </cell>
          <cell r="D5535" t="str">
            <v>NKI.IR 15/20(151920)</v>
          </cell>
        </row>
        <row r="5536">
          <cell r="C5536">
            <v>208813.01</v>
          </cell>
          <cell r="D5536" t="str">
            <v>NK.OR 19/20(NKI 15/20)</v>
          </cell>
        </row>
        <row r="5537">
          <cell r="C5537">
            <v>309813.01</v>
          </cell>
          <cell r="D5537" t="str">
            <v>NKI.MCG 15/20(NK 19/20)</v>
          </cell>
        </row>
        <row r="5538">
          <cell r="C5538">
            <v>511209.01</v>
          </cell>
          <cell r="D5538" t="str">
            <v>RO 2.5X16.8</v>
          </cell>
        </row>
        <row r="5539">
          <cell r="C5539">
            <v>913016</v>
          </cell>
          <cell r="D5539" t="str">
            <v>Box 250x40x50</v>
          </cell>
        </row>
        <row r="5540">
          <cell r="C5540">
            <v>208813.01</v>
          </cell>
          <cell r="D5540" t="str">
            <v>NK.OR 19/20(NKI 15/20)</v>
          </cell>
        </row>
        <row r="5541">
          <cell r="C5541">
            <v>309813.01</v>
          </cell>
          <cell r="D5541" t="str">
            <v>NKI.MCG 15/20(NK 19/20)</v>
          </cell>
        </row>
        <row r="5542">
          <cell r="C5542">
            <v>511209.01</v>
          </cell>
          <cell r="D5542" t="str">
            <v>RO 2.5X16.8</v>
          </cell>
        </row>
        <row r="5543">
          <cell r="C5543">
            <v>913016</v>
          </cell>
          <cell r="D5543" t="str">
            <v>Box 250x40x50</v>
          </cell>
        </row>
        <row r="5544">
          <cell r="C5544">
            <v>104813.01</v>
          </cell>
          <cell r="D5544" t="str">
            <v>NKI.IR 15/20(151920)</v>
          </cell>
        </row>
        <row r="5545">
          <cell r="C5545">
            <v>104814.01</v>
          </cell>
          <cell r="D5545" t="str">
            <v>NKI.IR 17/16(172116)</v>
          </cell>
        </row>
        <row r="5546">
          <cell r="C5546">
            <v>208814.01</v>
          </cell>
          <cell r="D5546" t="str">
            <v>NK.OR 21/16(NKI 17/16)</v>
          </cell>
        </row>
        <row r="5547">
          <cell r="C5547">
            <v>309814.01</v>
          </cell>
          <cell r="D5547" t="str">
            <v>NKI.MCG 17/16(NK 21/16)</v>
          </cell>
        </row>
        <row r="5548">
          <cell r="C5548">
            <v>511270.01</v>
          </cell>
          <cell r="D5548" t="str">
            <v>RO 2.5X12.8</v>
          </cell>
        </row>
        <row r="5549">
          <cell r="C5549">
            <v>208814.01</v>
          </cell>
          <cell r="D5549" t="str">
            <v>NK.OR 21/16(NKI 17/16)</v>
          </cell>
        </row>
        <row r="5550">
          <cell r="C5550">
            <v>309814.01</v>
          </cell>
          <cell r="D5550" t="str">
            <v>NKI.MCG 17/16(NK 21/16)</v>
          </cell>
        </row>
        <row r="5551">
          <cell r="C5551">
            <v>511270.01</v>
          </cell>
          <cell r="D5551" t="str">
            <v>RO 2.5X12.8</v>
          </cell>
        </row>
        <row r="5552">
          <cell r="C5552">
            <v>104814.01</v>
          </cell>
          <cell r="D5552" t="str">
            <v>NKI.IR 17/16(172116)</v>
          </cell>
        </row>
        <row r="5553">
          <cell r="C5553">
            <v>104815.01</v>
          </cell>
          <cell r="D5553" t="str">
            <v>NKI.IR 17/20(172120)</v>
          </cell>
        </row>
        <row r="5554">
          <cell r="C5554">
            <v>208815.01</v>
          </cell>
          <cell r="D5554" t="str">
            <v>NK.OR 21/20(NKI 17/20)</v>
          </cell>
        </row>
        <row r="5555">
          <cell r="C5555">
            <v>309815.01</v>
          </cell>
          <cell r="D5555" t="str">
            <v>NKI.MCG 17/20(NK 21/20)</v>
          </cell>
        </row>
        <row r="5556">
          <cell r="C5556">
            <v>511209.01</v>
          </cell>
          <cell r="D5556" t="str">
            <v>RO 2.5X16.8</v>
          </cell>
        </row>
        <row r="5557">
          <cell r="C5557">
            <v>208815.01</v>
          </cell>
          <cell r="D5557" t="str">
            <v>NK.OR 21/20(NKI 17/20)</v>
          </cell>
        </row>
        <row r="5558">
          <cell r="C5558">
            <v>309815.01</v>
          </cell>
          <cell r="D5558" t="str">
            <v>NKI.MCG 17/20(NK 21/20)</v>
          </cell>
        </row>
        <row r="5559">
          <cell r="C5559">
            <v>511209.01</v>
          </cell>
          <cell r="D5559" t="str">
            <v>RO 2.5X16.8</v>
          </cell>
        </row>
        <row r="5560">
          <cell r="C5560">
            <v>104815.01</v>
          </cell>
          <cell r="D5560" t="str">
            <v>NKI.IR 17/20(172120)</v>
          </cell>
        </row>
        <row r="5561">
          <cell r="C5561">
            <v>104816.01</v>
          </cell>
          <cell r="D5561" t="str">
            <v>NKI.IR 20/16(202416)</v>
          </cell>
        </row>
        <row r="5562">
          <cell r="C5562">
            <v>208816.01</v>
          </cell>
          <cell r="D5562" t="str">
            <v>NK.OR 24/16(NKI 20/16)</v>
          </cell>
        </row>
        <row r="5563">
          <cell r="C5563">
            <v>309816.01</v>
          </cell>
          <cell r="D5563" t="str">
            <v>NKI.MCG 20/16(NK 24/16)</v>
          </cell>
        </row>
        <row r="5564">
          <cell r="C5564">
            <v>511270.01</v>
          </cell>
          <cell r="D5564" t="str">
            <v>RO 2.5X12.8</v>
          </cell>
        </row>
        <row r="5565">
          <cell r="C5565">
            <v>208816.01</v>
          </cell>
          <cell r="D5565" t="str">
            <v>NK.OR 24/16(NKI 20/16)</v>
          </cell>
        </row>
        <row r="5566">
          <cell r="C5566">
            <v>309816.01</v>
          </cell>
          <cell r="D5566" t="str">
            <v>NKI.MCG 20/16(NK 24/16)</v>
          </cell>
        </row>
        <row r="5567">
          <cell r="C5567">
            <v>511270.01</v>
          </cell>
          <cell r="D5567" t="str">
            <v>RO 2.5X12.8</v>
          </cell>
        </row>
        <row r="5568">
          <cell r="C5568">
            <v>104816.01</v>
          </cell>
          <cell r="D5568" t="str">
            <v>NKI.IR 20/16(202416)</v>
          </cell>
        </row>
        <row r="5569">
          <cell r="C5569">
            <v>100816.5</v>
          </cell>
          <cell r="D5569" t="str">
            <v>NKI.IR 20/16 FC</v>
          </cell>
        </row>
        <row r="5570">
          <cell r="C5570">
            <v>200816.5</v>
          </cell>
          <cell r="D5570" t="str">
            <v>NKI.OR 20/16 FC</v>
          </cell>
        </row>
        <row r="5571">
          <cell r="C5571">
            <v>511270.01</v>
          </cell>
          <cell r="D5571" t="str">
            <v>RO 2.5X12.8</v>
          </cell>
        </row>
        <row r="5572">
          <cell r="C5572">
            <v>5221201.07</v>
          </cell>
          <cell r="D5572" t="str">
            <v>O  ISOFLEX TOPAS L32</v>
          </cell>
        </row>
        <row r="5573">
          <cell r="C5573">
            <v>104817.01</v>
          </cell>
          <cell r="D5573" t="str">
            <v>NKI.IR 20/20(202420)</v>
          </cell>
        </row>
        <row r="5574">
          <cell r="C5574">
            <v>208817.01</v>
          </cell>
          <cell r="D5574" t="str">
            <v>NK.OR 24/20(NKI 20/20)</v>
          </cell>
        </row>
        <row r="5575">
          <cell r="C5575">
            <v>309817.01</v>
          </cell>
          <cell r="D5575" t="str">
            <v>NKI.MCG 20/20(NK 24/20)</v>
          </cell>
        </row>
        <row r="5576">
          <cell r="C5576">
            <v>511209.01</v>
          </cell>
          <cell r="D5576" t="str">
            <v>RO 2.5X16.8</v>
          </cell>
        </row>
        <row r="5577">
          <cell r="C5577">
            <v>208817.01</v>
          </cell>
          <cell r="D5577" t="str">
            <v>NK.OR 24/20(NKI 20/20)</v>
          </cell>
        </row>
        <row r="5578">
          <cell r="C5578">
            <v>309817.01</v>
          </cell>
          <cell r="D5578" t="str">
            <v>NKI.MCG 20/20(NK 24/20)</v>
          </cell>
        </row>
        <row r="5579">
          <cell r="C5579">
            <v>511209.01</v>
          </cell>
          <cell r="D5579" t="str">
            <v>RO 2.5X16.8</v>
          </cell>
        </row>
        <row r="5580">
          <cell r="C5580">
            <v>104817.01</v>
          </cell>
          <cell r="D5580" t="str">
            <v>NKI.IR 20/20(202420)</v>
          </cell>
        </row>
        <row r="5581">
          <cell r="C5581">
            <v>104818.01</v>
          </cell>
          <cell r="D5581" t="str">
            <v>NKI.IR 22/16(222616)</v>
          </cell>
        </row>
        <row r="5582">
          <cell r="C5582">
            <v>208818.01</v>
          </cell>
          <cell r="D5582" t="str">
            <v>NK.OR 26/16(NKI 22/16)</v>
          </cell>
        </row>
        <row r="5583">
          <cell r="C5583">
            <v>309818.01</v>
          </cell>
          <cell r="D5583" t="str">
            <v>NKI.MCG 22/16(NK 26/16)</v>
          </cell>
        </row>
        <row r="5584">
          <cell r="C5584">
            <v>511270.01</v>
          </cell>
          <cell r="D5584" t="str">
            <v>RO 2.5X12.8</v>
          </cell>
        </row>
        <row r="5585">
          <cell r="C5585">
            <v>208818.01</v>
          </cell>
          <cell r="D5585" t="str">
            <v>NK.OR 26/16(NKI 22/16)</v>
          </cell>
        </row>
        <row r="5586">
          <cell r="C5586">
            <v>309818.01</v>
          </cell>
          <cell r="D5586" t="str">
            <v>NKI.MCG 22/16(NK 26/16)</v>
          </cell>
        </row>
        <row r="5587">
          <cell r="C5587">
            <v>511270.01</v>
          </cell>
          <cell r="D5587" t="str">
            <v>RO 2.5X12.8</v>
          </cell>
        </row>
        <row r="5588">
          <cell r="C5588">
            <v>104818.01</v>
          </cell>
          <cell r="D5588" t="str">
            <v>NKI.IR 22/16(222616)</v>
          </cell>
        </row>
        <row r="5589">
          <cell r="C5589">
            <v>104819.01</v>
          </cell>
          <cell r="D5589" t="str">
            <v>NKI.IR 25/20(252920)</v>
          </cell>
        </row>
        <row r="5590">
          <cell r="C5590">
            <v>208819.01</v>
          </cell>
          <cell r="D5590" t="str">
            <v>NK.OR 29/20(NKI 25/20)</v>
          </cell>
        </row>
        <row r="5591">
          <cell r="C5591">
            <v>309819.01</v>
          </cell>
          <cell r="D5591" t="str">
            <v>NKI.MCG 25/20(NK 29/20)</v>
          </cell>
        </row>
        <row r="5592">
          <cell r="C5592">
            <v>511819.01</v>
          </cell>
          <cell r="D5592" t="str">
            <v>RO 3X15.8</v>
          </cell>
        </row>
        <row r="5593">
          <cell r="C5593">
            <v>208819.01</v>
          </cell>
          <cell r="D5593" t="str">
            <v>NK.OR 29/20(NKI 25/20)</v>
          </cell>
        </row>
        <row r="5594">
          <cell r="C5594">
            <v>309819.01</v>
          </cell>
          <cell r="D5594" t="str">
            <v>NKI.MCG 25/20(NK 29/20)</v>
          </cell>
        </row>
        <row r="5595">
          <cell r="C5595">
            <v>511819.01</v>
          </cell>
          <cell r="D5595" t="str">
            <v>RO 3X15.8</v>
          </cell>
        </row>
        <row r="5596">
          <cell r="C5596">
            <v>104819.01</v>
          </cell>
          <cell r="D5596" t="str">
            <v>NKI.IR 25/20(252920)</v>
          </cell>
        </row>
        <row r="5597">
          <cell r="C5597">
            <v>100819.1</v>
          </cell>
          <cell r="D5597" t="str">
            <v>IR.IR 252920 SPL</v>
          </cell>
        </row>
        <row r="5598">
          <cell r="C5598">
            <v>104820.01</v>
          </cell>
          <cell r="D5598" t="str">
            <v>NKI.IR 25/30(252930)</v>
          </cell>
        </row>
        <row r="5599">
          <cell r="C5599">
            <v>208820.01</v>
          </cell>
          <cell r="D5599" t="str">
            <v>NK.OR 29/30(NKI 25/30)</v>
          </cell>
        </row>
        <row r="5600">
          <cell r="C5600">
            <v>309820.01</v>
          </cell>
          <cell r="D5600" t="str">
            <v>NKI.MCG 25/30(NK 29/30)</v>
          </cell>
        </row>
        <row r="5601">
          <cell r="C5601">
            <v>511822.01</v>
          </cell>
          <cell r="D5601" t="str">
            <v>RO 3x25.8 (NKI 28/30,32/3</v>
          </cell>
        </row>
        <row r="5602">
          <cell r="C5602">
            <v>208820.01</v>
          </cell>
          <cell r="D5602" t="str">
            <v>NK.OR 29/30(NKI 25/30)</v>
          </cell>
        </row>
        <row r="5603">
          <cell r="C5603">
            <v>309820.01</v>
          </cell>
          <cell r="D5603" t="str">
            <v>NKI.MCG 25/30(NK 29/30)</v>
          </cell>
        </row>
        <row r="5604">
          <cell r="C5604">
            <v>511822.01</v>
          </cell>
          <cell r="D5604" t="str">
            <v>RO 3x25.8 (NKI 28/30,32/3</v>
          </cell>
        </row>
        <row r="5605">
          <cell r="C5605">
            <v>104820.01</v>
          </cell>
          <cell r="D5605" t="str">
            <v>NKI.IR 25/30(252930)</v>
          </cell>
        </row>
        <row r="5606">
          <cell r="C5606">
            <v>100820.5</v>
          </cell>
          <cell r="D5606" t="str">
            <v>NKI.IR 25/30 FC</v>
          </cell>
        </row>
        <row r="5607">
          <cell r="C5607">
            <v>200820.5</v>
          </cell>
          <cell r="D5607" t="str">
            <v>NKI.OR 25/30 FC</v>
          </cell>
        </row>
        <row r="5608">
          <cell r="C5608">
            <v>500820.5</v>
          </cell>
          <cell r="D5608" t="str">
            <v>RO 3X26.8</v>
          </cell>
        </row>
        <row r="5609">
          <cell r="C5609">
            <v>5221201.07</v>
          </cell>
          <cell r="D5609" t="str">
            <v>O  ISOFLEX TOPAS L32</v>
          </cell>
        </row>
        <row r="5610">
          <cell r="C5610">
            <v>104821.01</v>
          </cell>
          <cell r="D5610" t="str">
            <v>NKI.IR 28/20(283220)</v>
          </cell>
        </row>
        <row r="5611">
          <cell r="C5611">
            <v>208821.01</v>
          </cell>
          <cell r="D5611" t="str">
            <v>NK.OR 32/20(NKI 28/20)</v>
          </cell>
        </row>
        <row r="5612">
          <cell r="C5612">
            <v>309821.01</v>
          </cell>
          <cell r="D5612" t="str">
            <v>NKI.MCG 28/20(NK 32/20)</v>
          </cell>
        </row>
        <row r="5613">
          <cell r="C5613">
            <v>511819.01</v>
          </cell>
          <cell r="D5613" t="str">
            <v>RO 3X15.8</v>
          </cell>
        </row>
        <row r="5614">
          <cell r="C5614">
            <v>208821.01</v>
          </cell>
          <cell r="D5614" t="str">
            <v>NK.OR 32/20(NKI 28/20)</v>
          </cell>
        </row>
        <row r="5615">
          <cell r="C5615">
            <v>309821.01</v>
          </cell>
          <cell r="D5615" t="str">
            <v>NKI.MCG 28/20(NK 32/20)</v>
          </cell>
        </row>
        <row r="5616">
          <cell r="C5616">
            <v>511819.01</v>
          </cell>
          <cell r="D5616" t="str">
            <v>RO 3X15.8</v>
          </cell>
        </row>
        <row r="5617">
          <cell r="C5617">
            <v>104821.01</v>
          </cell>
          <cell r="D5617" t="str">
            <v>NKI.IR 28/20(283220)</v>
          </cell>
        </row>
        <row r="5618">
          <cell r="C5618">
            <v>208821.01</v>
          </cell>
          <cell r="D5618" t="str">
            <v>NK.OR 32/20(NKI 28/20)</v>
          </cell>
        </row>
        <row r="5619">
          <cell r="C5619">
            <v>309821.01</v>
          </cell>
          <cell r="D5619" t="str">
            <v>NKI.MCG 28/20(NK 32/20)</v>
          </cell>
        </row>
        <row r="5620">
          <cell r="C5620">
            <v>511819.01</v>
          </cell>
          <cell r="D5620" t="str">
            <v>RO 3X15.8</v>
          </cell>
        </row>
        <row r="5621">
          <cell r="C5621">
            <v>104822.01</v>
          </cell>
          <cell r="D5621" t="str">
            <v>NKI.IR 28/30(283230)</v>
          </cell>
        </row>
        <row r="5622">
          <cell r="C5622">
            <v>208822.01</v>
          </cell>
          <cell r="D5622" t="str">
            <v>NK.OR 32/30(NKI 28/30)</v>
          </cell>
        </row>
        <row r="5623">
          <cell r="C5623">
            <v>309822.01</v>
          </cell>
          <cell r="D5623" t="str">
            <v>NKI.MCG 28/30(NK 32/30)</v>
          </cell>
        </row>
        <row r="5624">
          <cell r="C5624">
            <v>511822.01</v>
          </cell>
          <cell r="D5624" t="str">
            <v>RO 3x25.8 (NKI 28/30,32/3</v>
          </cell>
        </row>
        <row r="5625">
          <cell r="C5625">
            <v>208822.01</v>
          </cell>
          <cell r="D5625" t="str">
            <v>NK.OR 32/30(NKI 28/30)</v>
          </cell>
        </row>
        <row r="5626">
          <cell r="C5626">
            <v>309822.01</v>
          </cell>
          <cell r="D5626" t="str">
            <v>NKI.MCG 28/30(NK 32/30)</v>
          </cell>
        </row>
        <row r="5627">
          <cell r="C5627">
            <v>511822.01</v>
          </cell>
          <cell r="D5627" t="str">
            <v>RO 3x25.8 (NKI 28/30,32/3</v>
          </cell>
        </row>
        <row r="5628">
          <cell r="C5628">
            <v>104822.01</v>
          </cell>
          <cell r="D5628" t="str">
            <v>NKI.IR 28/30(283230)</v>
          </cell>
        </row>
        <row r="5629">
          <cell r="C5629">
            <v>104823.01</v>
          </cell>
          <cell r="D5629" t="str">
            <v>NKI.IR 30/20(303520)</v>
          </cell>
        </row>
        <row r="5630">
          <cell r="C5630">
            <v>208823.01</v>
          </cell>
          <cell r="D5630" t="str">
            <v>NK.OR 35/20(NKI 30/20)</v>
          </cell>
        </row>
        <row r="5631">
          <cell r="C5631">
            <v>309823.01</v>
          </cell>
          <cell r="D5631" t="str">
            <v>NKI.MCG 30/20(NK 35/20)</v>
          </cell>
        </row>
        <row r="5632">
          <cell r="C5632">
            <v>511819.01</v>
          </cell>
          <cell r="D5632" t="str">
            <v>RO 3X15.8</v>
          </cell>
        </row>
        <row r="5633">
          <cell r="C5633">
            <v>208823.01</v>
          </cell>
          <cell r="D5633" t="str">
            <v>NK.OR 35/20(NKI 30/20)</v>
          </cell>
        </row>
        <row r="5634">
          <cell r="C5634">
            <v>309823.01</v>
          </cell>
          <cell r="D5634" t="str">
            <v>NKI.MCG 30/20(NK 35/20)</v>
          </cell>
        </row>
        <row r="5635">
          <cell r="C5635">
            <v>511819.01</v>
          </cell>
          <cell r="D5635" t="str">
            <v>RO 3X15.8</v>
          </cell>
        </row>
        <row r="5636">
          <cell r="C5636">
            <v>104823.01</v>
          </cell>
          <cell r="D5636" t="str">
            <v>NKI.IR 30/20(303520)</v>
          </cell>
        </row>
        <row r="5637">
          <cell r="C5637">
            <v>200823.1</v>
          </cell>
          <cell r="D5637" t="str">
            <v>RPNA.OR 35/52</v>
          </cell>
        </row>
        <row r="5638">
          <cell r="C5638">
            <v>200823.2</v>
          </cell>
          <cell r="D5638" t="str">
            <v>RPNA.SHELL 35/52</v>
          </cell>
        </row>
        <row r="5639">
          <cell r="C5639">
            <v>300823.09999999998</v>
          </cell>
          <cell r="D5639" t="str">
            <v>RPNA.MCG 35/52</v>
          </cell>
        </row>
        <row r="5640">
          <cell r="C5640">
            <v>511819.01</v>
          </cell>
          <cell r="D5640" t="str">
            <v>RO 3X15.8</v>
          </cell>
        </row>
        <row r="5641">
          <cell r="C5641">
            <v>700823.1</v>
          </cell>
          <cell r="D5641" t="str">
            <v>RPNA.N.SEALB 35/52</v>
          </cell>
        </row>
        <row r="5642">
          <cell r="C5642">
            <v>700823.2</v>
          </cell>
          <cell r="D5642" t="str">
            <v>RPNA.N.SEALP 35/52</v>
          </cell>
        </row>
        <row r="5643">
          <cell r="C5643">
            <v>104824.01</v>
          </cell>
          <cell r="D5643" t="str">
            <v>NKI.IR 30/30(303530)</v>
          </cell>
        </row>
        <row r="5644">
          <cell r="C5644">
            <v>208824.01</v>
          </cell>
          <cell r="D5644" t="str">
            <v>NK.OR 35/30(NKI 30/30)</v>
          </cell>
        </row>
        <row r="5645">
          <cell r="C5645">
            <v>309824.01</v>
          </cell>
          <cell r="D5645" t="str">
            <v>NKI.MCG 30/30(NK 35/30)</v>
          </cell>
        </row>
        <row r="5646">
          <cell r="C5646">
            <v>511822.01</v>
          </cell>
          <cell r="D5646" t="str">
            <v>RO 3x25.8 (NKI 28/30,32/3</v>
          </cell>
        </row>
        <row r="5647">
          <cell r="C5647">
            <v>208824.01</v>
          </cell>
          <cell r="D5647" t="str">
            <v>NK.OR 35/30(NKI 30/30)</v>
          </cell>
        </row>
        <row r="5648">
          <cell r="C5648">
            <v>309824.01</v>
          </cell>
          <cell r="D5648" t="str">
            <v>NKI.MCG 30/30(NK 35/30)</v>
          </cell>
        </row>
        <row r="5649">
          <cell r="C5649">
            <v>511822.01</v>
          </cell>
          <cell r="D5649" t="str">
            <v>RO 3x25.8 (NKI 28/30,32/3</v>
          </cell>
        </row>
        <row r="5650">
          <cell r="C5650">
            <v>104824.01</v>
          </cell>
          <cell r="D5650" t="str">
            <v>NKI.IR 30/30(303530)</v>
          </cell>
        </row>
        <row r="5651">
          <cell r="C5651">
            <v>104825.01</v>
          </cell>
          <cell r="D5651" t="str">
            <v>NKI.IR 32/20(323720)</v>
          </cell>
        </row>
        <row r="5652">
          <cell r="C5652">
            <v>208825.01</v>
          </cell>
          <cell r="D5652" t="str">
            <v>NK.OR 37/20(NKI 32/20)</v>
          </cell>
        </row>
        <row r="5653">
          <cell r="C5653">
            <v>309825.01</v>
          </cell>
          <cell r="D5653" t="str">
            <v>NKI.MCG 32/20(NK 37/20)</v>
          </cell>
        </row>
        <row r="5654">
          <cell r="C5654">
            <v>511819.01</v>
          </cell>
          <cell r="D5654" t="str">
            <v>RO 3X15.8</v>
          </cell>
        </row>
        <row r="5655">
          <cell r="C5655">
            <v>208825.01</v>
          </cell>
          <cell r="D5655" t="str">
            <v>NK.OR 37/20(NKI 32/20)</v>
          </cell>
        </row>
        <row r="5656">
          <cell r="C5656">
            <v>309825.01</v>
          </cell>
          <cell r="D5656" t="str">
            <v>NKI.MCG 32/20(NK 37/20)</v>
          </cell>
        </row>
        <row r="5657">
          <cell r="C5657">
            <v>511819.01</v>
          </cell>
          <cell r="D5657" t="str">
            <v>RO 3X15.8</v>
          </cell>
        </row>
        <row r="5658">
          <cell r="C5658">
            <v>104825.01</v>
          </cell>
          <cell r="D5658" t="str">
            <v>NKI.IR 32/20(323720)</v>
          </cell>
        </row>
        <row r="5659">
          <cell r="C5659">
            <v>104826.01</v>
          </cell>
          <cell r="D5659" t="str">
            <v>NKI.IR 32/30(323730)</v>
          </cell>
        </row>
        <row r="5660">
          <cell r="C5660">
            <v>208826.01</v>
          </cell>
          <cell r="D5660" t="str">
            <v>NK.OR 37/30(NKI 32/30)</v>
          </cell>
        </row>
        <row r="5661">
          <cell r="C5661">
            <v>309826.01</v>
          </cell>
          <cell r="D5661" t="str">
            <v>NKI.MCG 32/30(NK 37/30)</v>
          </cell>
        </row>
        <row r="5662">
          <cell r="C5662">
            <v>511822.01</v>
          </cell>
          <cell r="D5662" t="str">
            <v>RO 3x25.8 (NKI 28/30,32/3</v>
          </cell>
        </row>
        <row r="5663">
          <cell r="C5663">
            <v>208826.01</v>
          </cell>
          <cell r="D5663" t="str">
            <v>NK.OR 37/30(NKI 32/30)</v>
          </cell>
        </row>
        <row r="5664">
          <cell r="C5664">
            <v>309826.01</v>
          </cell>
          <cell r="D5664" t="str">
            <v>NKI.MCG 32/30(NK 37/30)</v>
          </cell>
        </row>
        <row r="5665">
          <cell r="C5665">
            <v>511822.01</v>
          </cell>
          <cell r="D5665" t="str">
            <v>RO 3x25.8 (NKI 28/30,32/3</v>
          </cell>
        </row>
        <row r="5666">
          <cell r="C5666">
            <v>104826.01</v>
          </cell>
          <cell r="D5666" t="str">
            <v>NKI.IR 32/30(323730)</v>
          </cell>
        </row>
        <row r="5667">
          <cell r="C5667">
            <v>104827.01</v>
          </cell>
          <cell r="D5667" t="str">
            <v>NKI.IR 35/20(354020)</v>
          </cell>
        </row>
        <row r="5668">
          <cell r="C5668">
            <v>208827.01</v>
          </cell>
          <cell r="D5668" t="str">
            <v>NK.OR 40/20(NKI 35/20)</v>
          </cell>
        </row>
        <row r="5669">
          <cell r="C5669">
            <v>309827.01</v>
          </cell>
          <cell r="D5669" t="str">
            <v>NKI.MCG 35/20(NK 40/20)</v>
          </cell>
        </row>
        <row r="5670">
          <cell r="C5670">
            <v>511819.01</v>
          </cell>
          <cell r="D5670" t="str">
            <v>RO 3X15.8</v>
          </cell>
        </row>
        <row r="5671">
          <cell r="C5671">
            <v>208827.01</v>
          </cell>
          <cell r="D5671" t="str">
            <v>NK.OR 40/20(NKI 35/20)</v>
          </cell>
        </row>
        <row r="5672">
          <cell r="C5672">
            <v>309827.01</v>
          </cell>
          <cell r="D5672" t="str">
            <v>NKI.MCG 35/20(NK 40/20)</v>
          </cell>
        </row>
        <row r="5673">
          <cell r="C5673">
            <v>511819.01</v>
          </cell>
          <cell r="D5673" t="str">
            <v>RO 3X15.8</v>
          </cell>
        </row>
        <row r="5674">
          <cell r="C5674">
            <v>104827.01</v>
          </cell>
          <cell r="D5674" t="str">
            <v>NKI.IR 35/20(354020)</v>
          </cell>
        </row>
        <row r="5675">
          <cell r="C5675">
            <v>200827.1</v>
          </cell>
          <cell r="D5675" t="str">
            <v>MNA.OR 4020</v>
          </cell>
        </row>
        <row r="5676">
          <cell r="C5676">
            <v>300827.09999999998</v>
          </cell>
          <cell r="D5676" t="str">
            <v>MNA.MCG 4020</v>
          </cell>
        </row>
        <row r="5677">
          <cell r="C5677">
            <v>501177</v>
          </cell>
          <cell r="D5677" t="str">
            <v>RO 3X14.8 BPER</v>
          </cell>
        </row>
        <row r="5678">
          <cell r="C5678">
            <v>300827.2</v>
          </cell>
          <cell r="D5678" t="str">
            <v>MSA.NCG 3423</v>
          </cell>
        </row>
        <row r="5679">
          <cell r="C5679">
            <v>500827.2</v>
          </cell>
          <cell r="D5679" t="str">
            <v>BALL 8 MM (IS:2898-1976)</v>
          </cell>
        </row>
        <row r="5680">
          <cell r="C5680">
            <v>200827.3</v>
          </cell>
          <cell r="D5680" t="str">
            <v>MSA.OR 3988</v>
          </cell>
        </row>
        <row r="5681">
          <cell r="C5681">
            <v>200827.4</v>
          </cell>
          <cell r="D5681" t="str">
            <v>RPNA.OR 40/55</v>
          </cell>
        </row>
        <row r="5682">
          <cell r="C5682">
            <v>200827.5</v>
          </cell>
          <cell r="D5682" t="str">
            <v>RPNA.SHELL 40/55</v>
          </cell>
        </row>
        <row r="5683">
          <cell r="C5683">
            <v>300827.40000000002</v>
          </cell>
          <cell r="D5683" t="str">
            <v>RPNA.MCG 40/55</v>
          </cell>
        </row>
        <row r="5684">
          <cell r="C5684">
            <v>511819.01</v>
          </cell>
          <cell r="D5684" t="str">
            <v>RO 3X15.8</v>
          </cell>
        </row>
        <row r="5685">
          <cell r="C5685">
            <v>700827.4</v>
          </cell>
          <cell r="D5685" t="str">
            <v>RPNA.N.SEALB 40/55</v>
          </cell>
        </row>
        <row r="5686">
          <cell r="C5686">
            <v>700827.5</v>
          </cell>
          <cell r="D5686" t="str">
            <v>RPNA.N.SEALP 40/55</v>
          </cell>
        </row>
        <row r="5687">
          <cell r="C5687">
            <v>100827.5</v>
          </cell>
          <cell r="D5687" t="str">
            <v>MSA.IR 2857</v>
          </cell>
        </row>
        <row r="5688">
          <cell r="C5688">
            <v>100827.6</v>
          </cell>
          <cell r="D5688" t="str">
            <v>MSA.IR 2855</v>
          </cell>
        </row>
        <row r="5689">
          <cell r="C5689">
            <v>104828.01</v>
          </cell>
          <cell r="D5689" t="str">
            <v>NKI.IR 35/30(354030)</v>
          </cell>
        </row>
        <row r="5690">
          <cell r="C5690">
            <v>208828.01</v>
          </cell>
          <cell r="D5690" t="str">
            <v>NK.OR 40/30(NKI 35/30)</v>
          </cell>
        </row>
        <row r="5691">
          <cell r="C5691">
            <v>309828.01</v>
          </cell>
          <cell r="D5691" t="str">
            <v>NKI.MCG 35/30(NK 40/30)</v>
          </cell>
        </row>
        <row r="5692">
          <cell r="C5692">
            <v>511822.01</v>
          </cell>
          <cell r="D5692" t="str">
            <v>RO 3x25.8 (NKI 28/30,32/3</v>
          </cell>
        </row>
        <row r="5693">
          <cell r="C5693">
            <v>208828.01</v>
          </cell>
          <cell r="D5693" t="str">
            <v>NK.OR 40/30(NKI 35/30)</v>
          </cell>
        </row>
        <row r="5694">
          <cell r="C5694">
            <v>309828.01</v>
          </cell>
          <cell r="D5694" t="str">
            <v>NKI.MCG 35/30(NK 40/30)</v>
          </cell>
        </row>
        <row r="5695">
          <cell r="C5695">
            <v>511822.01</v>
          </cell>
          <cell r="D5695" t="str">
            <v>RO 3x25.8 (NKI 28/30,32/3</v>
          </cell>
        </row>
        <row r="5696">
          <cell r="C5696">
            <v>104828.01</v>
          </cell>
          <cell r="D5696" t="str">
            <v>NKI.IR 35/30(354030)</v>
          </cell>
        </row>
        <row r="5697">
          <cell r="C5697">
            <v>104829.01</v>
          </cell>
          <cell r="D5697" t="str">
            <v>NKI.IR 38/20(384320)</v>
          </cell>
        </row>
        <row r="5698">
          <cell r="C5698">
            <v>208829.01</v>
          </cell>
          <cell r="D5698" t="str">
            <v>NK.OR 43/20(NKI 38/20)</v>
          </cell>
        </row>
        <row r="5699">
          <cell r="C5699">
            <v>309829.01</v>
          </cell>
          <cell r="D5699" t="str">
            <v>NKI.MCG 38/20(NK 43/20)</v>
          </cell>
        </row>
        <row r="5700">
          <cell r="C5700">
            <v>511819.01</v>
          </cell>
          <cell r="D5700" t="str">
            <v>RO 3X15.8</v>
          </cell>
        </row>
        <row r="5701">
          <cell r="C5701">
            <v>208829.01</v>
          </cell>
          <cell r="D5701" t="str">
            <v>NK.OR 43/20(NKI 38/20)</v>
          </cell>
        </row>
        <row r="5702">
          <cell r="C5702">
            <v>309829.01</v>
          </cell>
          <cell r="D5702" t="str">
            <v>NKI.MCG 38/20(NK 43/20)</v>
          </cell>
        </row>
        <row r="5703">
          <cell r="C5703">
            <v>511819.01</v>
          </cell>
          <cell r="D5703" t="str">
            <v>RO 3X15.8</v>
          </cell>
        </row>
        <row r="5704">
          <cell r="C5704">
            <v>104829.01</v>
          </cell>
          <cell r="D5704" t="str">
            <v>NKI.IR 38/20(384320)</v>
          </cell>
        </row>
        <row r="5705">
          <cell r="C5705">
            <v>104830.01</v>
          </cell>
          <cell r="D5705" t="str">
            <v>NKI.IR 38/30(384330)</v>
          </cell>
        </row>
        <row r="5706">
          <cell r="C5706">
            <v>208830.01</v>
          </cell>
          <cell r="D5706" t="str">
            <v>NK.OR 43/30(NKI 38/30)</v>
          </cell>
        </row>
        <row r="5707">
          <cell r="C5707">
            <v>309830.01</v>
          </cell>
          <cell r="D5707" t="str">
            <v>NKI.MCG 38/30(NK 43/30)</v>
          </cell>
        </row>
        <row r="5708">
          <cell r="C5708">
            <v>511822.01</v>
          </cell>
          <cell r="D5708" t="str">
            <v>RO 3x25.8 (NKI 28/30,32/3</v>
          </cell>
        </row>
        <row r="5709">
          <cell r="C5709">
            <v>208830.01</v>
          </cell>
          <cell r="D5709" t="str">
            <v>NK.OR 43/30(NKI 38/30)</v>
          </cell>
        </row>
        <row r="5710">
          <cell r="C5710">
            <v>309830.01</v>
          </cell>
          <cell r="D5710" t="str">
            <v>NKI.MCG 38/30(NK 43/30)</v>
          </cell>
        </row>
        <row r="5711">
          <cell r="C5711">
            <v>511822.01</v>
          </cell>
          <cell r="D5711" t="str">
            <v>RO 3x25.8 (NKI 28/30,32/3</v>
          </cell>
        </row>
        <row r="5712">
          <cell r="C5712">
            <v>104830.01</v>
          </cell>
          <cell r="D5712" t="str">
            <v>NKI.IR 38/30(384330)</v>
          </cell>
        </row>
        <row r="5713">
          <cell r="C5713">
            <v>104831.01</v>
          </cell>
          <cell r="D5713" t="str">
            <v>NKI.IR 40/20(404520)</v>
          </cell>
        </row>
        <row r="5714">
          <cell r="C5714">
            <v>208831.01</v>
          </cell>
          <cell r="D5714" t="str">
            <v>NK.OR 45/20(NKI 40/20)</v>
          </cell>
        </row>
        <row r="5715">
          <cell r="C5715">
            <v>309831.01</v>
          </cell>
          <cell r="D5715" t="str">
            <v>NKI.MCG 40/20(NK 45/20)</v>
          </cell>
        </row>
        <row r="5716">
          <cell r="C5716">
            <v>511819.01</v>
          </cell>
          <cell r="D5716" t="str">
            <v>RO 3X15.8</v>
          </cell>
        </row>
        <row r="5717">
          <cell r="C5717">
            <v>208831.01</v>
          </cell>
          <cell r="D5717" t="str">
            <v>NK.OR 45/20(NKI 40/20)</v>
          </cell>
        </row>
        <row r="5718">
          <cell r="C5718">
            <v>309831.01</v>
          </cell>
          <cell r="D5718" t="str">
            <v>NKI.MCG 40/20(NK 45/20)</v>
          </cell>
        </row>
        <row r="5719">
          <cell r="C5719">
            <v>511819.01</v>
          </cell>
          <cell r="D5719" t="str">
            <v>RO 3X15.8</v>
          </cell>
        </row>
        <row r="5720">
          <cell r="C5720">
            <v>104831.01</v>
          </cell>
          <cell r="D5720" t="str">
            <v>NKI.IR 40/20(404520)</v>
          </cell>
        </row>
        <row r="5721">
          <cell r="C5721">
            <v>200831.1</v>
          </cell>
          <cell r="D5721" t="str">
            <v>RPNA.OR 45/62</v>
          </cell>
        </row>
        <row r="5722">
          <cell r="C5722">
            <v>200831.2</v>
          </cell>
          <cell r="D5722" t="str">
            <v>RPNA.SHELL 45/62</v>
          </cell>
        </row>
        <row r="5723">
          <cell r="C5723">
            <v>300831.09999999998</v>
          </cell>
          <cell r="D5723" t="str">
            <v>RPNA.MCG 45/62</v>
          </cell>
        </row>
        <row r="5724">
          <cell r="C5724">
            <v>511819.01</v>
          </cell>
          <cell r="D5724" t="str">
            <v>RO 3X15.8</v>
          </cell>
        </row>
        <row r="5725">
          <cell r="C5725">
            <v>700831.1</v>
          </cell>
          <cell r="D5725" t="str">
            <v>RPNA.N.SEALB 45/62</v>
          </cell>
        </row>
        <row r="5726">
          <cell r="C5726">
            <v>700831.2</v>
          </cell>
          <cell r="D5726" t="str">
            <v>RPNA.N.SEALP 45/62</v>
          </cell>
        </row>
        <row r="5727">
          <cell r="C5727">
            <v>104832.01</v>
          </cell>
          <cell r="D5727" t="str">
            <v>NKI.IR 40/30(404530)</v>
          </cell>
        </row>
        <row r="5728">
          <cell r="C5728">
            <v>208832.01</v>
          </cell>
          <cell r="D5728" t="str">
            <v>NK.OR 45/30(NKI 40/30)</v>
          </cell>
        </row>
        <row r="5729">
          <cell r="C5729">
            <v>309832.01</v>
          </cell>
          <cell r="D5729" t="str">
            <v>NKI.MCG 40/30(NK 45/30)</v>
          </cell>
        </row>
        <row r="5730">
          <cell r="C5730">
            <v>511822.01</v>
          </cell>
          <cell r="D5730" t="str">
            <v>RO 3x25.8 (NKI 28/30,32/3</v>
          </cell>
        </row>
        <row r="5731">
          <cell r="C5731">
            <v>208832.01</v>
          </cell>
          <cell r="D5731" t="str">
            <v>NK.OR 45/30(NKI 40/30)</v>
          </cell>
        </row>
        <row r="5732">
          <cell r="C5732">
            <v>309832.01</v>
          </cell>
          <cell r="D5732" t="str">
            <v>NKI.MCG 40/30(NK 45/30)</v>
          </cell>
        </row>
        <row r="5733">
          <cell r="C5733">
            <v>511822.01</v>
          </cell>
          <cell r="D5733" t="str">
            <v>RO 3x25.8 (NKI 28/30,32/3</v>
          </cell>
        </row>
        <row r="5734">
          <cell r="C5734">
            <v>104832.01</v>
          </cell>
          <cell r="D5734" t="str">
            <v>NKI.IR 40/30(404530)</v>
          </cell>
        </row>
        <row r="5735">
          <cell r="C5735">
            <v>104832.01</v>
          </cell>
          <cell r="D5735" t="str">
            <v>NKI.IR 40/30(404530)</v>
          </cell>
        </row>
        <row r="5736">
          <cell r="C5736">
            <v>208832.21</v>
          </cell>
          <cell r="D5736" t="str">
            <v>NK.OR 45/30(NKI 40/30)F</v>
          </cell>
        </row>
        <row r="5737">
          <cell r="C5737">
            <v>511227.01</v>
          </cell>
          <cell r="D5737" t="str">
            <v>RO 3X24.8</v>
          </cell>
        </row>
        <row r="5738">
          <cell r="C5738">
            <v>208832.21</v>
          </cell>
          <cell r="D5738" t="str">
            <v>NK.OR 45/30(NKI 40/30)F</v>
          </cell>
        </row>
        <row r="5739">
          <cell r="C5739">
            <v>511227.01</v>
          </cell>
          <cell r="D5739" t="str">
            <v>RO 3X24.8</v>
          </cell>
        </row>
        <row r="5740">
          <cell r="C5740">
            <v>104833.01</v>
          </cell>
          <cell r="D5740" t="str">
            <v>NKI.IR 42/20(424720)</v>
          </cell>
        </row>
        <row r="5741">
          <cell r="C5741">
            <v>208833.01</v>
          </cell>
          <cell r="D5741" t="str">
            <v>NK.OR 47/20(NKI 42/20)</v>
          </cell>
        </row>
        <row r="5742">
          <cell r="C5742">
            <v>309833.01</v>
          </cell>
          <cell r="D5742" t="str">
            <v>NKI.MCG 42/20(NK 47/20)</v>
          </cell>
        </row>
        <row r="5743">
          <cell r="C5743">
            <v>511819.01</v>
          </cell>
          <cell r="D5743" t="str">
            <v>RO 3X15.8</v>
          </cell>
        </row>
        <row r="5744">
          <cell r="C5744">
            <v>208833.01</v>
          </cell>
          <cell r="D5744" t="str">
            <v>NK.OR 47/20(NKI 42/20)</v>
          </cell>
        </row>
        <row r="5745">
          <cell r="C5745">
            <v>309833.01</v>
          </cell>
          <cell r="D5745" t="str">
            <v>NKI.MCG 42/20(NK 47/20)</v>
          </cell>
        </row>
        <row r="5746">
          <cell r="C5746">
            <v>511819.01</v>
          </cell>
          <cell r="D5746" t="str">
            <v>RO 3X15.8</v>
          </cell>
        </row>
        <row r="5747">
          <cell r="C5747">
            <v>104833.01</v>
          </cell>
          <cell r="D5747" t="str">
            <v>NKI.IR 42/20(424720)</v>
          </cell>
        </row>
        <row r="5748">
          <cell r="C5748">
            <v>104834.01</v>
          </cell>
          <cell r="D5748" t="str">
            <v>NKI.IR 42/30(424730)</v>
          </cell>
        </row>
        <row r="5749">
          <cell r="C5749">
            <v>208834.01</v>
          </cell>
          <cell r="D5749" t="str">
            <v>NK.OR 47/30(NKI 42/30)</v>
          </cell>
        </row>
        <row r="5750">
          <cell r="C5750">
            <v>309834.01</v>
          </cell>
          <cell r="D5750" t="str">
            <v>NKI.MCG 42/30(NK 47/30)</v>
          </cell>
        </row>
        <row r="5751">
          <cell r="C5751">
            <v>511822.01</v>
          </cell>
          <cell r="D5751" t="str">
            <v>RO 3x25.8 (NKI 28/30,32/3</v>
          </cell>
        </row>
        <row r="5752">
          <cell r="C5752">
            <v>208834.01</v>
          </cell>
          <cell r="D5752" t="str">
            <v>NK.OR 47/30(NKI 42/30)</v>
          </cell>
        </row>
        <row r="5753">
          <cell r="C5753">
            <v>309834.01</v>
          </cell>
          <cell r="D5753" t="str">
            <v>NKI.MCG 42/30(NK 47/30)</v>
          </cell>
        </row>
        <row r="5754">
          <cell r="C5754">
            <v>511822.01</v>
          </cell>
          <cell r="D5754" t="str">
            <v>RO 3x25.8 (NKI 28/30,32/3</v>
          </cell>
        </row>
        <row r="5755">
          <cell r="C5755">
            <v>104834.01</v>
          </cell>
          <cell r="D5755" t="str">
            <v>NKI.IR 42/30(424730)</v>
          </cell>
        </row>
        <row r="5756">
          <cell r="C5756">
            <v>104835.01</v>
          </cell>
          <cell r="D5756" t="str">
            <v>NKI.IR 45/25(455025)</v>
          </cell>
        </row>
        <row r="5757">
          <cell r="C5757">
            <v>208835.01</v>
          </cell>
          <cell r="D5757" t="str">
            <v>NK.OR 50/25(NKI 45/25)</v>
          </cell>
        </row>
        <row r="5758">
          <cell r="C5758">
            <v>309835.01</v>
          </cell>
          <cell r="D5758" t="str">
            <v>NKI.MCG 45/25(NK 50/25)</v>
          </cell>
        </row>
        <row r="5759">
          <cell r="C5759">
            <v>511230.01</v>
          </cell>
          <cell r="D5759" t="str">
            <v>RO 3.5X18.8</v>
          </cell>
        </row>
        <row r="5760">
          <cell r="C5760">
            <v>208835.01</v>
          </cell>
          <cell r="D5760" t="str">
            <v>NK.OR 50/25(NKI 45/25)</v>
          </cell>
        </row>
        <row r="5761">
          <cell r="C5761">
            <v>309835.01</v>
          </cell>
          <cell r="D5761" t="str">
            <v>NKI.MCG 45/25(NK 50/25)</v>
          </cell>
        </row>
        <row r="5762">
          <cell r="C5762">
            <v>511230.01</v>
          </cell>
          <cell r="D5762" t="str">
            <v>RO 3.5X18.8</v>
          </cell>
        </row>
        <row r="5763">
          <cell r="C5763">
            <v>104835.01</v>
          </cell>
          <cell r="D5763" t="str">
            <v>NKI.IR 45/25(455025)</v>
          </cell>
        </row>
        <row r="5764">
          <cell r="C5764">
            <v>208835.01</v>
          </cell>
          <cell r="D5764" t="str">
            <v>NK.OR 50/25(NKI 45/25)</v>
          </cell>
        </row>
        <row r="5765">
          <cell r="C5765">
            <v>309835.01</v>
          </cell>
          <cell r="D5765" t="str">
            <v>NKI.MCG 45/25(NK 50/25)</v>
          </cell>
        </row>
        <row r="5766">
          <cell r="C5766">
            <v>511230.01</v>
          </cell>
          <cell r="D5766" t="str">
            <v>RO 3.5X18.8</v>
          </cell>
        </row>
        <row r="5767">
          <cell r="C5767">
            <v>104836.01</v>
          </cell>
          <cell r="D5767" t="str">
            <v>NKI.IR 45/35(455035)</v>
          </cell>
        </row>
        <row r="5768">
          <cell r="C5768">
            <v>208836.01</v>
          </cell>
          <cell r="D5768" t="str">
            <v>NK.OR 50/35(NKI 45/35)</v>
          </cell>
        </row>
        <row r="5769">
          <cell r="C5769">
            <v>309836.01</v>
          </cell>
          <cell r="D5769" t="str">
            <v>NKI.MCG 45/35(NK 50/35)</v>
          </cell>
        </row>
        <row r="5770">
          <cell r="C5770">
            <v>511231.01</v>
          </cell>
          <cell r="D5770" t="str">
            <v>RO 3.5X27.8</v>
          </cell>
        </row>
        <row r="5771">
          <cell r="C5771">
            <v>208836.01</v>
          </cell>
          <cell r="D5771" t="str">
            <v>NK.OR 50/35(NKI 45/35)</v>
          </cell>
        </row>
        <row r="5772">
          <cell r="C5772">
            <v>309836.01</v>
          </cell>
          <cell r="D5772" t="str">
            <v>NKI.MCG 45/35(NK 50/35)</v>
          </cell>
        </row>
        <row r="5773">
          <cell r="C5773">
            <v>511231.01</v>
          </cell>
          <cell r="D5773" t="str">
            <v>RO 3.5X27.8</v>
          </cell>
        </row>
        <row r="5774">
          <cell r="C5774">
            <v>104836.01</v>
          </cell>
          <cell r="D5774" t="str">
            <v>NKI.IR 45/35(455035)</v>
          </cell>
        </row>
        <row r="5775">
          <cell r="C5775">
            <v>104837.01</v>
          </cell>
          <cell r="D5775" t="str">
            <v>NKI.IR 50/25(505525)</v>
          </cell>
        </row>
        <row r="5776">
          <cell r="C5776">
            <v>208837.01</v>
          </cell>
          <cell r="D5776" t="str">
            <v>NK.OR 55/25(NKI 50/25)</v>
          </cell>
        </row>
        <row r="5777">
          <cell r="C5777">
            <v>309837.01</v>
          </cell>
          <cell r="D5777" t="str">
            <v>NKI.MCG 50/25(NK 55/25)</v>
          </cell>
        </row>
        <row r="5778">
          <cell r="C5778">
            <v>511230.01</v>
          </cell>
          <cell r="D5778" t="str">
            <v>RO 3.5X18.8</v>
          </cell>
        </row>
        <row r="5779">
          <cell r="C5779">
            <v>208837.01</v>
          </cell>
          <cell r="D5779" t="str">
            <v>NK.OR 55/25(NKI 50/25)</v>
          </cell>
        </row>
        <row r="5780">
          <cell r="C5780">
            <v>309837.01</v>
          </cell>
          <cell r="D5780" t="str">
            <v>NKI.MCG 50/25(NK 55/25)</v>
          </cell>
        </row>
        <row r="5781">
          <cell r="C5781">
            <v>511230.01</v>
          </cell>
          <cell r="D5781" t="str">
            <v>RO 3.5X18.8</v>
          </cell>
        </row>
        <row r="5782">
          <cell r="C5782">
            <v>104837.01</v>
          </cell>
          <cell r="D5782" t="str">
            <v>NKI.IR 50/25(505525)</v>
          </cell>
        </row>
        <row r="5783">
          <cell r="C5783">
            <v>208837.01</v>
          </cell>
          <cell r="D5783" t="str">
            <v>NK.OR 55/25(NKI 50/25)</v>
          </cell>
        </row>
        <row r="5784">
          <cell r="C5784">
            <v>309837.01</v>
          </cell>
          <cell r="D5784" t="str">
            <v>NKI.MCG 50/25(NK 55/25)</v>
          </cell>
        </row>
        <row r="5785">
          <cell r="C5785">
            <v>511230.01</v>
          </cell>
          <cell r="D5785" t="str">
            <v>RO 3.5X18.8</v>
          </cell>
        </row>
        <row r="5786">
          <cell r="C5786">
            <v>104837.01</v>
          </cell>
          <cell r="D5786" t="str">
            <v>NKI.IR 50/25(505525)</v>
          </cell>
        </row>
        <row r="5787">
          <cell r="C5787">
            <v>208837.01</v>
          </cell>
          <cell r="D5787" t="str">
            <v>NK.OR 55/25(NKI 50/25)</v>
          </cell>
        </row>
        <row r="5788">
          <cell r="C5788">
            <v>309837.01</v>
          </cell>
          <cell r="D5788" t="str">
            <v>NKI.MCG 50/25(NK 55/25)</v>
          </cell>
        </row>
        <row r="5789">
          <cell r="C5789">
            <v>511230.01</v>
          </cell>
          <cell r="D5789" t="str">
            <v>RO 3.5X18.8</v>
          </cell>
        </row>
        <row r="5790">
          <cell r="C5790">
            <v>104838.01</v>
          </cell>
          <cell r="D5790" t="str">
            <v>NKI.IR 50/35(505535)</v>
          </cell>
        </row>
        <row r="5791">
          <cell r="C5791">
            <v>208838.01</v>
          </cell>
          <cell r="D5791" t="str">
            <v>NK.OR 55/35(NKI 50/35)</v>
          </cell>
        </row>
        <row r="5792">
          <cell r="C5792">
            <v>309838.01</v>
          </cell>
          <cell r="D5792" t="str">
            <v>NKI.MCG 50/35(NK 55/35)</v>
          </cell>
        </row>
        <row r="5793">
          <cell r="C5793">
            <v>511231.01</v>
          </cell>
          <cell r="D5793" t="str">
            <v>RO 3.5X27.8</v>
          </cell>
        </row>
        <row r="5794">
          <cell r="C5794">
            <v>208838.01</v>
          </cell>
          <cell r="D5794" t="str">
            <v>NK.OR 55/35(NKI 50/35)</v>
          </cell>
        </row>
        <row r="5795">
          <cell r="C5795">
            <v>309838.01</v>
          </cell>
          <cell r="D5795" t="str">
            <v>NKI.MCG 50/35(NK 55/35)</v>
          </cell>
        </row>
        <row r="5796">
          <cell r="C5796">
            <v>511231.01</v>
          </cell>
          <cell r="D5796" t="str">
            <v>RO 3.5X27.8</v>
          </cell>
        </row>
        <row r="5797">
          <cell r="C5797">
            <v>104838.01</v>
          </cell>
          <cell r="D5797" t="str">
            <v>NKI.IR 50/35(505535)</v>
          </cell>
        </row>
        <row r="5798">
          <cell r="C5798">
            <v>208838.01</v>
          </cell>
          <cell r="D5798" t="str">
            <v>NK.OR 55/35(NKI 50/35)</v>
          </cell>
        </row>
        <row r="5799">
          <cell r="C5799">
            <v>309838.01</v>
          </cell>
          <cell r="D5799" t="str">
            <v>NKI.MCG 50/35(NK 55/35)</v>
          </cell>
        </row>
        <row r="5800">
          <cell r="C5800">
            <v>511231.01</v>
          </cell>
          <cell r="D5800" t="str">
            <v>RO 3.5X27.8</v>
          </cell>
        </row>
        <row r="5801">
          <cell r="C5801">
            <v>104839.01</v>
          </cell>
          <cell r="D5801" t="str">
            <v>NKI.IR 55/25(556025)</v>
          </cell>
        </row>
        <row r="5802">
          <cell r="C5802">
            <v>208839.01</v>
          </cell>
          <cell r="D5802" t="str">
            <v>NK.OR 60/25(NKI 55/25)</v>
          </cell>
        </row>
        <row r="5803">
          <cell r="C5803">
            <v>309839.01</v>
          </cell>
          <cell r="D5803" t="str">
            <v>NKI.MCG 55/25(NK 60/25)</v>
          </cell>
        </row>
        <row r="5804">
          <cell r="C5804">
            <v>511230.01</v>
          </cell>
          <cell r="D5804" t="str">
            <v>RO 3.5X18.8</v>
          </cell>
        </row>
        <row r="5805">
          <cell r="C5805">
            <v>208839.01</v>
          </cell>
          <cell r="D5805" t="str">
            <v>NK.OR 60/25(NKI 55/25)</v>
          </cell>
        </row>
        <row r="5806">
          <cell r="C5806">
            <v>309839.01</v>
          </cell>
          <cell r="D5806" t="str">
            <v>NKI.MCG 55/25(NK 60/25)</v>
          </cell>
        </row>
        <row r="5807">
          <cell r="C5807">
            <v>511230.01</v>
          </cell>
          <cell r="D5807" t="str">
            <v>RO 3.5X18.8</v>
          </cell>
        </row>
        <row r="5808">
          <cell r="C5808">
            <v>104839.01</v>
          </cell>
          <cell r="D5808" t="str">
            <v>NKI.IR 55/25(556025)</v>
          </cell>
        </row>
        <row r="5809">
          <cell r="C5809">
            <v>104840.01</v>
          </cell>
          <cell r="D5809" t="str">
            <v>NKI.IR 55/35(556035)</v>
          </cell>
        </row>
        <row r="5810">
          <cell r="C5810">
            <v>208840.01</v>
          </cell>
          <cell r="D5810" t="str">
            <v>NK.OR 60/35(NKI 55/35)</v>
          </cell>
        </row>
        <row r="5811">
          <cell r="C5811">
            <v>309840.01</v>
          </cell>
          <cell r="D5811" t="str">
            <v>NKI.MCG 55/35(NK 60/35)</v>
          </cell>
        </row>
        <row r="5812">
          <cell r="C5812">
            <v>511231.01</v>
          </cell>
          <cell r="D5812" t="str">
            <v>RO 3.5X27.8</v>
          </cell>
        </row>
        <row r="5813">
          <cell r="C5813">
            <v>208840.01</v>
          </cell>
          <cell r="D5813" t="str">
            <v>NK.OR 60/35(NKI 55/35)</v>
          </cell>
        </row>
        <row r="5814">
          <cell r="C5814">
            <v>309840.01</v>
          </cell>
          <cell r="D5814" t="str">
            <v>NKI.MCG 55/35(NK 60/35)</v>
          </cell>
        </row>
        <row r="5815">
          <cell r="C5815">
            <v>511231.01</v>
          </cell>
          <cell r="D5815" t="str">
            <v>RO 3.5X27.8</v>
          </cell>
        </row>
        <row r="5816">
          <cell r="C5816">
            <v>104840.01</v>
          </cell>
          <cell r="D5816" t="str">
            <v>NKI.IR 55/35(556035)</v>
          </cell>
        </row>
        <row r="5817">
          <cell r="C5817">
            <v>104841.01</v>
          </cell>
          <cell r="D5817" t="str">
            <v>NKI.IR 60/25(606825)</v>
          </cell>
        </row>
        <row r="5818">
          <cell r="C5818">
            <v>208841.01</v>
          </cell>
          <cell r="D5818" t="str">
            <v>NK.OR 68/25(NKI 60/25)</v>
          </cell>
        </row>
        <row r="5819">
          <cell r="C5819">
            <v>309841.01</v>
          </cell>
          <cell r="D5819" t="str">
            <v>NKI.MCG 60/25(NK 68/25)</v>
          </cell>
        </row>
        <row r="5820">
          <cell r="C5820">
            <v>511841.01</v>
          </cell>
          <cell r="D5820" t="str">
            <v>RO 4X18.8</v>
          </cell>
        </row>
        <row r="5821">
          <cell r="C5821">
            <v>208841.01</v>
          </cell>
          <cell r="D5821" t="str">
            <v>NK.OR 68/25(NKI 60/25)</v>
          </cell>
        </row>
        <row r="5822">
          <cell r="C5822">
            <v>309841.01</v>
          </cell>
          <cell r="D5822" t="str">
            <v>NKI.MCG 60/25(NK 68/25)</v>
          </cell>
        </row>
        <row r="5823">
          <cell r="C5823">
            <v>511841.01</v>
          </cell>
          <cell r="D5823" t="str">
            <v>RO 4X18.8</v>
          </cell>
        </row>
        <row r="5824">
          <cell r="C5824">
            <v>104841.01</v>
          </cell>
          <cell r="D5824" t="str">
            <v>NKI.IR 60/25(606825)</v>
          </cell>
        </row>
        <row r="5825">
          <cell r="C5825">
            <v>104842.01</v>
          </cell>
          <cell r="D5825" t="str">
            <v>NKI.IR 60/35(606835)</v>
          </cell>
        </row>
        <row r="5826">
          <cell r="C5826">
            <v>208842.01</v>
          </cell>
          <cell r="D5826" t="str">
            <v>NK.OR 68/35(NKI 60/35)</v>
          </cell>
        </row>
        <row r="5827">
          <cell r="C5827">
            <v>309842.01</v>
          </cell>
          <cell r="D5827" t="str">
            <v>NKI.MCG 60/35(NK 68/35)</v>
          </cell>
        </row>
        <row r="5828">
          <cell r="C5828">
            <v>511237.01</v>
          </cell>
          <cell r="D5828" t="str">
            <v>RO 4X27.8</v>
          </cell>
        </row>
        <row r="5829">
          <cell r="C5829">
            <v>208842.01</v>
          </cell>
          <cell r="D5829" t="str">
            <v>NK.OR 68/35(NKI 60/35)</v>
          </cell>
        </row>
        <row r="5830">
          <cell r="C5830">
            <v>309842.01</v>
          </cell>
          <cell r="D5830" t="str">
            <v>NKI.MCG 60/35(NK 68/35)</v>
          </cell>
        </row>
        <row r="5831">
          <cell r="C5831">
            <v>511237.01</v>
          </cell>
          <cell r="D5831" t="str">
            <v>RO 4X27.8</v>
          </cell>
        </row>
        <row r="5832">
          <cell r="C5832">
            <v>104842.01</v>
          </cell>
          <cell r="D5832" t="str">
            <v>NKI.IR 60/35(606835)</v>
          </cell>
        </row>
        <row r="5833">
          <cell r="C5833">
            <v>104843.01</v>
          </cell>
          <cell r="D5833" t="str">
            <v>NKI.IR 65/25(657325)</v>
          </cell>
        </row>
        <row r="5834">
          <cell r="C5834">
            <v>208843.01</v>
          </cell>
          <cell r="D5834" t="str">
            <v>NK.OR 73/25(NKI 65/25)</v>
          </cell>
        </row>
        <row r="5835">
          <cell r="C5835">
            <v>309843.01</v>
          </cell>
          <cell r="D5835" t="str">
            <v>NKI.MCG 65/25(NK 73/25)</v>
          </cell>
        </row>
        <row r="5836">
          <cell r="C5836">
            <v>511238.01</v>
          </cell>
          <cell r="D5836" t="str">
            <v>RO 5X17.8</v>
          </cell>
        </row>
        <row r="5837">
          <cell r="C5837">
            <v>208843.01</v>
          </cell>
          <cell r="D5837" t="str">
            <v>NK.OR 73/25(NKI 65/25)</v>
          </cell>
        </row>
        <row r="5838">
          <cell r="C5838">
            <v>309843.01</v>
          </cell>
          <cell r="D5838" t="str">
            <v>NKI.MCG 65/25(NK 73/25)</v>
          </cell>
        </row>
        <row r="5839">
          <cell r="C5839">
            <v>511238.01</v>
          </cell>
          <cell r="D5839" t="str">
            <v>RO 5X17.8</v>
          </cell>
        </row>
        <row r="5840">
          <cell r="C5840">
            <v>104843.01</v>
          </cell>
          <cell r="D5840" t="str">
            <v>NKI.IR 65/25(657325)</v>
          </cell>
        </row>
        <row r="5841">
          <cell r="C5841">
            <v>104844.01</v>
          </cell>
          <cell r="D5841" t="str">
            <v>NKI.IR 65/35(657335)</v>
          </cell>
        </row>
        <row r="5842">
          <cell r="C5842">
            <v>208844.01</v>
          </cell>
          <cell r="D5842" t="str">
            <v>NK.OR 73/35(NKI 65/35)</v>
          </cell>
        </row>
        <row r="5843">
          <cell r="C5843">
            <v>309844.01</v>
          </cell>
          <cell r="D5843" t="str">
            <v>NKI.MCG 65/35(NK 73/35)</v>
          </cell>
        </row>
        <row r="5844">
          <cell r="C5844">
            <v>511915.02</v>
          </cell>
          <cell r="D5844" t="str">
            <v>RO 5X27.8</v>
          </cell>
        </row>
        <row r="5845">
          <cell r="C5845">
            <v>208844.01</v>
          </cell>
          <cell r="D5845" t="str">
            <v>NK.OR 73/35(NKI 65/35)</v>
          </cell>
        </row>
        <row r="5846">
          <cell r="C5846">
            <v>309844.01</v>
          </cell>
          <cell r="D5846" t="str">
            <v>NKI.MCG 65/35(NK 73/35)</v>
          </cell>
        </row>
        <row r="5847">
          <cell r="C5847">
            <v>511683</v>
          </cell>
          <cell r="D5847" t="str">
            <v>RO 5.5X27.8</v>
          </cell>
        </row>
        <row r="5848">
          <cell r="C5848">
            <v>104844.01</v>
          </cell>
          <cell r="D5848" t="str">
            <v>NKI.IR 65/35(657335)</v>
          </cell>
        </row>
        <row r="5849">
          <cell r="C5849">
            <v>104845.01</v>
          </cell>
          <cell r="D5849" t="str">
            <v>NKI.IR 70/25(708025)</v>
          </cell>
        </row>
        <row r="5850">
          <cell r="C5850">
            <v>208845.01</v>
          </cell>
          <cell r="D5850" t="str">
            <v>NK.OR 80/25(NKI 70/25)</v>
          </cell>
        </row>
        <row r="5851">
          <cell r="C5851">
            <v>309845.01</v>
          </cell>
          <cell r="D5851" t="str">
            <v>NKI.MCG 70/25(NK 80/25)</v>
          </cell>
        </row>
        <row r="5852">
          <cell r="C5852">
            <v>511845.01</v>
          </cell>
          <cell r="D5852" t="str">
            <v>RO 4.5X18.8</v>
          </cell>
        </row>
        <row r="5853">
          <cell r="C5853">
            <v>208845.01</v>
          </cell>
          <cell r="D5853" t="str">
            <v>NK.OR 80/25(NKI 70/25)</v>
          </cell>
        </row>
        <row r="5854">
          <cell r="C5854">
            <v>309845.01</v>
          </cell>
          <cell r="D5854" t="str">
            <v>NKI.MCG 70/25(NK 80/25)</v>
          </cell>
        </row>
        <row r="5855">
          <cell r="C5855">
            <v>511845.01</v>
          </cell>
          <cell r="D5855" t="str">
            <v>RO 4.5X18.8</v>
          </cell>
        </row>
        <row r="5856">
          <cell r="C5856">
            <v>104845.01</v>
          </cell>
          <cell r="D5856" t="str">
            <v>NKI.IR 70/25(708025)</v>
          </cell>
        </row>
        <row r="5857">
          <cell r="C5857">
            <v>104846.01</v>
          </cell>
          <cell r="D5857" t="str">
            <v>NKI.IR 70/35(708035)</v>
          </cell>
        </row>
        <row r="5858">
          <cell r="C5858">
            <v>208846.01</v>
          </cell>
          <cell r="D5858" t="str">
            <v>NK.OR 80/35(NKI 70/35)</v>
          </cell>
        </row>
        <row r="5859">
          <cell r="C5859">
            <v>309846.01</v>
          </cell>
          <cell r="D5859" t="str">
            <v>NKI.MCG 70/35(NK 80/35)</v>
          </cell>
        </row>
        <row r="5860">
          <cell r="C5860">
            <v>511846.01</v>
          </cell>
          <cell r="D5860" t="str">
            <v>RO 4.5X28.8</v>
          </cell>
        </row>
        <row r="5861">
          <cell r="C5861">
            <v>208846.01</v>
          </cell>
          <cell r="D5861" t="str">
            <v>NK.OR 80/35(NKI 70/35)</v>
          </cell>
        </row>
        <row r="5862">
          <cell r="C5862">
            <v>309846.01</v>
          </cell>
          <cell r="D5862" t="str">
            <v>NKI.MCG 70/35(NK 80/35)</v>
          </cell>
        </row>
        <row r="5863">
          <cell r="C5863">
            <v>511846.01</v>
          </cell>
          <cell r="D5863" t="str">
            <v>RO 4.5X28.8</v>
          </cell>
        </row>
        <row r="5864">
          <cell r="C5864">
            <v>104846.01</v>
          </cell>
          <cell r="D5864" t="str">
            <v>NKI.IR 70/35(708035)</v>
          </cell>
        </row>
        <row r="5865">
          <cell r="C5865">
            <v>104847.01</v>
          </cell>
          <cell r="D5865" t="str">
            <v>NKI.IR 75/25(758525)</v>
          </cell>
        </row>
        <row r="5866">
          <cell r="C5866">
            <v>208847.01</v>
          </cell>
          <cell r="D5866" t="str">
            <v>NK.OR 85/25(NKI 75/25)</v>
          </cell>
        </row>
        <row r="5867">
          <cell r="C5867">
            <v>309847.01</v>
          </cell>
          <cell r="D5867" t="str">
            <v>NKI.MCG 75/25(NK 85/25)</v>
          </cell>
        </row>
        <row r="5868">
          <cell r="C5868">
            <v>208847.01</v>
          </cell>
          <cell r="D5868" t="str">
            <v>NK.OR 85/25(NKI 75/25)</v>
          </cell>
        </row>
        <row r="5869">
          <cell r="C5869">
            <v>309847.01</v>
          </cell>
          <cell r="D5869" t="str">
            <v>NKI.MCG 75/25(NK 85/25)</v>
          </cell>
        </row>
        <row r="5870">
          <cell r="C5870">
            <v>104847.01</v>
          </cell>
          <cell r="D5870" t="str">
            <v>NKI.IR 75/25(758525)</v>
          </cell>
        </row>
        <row r="5871">
          <cell r="C5871">
            <v>104848.01</v>
          </cell>
          <cell r="D5871" t="str">
            <v>NKI.IR 75/35(758535)</v>
          </cell>
        </row>
        <row r="5872">
          <cell r="C5872">
            <v>208848.01</v>
          </cell>
          <cell r="D5872" t="str">
            <v>NK.OR 85/35(NKI 75/35)</v>
          </cell>
        </row>
        <row r="5873">
          <cell r="C5873">
            <v>309848.01</v>
          </cell>
          <cell r="D5873" t="str">
            <v>NKI.MCG 75/35(NK 85/35)</v>
          </cell>
        </row>
        <row r="5874">
          <cell r="C5874">
            <v>208848.01</v>
          </cell>
          <cell r="D5874" t="str">
            <v>NK.OR 85/35(NKI 75/35)</v>
          </cell>
        </row>
        <row r="5875">
          <cell r="C5875">
            <v>309848.01</v>
          </cell>
          <cell r="D5875" t="str">
            <v>NKI.MCG 75/35(NK 85/35)</v>
          </cell>
        </row>
        <row r="5876">
          <cell r="C5876">
            <v>104848.01</v>
          </cell>
          <cell r="D5876" t="str">
            <v>NKI.IR 75/35(758535)</v>
          </cell>
        </row>
        <row r="5877">
          <cell r="C5877">
            <v>104849.01</v>
          </cell>
          <cell r="D5877" t="str">
            <v>NKI.IR 80/25(809025)</v>
          </cell>
        </row>
        <row r="5878">
          <cell r="C5878">
            <v>104849.01</v>
          </cell>
          <cell r="D5878" t="str">
            <v>NKI.IR 80/25(809025)</v>
          </cell>
        </row>
        <row r="5879">
          <cell r="C5879">
            <v>208849.01</v>
          </cell>
          <cell r="D5879" t="str">
            <v>NK.OR 90/25(NKI 80/25)</v>
          </cell>
        </row>
        <row r="5880">
          <cell r="C5880">
            <v>208849.01</v>
          </cell>
          <cell r="D5880" t="str">
            <v>NK.OR 90/25(NKI 80/25)</v>
          </cell>
        </row>
        <row r="5881">
          <cell r="C5881">
            <v>309849.01</v>
          </cell>
          <cell r="D5881" t="str">
            <v>NKI.MCG 80/25(NK 90/25)</v>
          </cell>
        </row>
        <row r="5882">
          <cell r="C5882">
            <v>309849.01</v>
          </cell>
          <cell r="D5882" t="str">
            <v>NKI.MCG 80/25(NK 90/25)</v>
          </cell>
        </row>
        <row r="5883">
          <cell r="C5883">
            <v>511849.01</v>
          </cell>
          <cell r="D5883" t="str">
            <v>RO 6.5X18.8</v>
          </cell>
        </row>
        <row r="5884">
          <cell r="C5884">
            <v>511849.01</v>
          </cell>
          <cell r="D5884" t="str">
            <v>RO 6.5X18.8</v>
          </cell>
        </row>
        <row r="5885">
          <cell r="C5885">
            <v>208849.01</v>
          </cell>
          <cell r="D5885" t="str">
            <v>NK.OR 90/25(NKI 80/25)</v>
          </cell>
        </row>
        <row r="5886">
          <cell r="C5886">
            <v>309849.01</v>
          </cell>
          <cell r="D5886" t="str">
            <v>NKI.MCG 80/25(NK 90/25)</v>
          </cell>
        </row>
        <row r="5887">
          <cell r="C5887">
            <v>511849.01</v>
          </cell>
          <cell r="D5887" t="str">
            <v>RO 6.5X18.8</v>
          </cell>
        </row>
        <row r="5888">
          <cell r="C5888">
            <v>104849.01</v>
          </cell>
          <cell r="D5888" t="str">
            <v>NKI.IR 80/25(809025)</v>
          </cell>
        </row>
        <row r="5889">
          <cell r="C5889">
            <v>104850.01</v>
          </cell>
          <cell r="D5889" t="str">
            <v>NKI.IR 80/35(809035)</v>
          </cell>
        </row>
        <row r="5890">
          <cell r="C5890">
            <v>208850.01</v>
          </cell>
          <cell r="D5890" t="str">
            <v>NK.OR 90/35(NKI 80/35)</v>
          </cell>
        </row>
        <row r="5891">
          <cell r="C5891">
            <v>309850.01</v>
          </cell>
          <cell r="D5891" t="str">
            <v>NKI.MCG 80/35(NK 90/35)</v>
          </cell>
        </row>
        <row r="5892">
          <cell r="C5892">
            <v>511318.01</v>
          </cell>
          <cell r="D5892" t="str">
            <v>RO 6.5X27.8</v>
          </cell>
        </row>
        <row r="5893">
          <cell r="C5893">
            <v>208850.01</v>
          </cell>
          <cell r="D5893" t="str">
            <v>NK.OR 90/35(NKI 80/35)</v>
          </cell>
        </row>
        <row r="5894">
          <cell r="C5894">
            <v>309850.01</v>
          </cell>
          <cell r="D5894" t="str">
            <v>NKI.MCG 80/35(NK 90/35)</v>
          </cell>
        </row>
        <row r="5895">
          <cell r="C5895">
            <v>511318.01</v>
          </cell>
          <cell r="D5895" t="str">
            <v>RO 6.5X27.8</v>
          </cell>
        </row>
        <row r="5896">
          <cell r="C5896">
            <v>104850.01</v>
          </cell>
          <cell r="D5896" t="str">
            <v>NKI.IR 80/35(809035)</v>
          </cell>
        </row>
        <row r="5897">
          <cell r="C5897">
            <v>104851.01</v>
          </cell>
          <cell r="D5897" t="str">
            <v>NKI.IR 85/26(859526)</v>
          </cell>
        </row>
        <row r="5898">
          <cell r="C5898">
            <v>208851.01</v>
          </cell>
          <cell r="D5898" t="str">
            <v>NK.OR 95/26(NKI 85/26)</v>
          </cell>
        </row>
        <row r="5899">
          <cell r="C5899">
            <v>309851.01</v>
          </cell>
          <cell r="D5899" t="str">
            <v>NKI.MCG 85/26(NK 95/26)</v>
          </cell>
        </row>
        <row r="5900">
          <cell r="C5900">
            <v>208851.01</v>
          </cell>
          <cell r="D5900" t="str">
            <v>NK.OR 95/26(NKI 85/26)</v>
          </cell>
        </row>
        <row r="5901">
          <cell r="C5901">
            <v>309851.01</v>
          </cell>
          <cell r="D5901" t="str">
            <v>NKI.MCG 85/26(NK 95/26)</v>
          </cell>
        </row>
        <row r="5902">
          <cell r="C5902">
            <v>511852.02</v>
          </cell>
          <cell r="D5902" t="str">
            <v>RO 6.5X18</v>
          </cell>
        </row>
        <row r="5903">
          <cell r="C5903">
            <v>104851.01</v>
          </cell>
          <cell r="D5903" t="str">
            <v>NKI.IR 85/26(859526)</v>
          </cell>
        </row>
        <row r="5904">
          <cell r="C5904">
            <v>208851.01</v>
          </cell>
          <cell r="D5904" t="str">
            <v>NK.OR 95/26(NKI 85/26)</v>
          </cell>
        </row>
        <row r="5905">
          <cell r="C5905">
            <v>208851.01</v>
          </cell>
          <cell r="D5905" t="str">
            <v>NK.OR 95/26(NKI 85/26)</v>
          </cell>
        </row>
        <row r="5906">
          <cell r="C5906">
            <v>309851.01</v>
          </cell>
          <cell r="D5906" t="str">
            <v>NKI.MCG 85/26(NK 95/26)</v>
          </cell>
        </row>
        <row r="5907">
          <cell r="C5907">
            <v>309851.01</v>
          </cell>
          <cell r="D5907" t="str">
            <v>NKI.MCG 85/26(NK 95/26)</v>
          </cell>
        </row>
        <row r="5908">
          <cell r="C5908">
            <v>511852.02</v>
          </cell>
          <cell r="D5908" t="str">
            <v>RO 6.5X18</v>
          </cell>
        </row>
        <row r="5909">
          <cell r="C5909">
            <v>104852.01</v>
          </cell>
          <cell r="D5909" t="str">
            <v>NKI.IR 85/36(859536)</v>
          </cell>
        </row>
        <row r="5910">
          <cell r="C5910">
            <v>208852.01</v>
          </cell>
          <cell r="D5910" t="str">
            <v>NK.OR 95/36(NKI 85/36)</v>
          </cell>
        </row>
        <row r="5911">
          <cell r="C5911">
            <v>309852.01</v>
          </cell>
          <cell r="D5911" t="str">
            <v>NKI.MCG 85/36(NK 95/36)</v>
          </cell>
        </row>
        <row r="5912">
          <cell r="C5912">
            <v>208852.01</v>
          </cell>
          <cell r="D5912" t="str">
            <v>NK.OR 95/36(NKI 85/36)</v>
          </cell>
        </row>
        <row r="5913">
          <cell r="C5913">
            <v>309852.01</v>
          </cell>
          <cell r="D5913" t="str">
            <v>NKI.MCG 85/36(NK 95/36)</v>
          </cell>
        </row>
        <row r="5914">
          <cell r="C5914">
            <v>511852.02</v>
          </cell>
          <cell r="D5914" t="str">
            <v>RO 6.5X18</v>
          </cell>
        </row>
        <row r="5915">
          <cell r="C5915">
            <v>104852.01</v>
          </cell>
          <cell r="D5915" t="str">
            <v>NKI.IR 85/36(859536)</v>
          </cell>
        </row>
        <row r="5916">
          <cell r="C5916">
            <v>104853.01</v>
          </cell>
          <cell r="D5916" t="str">
            <v>NKI.IR 90/26(9010026)</v>
          </cell>
        </row>
        <row r="5917">
          <cell r="C5917">
            <v>208853.01</v>
          </cell>
          <cell r="D5917" t="str">
            <v>NK.OR 100/26(NKI 90/26)</v>
          </cell>
        </row>
        <row r="5918">
          <cell r="C5918">
            <v>309853.01</v>
          </cell>
          <cell r="D5918" t="str">
            <v>NKI.MCG 90/26(NK 100/26)</v>
          </cell>
        </row>
        <row r="5919">
          <cell r="C5919">
            <v>511853.01</v>
          </cell>
          <cell r="D5919" t="str">
            <v>RO 6.5X17.8</v>
          </cell>
        </row>
        <row r="5920">
          <cell r="C5920">
            <v>208853.01</v>
          </cell>
          <cell r="D5920" t="str">
            <v>NK.OR 100/26(NKI 90/26)</v>
          </cell>
        </row>
        <row r="5921">
          <cell r="C5921">
            <v>309853.01</v>
          </cell>
          <cell r="D5921" t="str">
            <v>NKI.MCG 90/26(NK 100/26)</v>
          </cell>
        </row>
        <row r="5922">
          <cell r="C5922">
            <v>511852.02</v>
          </cell>
          <cell r="D5922" t="str">
            <v>RO 6.5X18</v>
          </cell>
        </row>
        <row r="5923">
          <cell r="C5923">
            <v>104853.01</v>
          </cell>
          <cell r="D5923" t="str">
            <v>NKI.IR 90/26(9010026)</v>
          </cell>
        </row>
        <row r="5924">
          <cell r="C5924">
            <v>104854.01</v>
          </cell>
          <cell r="D5924" t="str">
            <v>NKI.IR 90/36(9010036)</v>
          </cell>
        </row>
        <row r="5925">
          <cell r="C5925">
            <v>208854.01</v>
          </cell>
          <cell r="D5925" t="str">
            <v>NK.OR 100/36(NKI 90/36)</v>
          </cell>
        </row>
        <row r="5926">
          <cell r="C5926">
            <v>309854.01</v>
          </cell>
          <cell r="D5926" t="str">
            <v>NKI.MCG 90/36(NK 100/36)</v>
          </cell>
        </row>
        <row r="5927">
          <cell r="C5927">
            <v>208854.01</v>
          </cell>
          <cell r="D5927" t="str">
            <v>NK.OR 100/36(NKI 90/36)</v>
          </cell>
        </row>
        <row r="5928">
          <cell r="C5928">
            <v>309854.01</v>
          </cell>
          <cell r="D5928" t="str">
            <v>NKI.MCG 90/36(NK 100/36)</v>
          </cell>
        </row>
        <row r="5929">
          <cell r="C5929">
            <v>104854.01</v>
          </cell>
          <cell r="D5929" t="str">
            <v>NKI.IR 90/36(9010036)</v>
          </cell>
        </row>
        <row r="5930">
          <cell r="C5930">
            <v>104855.01</v>
          </cell>
          <cell r="D5930" t="str">
            <v>NKI.IR 95/26(9510526)</v>
          </cell>
        </row>
        <row r="5931">
          <cell r="C5931">
            <v>208855.01</v>
          </cell>
          <cell r="D5931" t="str">
            <v>NK.OR 105/26(NKI 95/26)</v>
          </cell>
        </row>
        <row r="5932">
          <cell r="C5932">
            <v>309855.01</v>
          </cell>
          <cell r="D5932" t="str">
            <v>NKI.MCG 95/26(NK 105/26)</v>
          </cell>
        </row>
        <row r="5933">
          <cell r="C5933">
            <v>511852.02</v>
          </cell>
          <cell r="D5933" t="str">
            <v>RO 6.5X18</v>
          </cell>
        </row>
        <row r="5934">
          <cell r="C5934">
            <v>208855.01</v>
          </cell>
          <cell r="D5934" t="str">
            <v>NK.OR 105/26(NKI 95/26)</v>
          </cell>
        </row>
        <row r="5935">
          <cell r="C5935">
            <v>309855.01</v>
          </cell>
          <cell r="D5935" t="str">
            <v>NKI.MCG 95/26(NK 105/26)</v>
          </cell>
        </row>
        <row r="5936">
          <cell r="C5936">
            <v>104855.01</v>
          </cell>
          <cell r="D5936" t="str">
            <v>NKI.IR 95/26(9510526)</v>
          </cell>
        </row>
        <row r="5937">
          <cell r="C5937">
            <v>104856.01</v>
          </cell>
          <cell r="D5937" t="str">
            <v>NKI.IR 95/36(9510536)</v>
          </cell>
        </row>
        <row r="5938">
          <cell r="C5938">
            <v>208856.01</v>
          </cell>
          <cell r="D5938" t="str">
            <v>NK.OR 105/36(NKI 95/36)</v>
          </cell>
        </row>
        <row r="5939">
          <cell r="C5939">
            <v>309856.01</v>
          </cell>
          <cell r="D5939" t="str">
            <v>NKI.MCG 95/36(NK 105/36)</v>
          </cell>
        </row>
        <row r="5940">
          <cell r="C5940">
            <v>511999</v>
          </cell>
          <cell r="D5940" t="str">
            <v>RO 6X26.8</v>
          </cell>
        </row>
        <row r="5941">
          <cell r="C5941">
            <v>208856.01</v>
          </cell>
          <cell r="D5941" t="str">
            <v>NK.OR 105/36(NKI 95/36)</v>
          </cell>
        </row>
        <row r="5942">
          <cell r="C5942">
            <v>309856.01</v>
          </cell>
          <cell r="D5942" t="str">
            <v>NKI.MCG 95/36(NK 105/36)</v>
          </cell>
        </row>
        <row r="5943">
          <cell r="C5943">
            <v>511999</v>
          </cell>
          <cell r="D5943" t="str">
            <v>RO 6X26.8</v>
          </cell>
        </row>
        <row r="5944">
          <cell r="C5944">
            <v>104856.01</v>
          </cell>
          <cell r="D5944" t="str">
            <v>NKI.IR 95/36(9510536)</v>
          </cell>
        </row>
        <row r="5945">
          <cell r="C5945">
            <v>104857.01</v>
          </cell>
          <cell r="D5945" t="str">
            <v>NKI.IR 22/20(222620)</v>
          </cell>
        </row>
        <row r="5946">
          <cell r="C5946">
            <v>208857.01</v>
          </cell>
          <cell r="D5946" t="str">
            <v>NK.OR 26/20(NKI 22/20)</v>
          </cell>
        </row>
        <row r="5947">
          <cell r="C5947">
            <v>309857.01</v>
          </cell>
          <cell r="D5947" t="str">
            <v>NKI.MCG 22/20(NK 26/20)</v>
          </cell>
        </row>
        <row r="5948">
          <cell r="C5948">
            <v>511209.01</v>
          </cell>
          <cell r="D5948" t="str">
            <v>RO 2.5X16.8</v>
          </cell>
        </row>
        <row r="5949">
          <cell r="C5949">
            <v>208857.01</v>
          </cell>
          <cell r="D5949" t="str">
            <v>NK.OR 26/20(NKI 22/20)</v>
          </cell>
        </row>
        <row r="5950">
          <cell r="C5950">
            <v>309857.01</v>
          </cell>
          <cell r="D5950" t="str">
            <v>NKI.MCG 22/20(NK 26/20)</v>
          </cell>
        </row>
        <row r="5951">
          <cell r="C5951">
            <v>511209.01</v>
          </cell>
          <cell r="D5951" t="str">
            <v>RO 2.5X16.8</v>
          </cell>
        </row>
        <row r="5952">
          <cell r="C5952">
            <v>104857.01</v>
          </cell>
          <cell r="D5952" t="str">
            <v>NKI.IR 22/20(222620)</v>
          </cell>
        </row>
        <row r="5953">
          <cell r="C5953">
            <v>104858</v>
          </cell>
          <cell r="D5953" t="str">
            <v>NBI.IR 95002            F</v>
          </cell>
        </row>
        <row r="5954">
          <cell r="C5954">
            <v>208858</v>
          </cell>
          <cell r="D5954" t="str">
            <v>NBI.OR 95002            F</v>
          </cell>
        </row>
        <row r="5955">
          <cell r="C5955">
            <v>309858</v>
          </cell>
          <cell r="D5955" t="str">
            <v>NBI.MCG 95002</v>
          </cell>
        </row>
        <row r="5956">
          <cell r="C5956">
            <v>511264.01</v>
          </cell>
          <cell r="D5956" t="str">
            <v>RO 3X19.8 BR</v>
          </cell>
        </row>
        <row r="5957">
          <cell r="C5957">
            <v>208858</v>
          </cell>
          <cell r="D5957" t="str">
            <v>NBI.OR 95002            F</v>
          </cell>
        </row>
        <row r="5958">
          <cell r="C5958">
            <v>309858</v>
          </cell>
          <cell r="D5958" t="str">
            <v>NBI.MCG 95002</v>
          </cell>
        </row>
        <row r="5959">
          <cell r="C5959">
            <v>511264.01</v>
          </cell>
          <cell r="D5959" t="str">
            <v>RO 3X19.8 BR</v>
          </cell>
        </row>
        <row r="5960">
          <cell r="C5960">
            <v>104858</v>
          </cell>
          <cell r="D5960" t="str">
            <v>NBI.IR 95002            F</v>
          </cell>
        </row>
        <row r="5961">
          <cell r="C5961">
            <v>208868.01</v>
          </cell>
          <cell r="D5961" t="str">
            <v>NK.OR 65/35</v>
          </cell>
        </row>
        <row r="5962">
          <cell r="C5962">
            <v>309868.01</v>
          </cell>
          <cell r="D5962" t="str">
            <v>NK.MCG 65/35</v>
          </cell>
        </row>
        <row r="5963">
          <cell r="C5963">
            <v>511231.01</v>
          </cell>
          <cell r="D5963" t="str">
            <v>RO 3.5X27.8</v>
          </cell>
        </row>
        <row r="5964">
          <cell r="C5964">
            <v>208869.02</v>
          </cell>
          <cell r="D5964" t="str">
            <v>NK.OR 65/25</v>
          </cell>
        </row>
        <row r="5965">
          <cell r="C5965">
            <v>309869.02</v>
          </cell>
          <cell r="D5965" t="str">
            <v>NK.MCG 65/25</v>
          </cell>
        </row>
        <row r="5966">
          <cell r="C5966">
            <v>511230.01</v>
          </cell>
          <cell r="D5966" t="str">
            <v>RO 3.5X18.8</v>
          </cell>
        </row>
        <row r="5967">
          <cell r="C5967">
            <v>208880.01</v>
          </cell>
          <cell r="D5967" t="str">
            <v>NK.OR 15/16</v>
          </cell>
        </row>
        <row r="5968">
          <cell r="C5968">
            <v>309880.01</v>
          </cell>
          <cell r="D5968" t="str">
            <v>NK.MCG 15/16</v>
          </cell>
        </row>
        <row r="5969">
          <cell r="C5969">
            <v>511270.01</v>
          </cell>
          <cell r="D5969" t="str">
            <v>RO 2.5X12.8</v>
          </cell>
        </row>
        <row r="5970">
          <cell r="C5970">
            <v>208881.01</v>
          </cell>
          <cell r="D5970" t="str">
            <v>NK.OR 15/20</v>
          </cell>
        </row>
        <row r="5971">
          <cell r="C5971">
            <v>309881.01</v>
          </cell>
          <cell r="D5971" t="str">
            <v>NK.MCG 15/20</v>
          </cell>
        </row>
        <row r="5972">
          <cell r="C5972">
            <v>511209.01</v>
          </cell>
          <cell r="D5972" t="str">
            <v>RO 2.5X16.8</v>
          </cell>
        </row>
        <row r="5973">
          <cell r="C5973">
            <v>208881.01</v>
          </cell>
          <cell r="D5973" t="str">
            <v>NK.OR 15/20</v>
          </cell>
        </row>
        <row r="5974">
          <cell r="C5974">
            <v>309881.01</v>
          </cell>
          <cell r="D5974" t="str">
            <v>NK.MCG 15/20</v>
          </cell>
        </row>
        <row r="5975">
          <cell r="C5975">
            <v>511209.01</v>
          </cell>
          <cell r="D5975" t="str">
            <v>RO 2.5X16.8</v>
          </cell>
        </row>
        <row r="5976">
          <cell r="C5976">
            <v>208882.01</v>
          </cell>
          <cell r="D5976" t="str">
            <v>NK.OR 17/16</v>
          </cell>
        </row>
        <row r="5977">
          <cell r="C5977">
            <v>309882.01</v>
          </cell>
          <cell r="D5977" t="str">
            <v>NK.MCG 17/16</v>
          </cell>
        </row>
        <row r="5978">
          <cell r="C5978">
            <v>511270.01</v>
          </cell>
          <cell r="D5978" t="str">
            <v>RO 2.5X12.8</v>
          </cell>
        </row>
        <row r="5979">
          <cell r="C5979">
            <v>208883.01</v>
          </cell>
          <cell r="D5979" t="str">
            <v>NK.OR 17/20</v>
          </cell>
        </row>
        <row r="5980">
          <cell r="C5980">
            <v>309883.01</v>
          </cell>
          <cell r="D5980" t="str">
            <v>NK.MCG 17/20</v>
          </cell>
        </row>
        <row r="5981">
          <cell r="C5981">
            <v>511209.01</v>
          </cell>
          <cell r="D5981" t="str">
            <v>RO 2.5X16.8</v>
          </cell>
        </row>
        <row r="5982">
          <cell r="C5982">
            <v>200883.5</v>
          </cell>
          <cell r="D5982" t="str">
            <v>NK.OR 17/20 SPL</v>
          </cell>
        </row>
        <row r="5983">
          <cell r="C5983">
            <v>300883.5</v>
          </cell>
          <cell r="D5983" t="str">
            <v>NK.MCG 17/20 SPL</v>
          </cell>
        </row>
        <row r="5984">
          <cell r="C5984">
            <v>500883.5</v>
          </cell>
          <cell r="D5984" t="str">
            <v>RO 2X15.8 BP</v>
          </cell>
        </row>
        <row r="5985">
          <cell r="C5985">
            <v>208884.01</v>
          </cell>
          <cell r="D5985" t="str">
            <v>NK.OR 18/16</v>
          </cell>
        </row>
        <row r="5986">
          <cell r="C5986">
            <v>309884.01</v>
          </cell>
          <cell r="D5986" t="str">
            <v>NK.MCG 18/16</v>
          </cell>
        </row>
        <row r="5987">
          <cell r="C5987">
            <v>511270.01</v>
          </cell>
          <cell r="D5987" t="str">
            <v>RO 2.5X12.8</v>
          </cell>
        </row>
        <row r="5988">
          <cell r="C5988">
            <v>200884.1</v>
          </cell>
          <cell r="D5988" t="str">
            <v>RPNA.OR 18/32</v>
          </cell>
        </row>
        <row r="5989">
          <cell r="C5989">
            <v>200884.2</v>
          </cell>
          <cell r="D5989" t="str">
            <v>RPNA.SHELL 18/32</v>
          </cell>
        </row>
        <row r="5990">
          <cell r="C5990">
            <v>300884.09999999998</v>
          </cell>
          <cell r="D5990" t="str">
            <v>RPNA.MCG 18/32</v>
          </cell>
        </row>
        <row r="5991">
          <cell r="C5991">
            <v>511270.01</v>
          </cell>
          <cell r="D5991" t="str">
            <v>RO 2.5X12.8</v>
          </cell>
        </row>
        <row r="5992">
          <cell r="C5992">
            <v>700884.1</v>
          </cell>
          <cell r="D5992" t="str">
            <v>RPNA.N.SEALB  18/32</v>
          </cell>
        </row>
        <row r="5993">
          <cell r="C5993">
            <v>700884.2</v>
          </cell>
          <cell r="D5993" t="str">
            <v>RPNA.N.SEALP  18/32</v>
          </cell>
        </row>
        <row r="5994">
          <cell r="C5994">
            <v>208885.01</v>
          </cell>
          <cell r="D5994" t="str">
            <v>NK.OR 18/20</v>
          </cell>
        </row>
        <row r="5995">
          <cell r="C5995">
            <v>309885.01</v>
          </cell>
          <cell r="D5995" t="str">
            <v>NK.MCG 18/20</v>
          </cell>
        </row>
        <row r="5996">
          <cell r="C5996">
            <v>511209.01</v>
          </cell>
          <cell r="D5996" t="str">
            <v>RO 2.5X16.8</v>
          </cell>
        </row>
        <row r="5997">
          <cell r="C5997">
            <v>208886.01</v>
          </cell>
          <cell r="D5997" t="str">
            <v>NK.OR 20/16</v>
          </cell>
        </row>
        <row r="5998">
          <cell r="C5998">
            <v>309886.01</v>
          </cell>
          <cell r="D5998" t="str">
            <v>NK.MCG 20/16</v>
          </cell>
        </row>
        <row r="5999">
          <cell r="C5999">
            <v>511270.01</v>
          </cell>
          <cell r="D5999" t="str">
            <v>RO 2.5X12.8</v>
          </cell>
        </row>
        <row r="6000">
          <cell r="C6000">
            <v>200886.1</v>
          </cell>
          <cell r="D6000" t="str">
            <v>RPNA.OR 20/35</v>
          </cell>
        </row>
        <row r="6001">
          <cell r="C6001">
            <v>200886.2</v>
          </cell>
          <cell r="D6001" t="str">
            <v>RPNA.SHELL 20/35</v>
          </cell>
        </row>
        <row r="6002">
          <cell r="C6002">
            <v>300886.09999999998</v>
          </cell>
          <cell r="D6002" t="str">
            <v>RPNA.MCG 20/35</v>
          </cell>
        </row>
        <row r="6003">
          <cell r="C6003">
            <v>511270.01</v>
          </cell>
          <cell r="D6003" t="str">
            <v>RO 2.5X12.8</v>
          </cell>
        </row>
        <row r="6004">
          <cell r="C6004">
            <v>700886.1</v>
          </cell>
          <cell r="D6004" t="str">
            <v>RPNA.N.SEALB 20/35</v>
          </cell>
        </row>
        <row r="6005">
          <cell r="C6005">
            <v>700886.2</v>
          </cell>
          <cell r="D6005" t="str">
            <v>RPNA.N.SEALP 20/35</v>
          </cell>
        </row>
        <row r="6006">
          <cell r="C6006">
            <v>208886.01</v>
          </cell>
          <cell r="D6006" t="str">
            <v>NK.OR 20/16</v>
          </cell>
        </row>
        <row r="6007">
          <cell r="C6007">
            <v>309886.01</v>
          </cell>
          <cell r="D6007" t="str">
            <v>NK.MCG 20/16</v>
          </cell>
        </row>
        <row r="6008">
          <cell r="C6008">
            <v>511270.01</v>
          </cell>
          <cell r="D6008" t="str">
            <v>RO 2.5X12.8</v>
          </cell>
        </row>
        <row r="6009">
          <cell r="C6009">
            <v>208887.01</v>
          </cell>
          <cell r="D6009" t="str">
            <v>NK.OR 20/20</v>
          </cell>
        </row>
        <row r="6010">
          <cell r="C6010">
            <v>309887.01</v>
          </cell>
          <cell r="D6010" t="str">
            <v>NK.MCG 20/20</v>
          </cell>
        </row>
        <row r="6011">
          <cell r="C6011">
            <v>511209.01</v>
          </cell>
          <cell r="D6011" t="str">
            <v>RO 2.5X16.8</v>
          </cell>
        </row>
        <row r="6012">
          <cell r="C6012">
            <v>208888.01</v>
          </cell>
          <cell r="D6012" t="str">
            <v>NK.OR 22/16</v>
          </cell>
        </row>
        <row r="6013">
          <cell r="C6013">
            <v>309888.01</v>
          </cell>
          <cell r="D6013" t="str">
            <v>NK.MCG 22/16</v>
          </cell>
        </row>
        <row r="6014">
          <cell r="C6014">
            <v>511270.01</v>
          </cell>
          <cell r="D6014" t="str">
            <v>RO 2.5X12.8</v>
          </cell>
        </row>
        <row r="6015">
          <cell r="C6015">
            <v>208888.01</v>
          </cell>
          <cell r="D6015" t="str">
            <v>NK.OR 22/16</v>
          </cell>
        </row>
        <row r="6016">
          <cell r="C6016">
            <v>309888.01</v>
          </cell>
          <cell r="D6016" t="str">
            <v>NK.MCG 22/16</v>
          </cell>
        </row>
        <row r="6017">
          <cell r="C6017">
            <v>511270.01</v>
          </cell>
          <cell r="D6017" t="str">
            <v>RO 2.5X12.8</v>
          </cell>
        </row>
        <row r="6018">
          <cell r="C6018">
            <v>208889.01</v>
          </cell>
          <cell r="D6018" t="str">
            <v>NK.OR 22/20</v>
          </cell>
        </row>
        <row r="6019">
          <cell r="C6019">
            <v>309889.01</v>
          </cell>
          <cell r="D6019" t="str">
            <v>NK.MCG 22/20</v>
          </cell>
        </row>
        <row r="6020">
          <cell r="C6020">
            <v>511209.01</v>
          </cell>
          <cell r="D6020" t="str">
            <v>RO 2.5X16.8</v>
          </cell>
        </row>
        <row r="6021">
          <cell r="C6021">
            <v>208890.01</v>
          </cell>
          <cell r="D6021" t="str">
            <v>NK.OR 25/16</v>
          </cell>
        </row>
        <row r="6022">
          <cell r="C6022">
            <v>309890.01</v>
          </cell>
          <cell r="D6022" t="str">
            <v>NK.MCG 25/16</v>
          </cell>
        </row>
        <row r="6023">
          <cell r="C6023">
            <v>511270.01</v>
          </cell>
          <cell r="D6023" t="str">
            <v>RO 2.5X12.8</v>
          </cell>
        </row>
        <row r="6024">
          <cell r="C6024">
            <v>208891.01</v>
          </cell>
          <cell r="D6024" t="str">
            <v>NK.OR 25/20</v>
          </cell>
        </row>
        <row r="6025">
          <cell r="C6025">
            <v>309891.01</v>
          </cell>
          <cell r="D6025" t="str">
            <v>NK.MCG 25/20</v>
          </cell>
        </row>
        <row r="6026">
          <cell r="C6026">
            <v>511209.01</v>
          </cell>
          <cell r="D6026" t="str">
            <v>RO 2.5X16.8</v>
          </cell>
        </row>
        <row r="6027">
          <cell r="C6027">
            <v>200891.1</v>
          </cell>
          <cell r="D6027" t="str">
            <v>RPNA.OR 25/42</v>
          </cell>
        </row>
        <row r="6028">
          <cell r="C6028">
            <v>200891.2</v>
          </cell>
          <cell r="D6028" t="str">
            <v>RPNA.SHELL 25/42</v>
          </cell>
        </row>
        <row r="6029">
          <cell r="C6029">
            <v>300891.09999999998</v>
          </cell>
          <cell r="D6029" t="str">
            <v>RPNA.MCG 25/42</v>
          </cell>
        </row>
        <row r="6030">
          <cell r="C6030">
            <v>511209.01</v>
          </cell>
          <cell r="D6030" t="str">
            <v>RO 2.5X16.8</v>
          </cell>
        </row>
        <row r="6031">
          <cell r="C6031">
            <v>700891.1</v>
          </cell>
          <cell r="D6031" t="str">
            <v>RPNA.N.SEALB 25/42</v>
          </cell>
        </row>
        <row r="6032">
          <cell r="C6032">
            <v>700891.2</v>
          </cell>
          <cell r="D6032" t="str">
            <v>RPNA.N.SEALP 25/42</v>
          </cell>
        </row>
        <row r="6033">
          <cell r="C6033">
            <v>208892.01</v>
          </cell>
          <cell r="D6033" t="str">
            <v>NK.OR 28/30</v>
          </cell>
        </row>
        <row r="6034">
          <cell r="C6034">
            <v>309892.01</v>
          </cell>
          <cell r="D6034" t="str">
            <v>NK.MCG 28/30</v>
          </cell>
        </row>
        <row r="6035">
          <cell r="C6035">
            <v>511822.01</v>
          </cell>
          <cell r="D6035" t="str">
            <v>RO 3x25.8 (NKI 28/30,32/3</v>
          </cell>
        </row>
        <row r="6036">
          <cell r="C6036">
            <v>208893.01</v>
          </cell>
          <cell r="D6036" t="str">
            <v>NK.OR 28/20</v>
          </cell>
        </row>
        <row r="6037">
          <cell r="C6037">
            <v>309893.01</v>
          </cell>
          <cell r="D6037" t="str">
            <v>NK.MCG 28/20</v>
          </cell>
        </row>
        <row r="6038">
          <cell r="C6038">
            <v>511209.01</v>
          </cell>
          <cell r="D6038" t="str">
            <v>RO 2.5X16.8</v>
          </cell>
        </row>
        <row r="6039">
          <cell r="C6039">
            <v>200893.1</v>
          </cell>
          <cell r="D6039" t="str">
            <v>RPNA.OR 28/44</v>
          </cell>
        </row>
        <row r="6040">
          <cell r="C6040">
            <v>200893.2</v>
          </cell>
          <cell r="D6040" t="str">
            <v>RPNA.SHELL 28/44</v>
          </cell>
        </row>
        <row r="6041">
          <cell r="C6041">
            <v>300893.09999999998</v>
          </cell>
          <cell r="D6041" t="str">
            <v>RPNA.MCG 28/44</v>
          </cell>
        </row>
        <row r="6042">
          <cell r="C6042">
            <v>511209.01</v>
          </cell>
          <cell r="D6042" t="str">
            <v>RO 2.5X16.8</v>
          </cell>
        </row>
        <row r="6043">
          <cell r="C6043">
            <v>700893.1</v>
          </cell>
          <cell r="D6043" t="str">
            <v>RPNA.N.SEALB 28/44</v>
          </cell>
        </row>
        <row r="6044">
          <cell r="C6044">
            <v>700893.2</v>
          </cell>
          <cell r="D6044" t="str">
            <v>RPNA.N.SEALP 28/44</v>
          </cell>
        </row>
        <row r="6045">
          <cell r="C6045">
            <v>208894.01</v>
          </cell>
          <cell r="D6045" t="str">
            <v>NK.OR 30/30</v>
          </cell>
        </row>
        <row r="6046">
          <cell r="C6046">
            <v>309894.01</v>
          </cell>
          <cell r="D6046" t="str">
            <v>NK.MCG 30/30</v>
          </cell>
        </row>
        <row r="6047">
          <cell r="C6047">
            <v>511822.01</v>
          </cell>
          <cell r="D6047" t="str">
            <v>RO 3x25.8 (NKI 28/30,32/3</v>
          </cell>
        </row>
        <row r="6048">
          <cell r="C6048">
            <v>208895.01</v>
          </cell>
          <cell r="D6048" t="str">
            <v>NK.OR 38/20</v>
          </cell>
        </row>
        <row r="6049">
          <cell r="C6049">
            <v>309895.01</v>
          </cell>
          <cell r="D6049" t="str">
            <v>NK.MCG 38/20</v>
          </cell>
        </row>
        <row r="6050">
          <cell r="C6050">
            <v>511819.01</v>
          </cell>
          <cell r="D6050" t="str">
            <v>RO 3X15.8</v>
          </cell>
        </row>
        <row r="6051">
          <cell r="C6051">
            <v>208896.01</v>
          </cell>
          <cell r="D6051" t="str">
            <v>NK.OR 42/20</v>
          </cell>
        </row>
        <row r="6052">
          <cell r="C6052">
            <v>309896.01</v>
          </cell>
          <cell r="D6052" t="str">
            <v>NK.MCG 42/20</v>
          </cell>
        </row>
        <row r="6053">
          <cell r="C6053">
            <v>511819.01</v>
          </cell>
          <cell r="D6053" t="str">
            <v>RO 3X15.8</v>
          </cell>
        </row>
        <row r="6054">
          <cell r="C6054">
            <v>208897.01</v>
          </cell>
          <cell r="D6054" t="str">
            <v>NK.OR 42/30</v>
          </cell>
        </row>
        <row r="6055">
          <cell r="C6055">
            <v>309897.01</v>
          </cell>
          <cell r="D6055" t="str">
            <v>NK.MCG 42/30</v>
          </cell>
        </row>
        <row r="6056">
          <cell r="C6056">
            <v>511822.01</v>
          </cell>
          <cell r="D6056" t="str">
            <v>RO 3x25.8 (NKI 28/30,32/3</v>
          </cell>
        </row>
        <row r="6057">
          <cell r="C6057">
            <v>208899.01</v>
          </cell>
          <cell r="D6057" t="str">
            <v>NK.OR 50/30</v>
          </cell>
        </row>
        <row r="6058">
          <cell r="C6058">
            <v>309899.01</v>
          </cell>
          <cell r="D6058" t="str">
            <v>NK.MCG 50/30</v>
          </cell>
        </row>
        <row r="6059">
          <cell r="C6059">
            <v>104900.01</v>
          </cell>
          <cell r="D6059" t="str">
            <v>NKI.IR 18/20</v>
          </cell>
        </row>
        <row r="6060">
          <cell r="C6060">
            <v>208900.01</v>
          </cell>
          <cell r="D6060" t="str">
            <v>NKI.OR 18/20</v>
          </cell>
        </row>
        <row r="6061">
          <cell r="C6061">
            <v>309900.01</v>
          </cell>
          <cell r="D6061" t="str">
            <v>NKI.MCG 18/20</v>
          </cell>
        </row>
        <row r="6062">
          <cell r="C6062">
            <v>208909.01</v>
          </cell>
          <cell r="D6062" t="str">
            <v>NK.OR 70/25</v>
          </cell>
        </row>
        <row r="6063">
          <cell r="C6063">
            <v>309909.01</v>
          </cell>
          <cell r="D6063" t="str">
            <v>NK.MCG 70/25</v>
          </cell>
        </row>
        <row r="6064">
          <cell r="C6064">
            <v>511841.01</v>
          </cell>
          <cell r="D6064" t="str">
            <v>RO 4X18.8</v>
          </cell>
        </row>
        <row r="6065">
          <cell r="C6065">
            <v>208910.01</v>
          </cell>
          <cell r="D6065" t="str">
            <v>NK.OR 70/35</v>
          </cell>
        </row>
        <row r="6066">
          <cell r="C6066">
            <v>309910.01</v>
          </cell>
          <cell r="D6066" t="str">
            <v>NK.MCG 70/35</v>
          </cell>
        </row>
        <row r="6067">
          <cell r="C6067">
            <v>511237.01</v>
          </cell>
          <cell r="D6067" t="str">
            <v>RO 4X27.8</v>
          </cell>
        </row>
        <row r="6068">
          <cell r="C6068">
            <v>104912.01</v>
          </cell>
          <cell r="D6068" t="str">
            <v>NKI.IR 253815</v>
          </cell>
        </row>
        <row r="6069">
          <cell r="C6069">
            <v>208912.01</v>
          </cell>
          <cell r="D6069" t="str">
            <v>NK.OR 253815</v>
          </cell>
        </row>
        <row r="6070">
          <cell r="C6070">
            <v>309912.01</v>
          </cell>
          <cell r="D6070" t="str">
            <v>NKI.MCG 253815(NK 253815)</v>
          </cell>
        </row>
        <row r="6071">
          <cell r="C6071">
            <v>511201</v>
          </cell>
          <cell r="D6071" t="str">
            <v>RO 2.5X11.8</v>
          </cell>
        </row>
        <row r="6072">
          <cell r="C6072">
            <v>208912.01</v>
          </cell>
          <cell r="D6072" t="str">
            <v>NK.OR 253815</v>
          </cell>
        </row>
        <row r="6073">
          <cell r="C6073">
            <v>309912.01</v>
          </cell>
          <cell r="D6073" t="str">
            <v>NKI.MCG 253815(NK 253815)</v>
          </cell>
        </row>
        <row r="6074">
          <cell r="C6074">
            <v>511201</v>
          </cell>
          <cell r="D6074" t="str">
            <v>RO 2.5X11.8</v>
          </cell>
        </row>
        <row r="6075">
          <cell r="C6075">
            <v>104912.01</v>
          </cell>
          <cell r="D6075" t="str">
            <v>NKI.IR 253815</v>
          </cell>
        </row>
        <row r="6076">
          <cell r="C6076">
            <v>208913.01</v>
          </cell>
          <cell r="D6076" t="str">
            <v>NK.OR 30/20</v>
          </cell>
        </row>
        <row r="6077">
          <cell r="C6077">
            <v>309913.01</v>
          </cell>
          <cell r="D6077" t="str">
            <v>NK.MCG 30/20</v>
          </cell>
        </row>
        <row r="6078">
          <cell r="C6078">
            <v>511819.01</v>
          </cell>
          <cell r="D6078" t="str">
            <v>RO 3X15.8</v>
          </cell>
        </row>
        <row r="6079">
          <cell r="C6079">
            <v>200913.1</v>
          </cell>
          <cell r="D6079" t="str">
            <v>RPNA.OR 30/47</v>
          </cell>
        </row>
        <row r="6080">
          <cell r="C6080">
            <v>200913.2</v>
          </cell>
          <cell r="D6080" t="str">
            <v>RPNA.SHELL 30/47</v>
          </cell>
        </row>
        <row r="6081">
          <cell r="C6081">
            <v>300913.09999999998</v>
          </cell>
          <cell r="D6081" t="str">
            <v>RPNA.MCG 30/47</v>
          </cell>
        </row>
        <row r="6082">
          <cell r="C6082">
            <v>511819.01</v>
          </cell>
          <cell r="D6082" t="str">
            <v>RO 3X15.8</v>
          </cell>
        </row>
        <row r="6083">
          <cell r="C6083">
            <v>700913.1</v>
          </cell>
          <cell r="D6083" t="str">
            <v>RPNA.N.SEALB 30/47</v>
          </cell>
        </row>
        <row r="6084">
          <cell r="C6084">
            <v>700913.2</v>
          </cell>
          <cell r="D6084" t="str">
            <v>RPNA.N.SEALP 30/47</v>
          </cell>
        </row>
        <row r="6085">
          <cell r="C6085">
            <v>208913.01</v>
          </cell>
          <cell r="D6085" t="str">
            <v>NK.OR 30/20</v>
          </cell>
        </row>
        <row r="6086">
          <cell r="C6086">
            <v>309913.01</v>
          </cell>
          <cell r="D6086" t="str">
            <v>NK.MCG 30/20</v>
          </cell>
        </row>
        <row r="6087">
          <cell r="C6087">
            <v>511819.01</v>
          </cell>
          <cell r="D6087" t="str">
            <v>RO 3X15.8</v>
          </cell>
        </row>
        <row r="6088">
          <cell r="C6088">
            <v>208914.01</v>
          </cell>
          <cell r="D6088" t="str">
            <v>NK.OR 38/30</v>
          </cell>
        </row>
        <row r="6089">
          <cell r="C6089">
            <v>309914.01</v>
          </cell>
          <cell r="D6089" t="str">
            <v>NK.MCG 38/30</v>
          </cell>
        </row>
        <row r="6090">
          <cell r="C6090">
            <v>511822.01</v>
          </cell>
          <cell r="D6090" t="str">
            <v>RO 3x25.8 (NKI 28/30,32/3</v>
          </cell>
        </row>
        <row r="6091">
          <cell r="C6091">
            <v>208915.02</v>
          </cell>
          <cell r="D6091" t="str">
            <v>NK.OR 75/25</v>
          </cell>
        </row>
        <row r="6092">
          <cell r="C6092">
            <v>208915.02</v>
          </cell>
          <cell r="D6092" t="str">
            <v>NK.OR 75/25</v>
          </cell>
        </row>
        <row r="6093">
          <cell r="C6093">
            <v>309915.02</v>
          </cell>
          <cell r="D6093" t="str">
            <v>NK.MCG 75/25</v>
          </cell>
        </row>
        <row r="6094">
          <cell r="C6094">
            <v>309915.02</v>
          </cell>
          <cell r="D6094" t="str">
            <v>NK.MCG 75/25</v>
          </cell>
        </row>
        <row r="6095">
          <cell r="C6095">
            <v>511238.01</v>
          </cell>
          <cell r="D6095" t="str">
            <v>RO 5X17.8</v>
          </cell>
        </row>
        <row r="6096">
          <cell r="C6096">
            <v>511238.01</v>
          </cell>
          <cell r="D6096" t="str">
            <v>RO 5X17.8</v>
          </cell>
        </row>
        <row r="6097">
          <cell r="C6097">
            <v>208916.02</v>
          </cell>
          <cell r="D6097" t="str">
            <v>NK.OR 75/35</v>
          </cell>
        </row>
        <row r="6098">
          <cell r="C6098">
            <v>309916.02</v>
          </cell>
          <cell r="D6098" t="str">
            <v>NK.MCG 75/35</v>
          </cell>
        </row>
        <row r="6099">
          <cell r="C6099">
            <v>104917</v>
          </cell>
          <cell r="D6099" t="str">
            <v>NU.IR 2215              F</v>
          </cell>
        </row>
        <row r="6100">
          <cell r="C6100">
            <v>208917</v>
          </cell>
          <cell r="D6100" t="str">
            <v>NU.OR 2215              F</v>
          </cell>
        </row>
        <row r="6101">
          <cell r="C6101">
            <v>309917</v>
          </cell>
          <cell r="D6101" t="str">
            <v>NU.BRS 2215</v>
          </cell>
        </row>
        <row r="6102">
          <cell r="C6102">
            <v>511917</v>
          </cell>
          <cell r="D6102" t="str">
            <v>RO 15X22</v>
          </cell>
        </row>
        <row r="6103">
          <cell r="C6103">
            <v>104918</v>
          </cell>
          <cell r="D6103" t="str">
            <v>NU.IR 2305 BRS          F</v>
          </cell>
        </row>
        <row r="6104">
          <cell r="C6104">
            <v>208918</v>
          </cell>
          <cell r="D6104" t="str">
            <v>NU.OR 2305 BRS          F</v>
          </cell>
        </row>
        <row r="6105">
          <cell r="C6105">
            <v>309918</v>
          </cell>
          <cell r="D6105" t="str">
            <v>NU.BRS 2305</v>
          </cell>
        </row>
        <row r="6106">
          <cell r="C6106">
            <v>511918</v>
          </cell>
          <cell r="D6106" t="str">
            <v>RO 10X16</v>
          </cell>
        </row>
        <row r="6107">
          <cell r="C6107">
            <v>104919</v>
          </cell>
          <cell r="D6107" t="str">
            <v>IR.RAE 25 NPPB          F</v>
          </cell>
        </row>
        <row r="6108">
          <cell r="C6108">
            <v>208919</v>
          </cell>
          <cell r="D6108" t="str">
            <v>OR.RAE 25 NPPB          F</v>
          </cell>
        </row>
        <row r="6109">
          <cell r="C6109">
            <v>309204</v>
          </cell>
          <cell r="D6109" t="str">
            <v>J.NCG 204</v>
          </cell>
        </row>
        <row r="6110">
          <cell r="C6110">
            <v>511993</v>
          </cell>
          <cell r="D6110" t="str">
            <v>BALL 5/16"(IS:2898-1976)</v>
          </cell>
        </row>
        <row r="6111">
          <cell r="C6111">
            <v>612204</v>
          </cell>
          <cell r="D6111" t="str">
            <v>BOLT M6X1X6</v>
          </cell>
        </row>
        <row r="6112">
          <cell r="C6112">
            <v>717919</v>
          </cell>
          <cell r="D6112" t="str">
            <v>SEAL.RAE 25 NPPB</v>
          </cell>
        </row>
        <row r="6113">
          <cell r="C6113">
            <v>717919.01</v>
          </cell>
          <cell r="D6113" t="str">
            <v>ECCENTRIC COLLAR 25 NPPB</v>
          </cell>
        </row>
        <row r="6114">
          <cell r="C6114">
            <v>1422920</v>
          </cell>
          <cell r="D6114" t="str">
            <v>GRAE35-NPP-B MATERIAL</v>
          </cell>
        </row>
        <row r="6115">
          <cell r="C6115">
            <v>104921</v>
          </cell>
          <cell r="D6115" t="str">
            <v>IR.GE 30 KRRB           F</v>
          </cell>
        </row>
        <row r="6116">
          <cell r="C6116">
            <v>208921</v>
          </cell>
          <cell r="D6116" t="str">
            <v>OR.GE 30 KRRB           F</v>
          </cell>
        </row>
        <row r="6117">
          <cell r="C6117">
            <v>309921</v>
          </cell>
          <cell r="D6117" t="str">
            <v>NCG.GE 30 KRRB</v>
          </cell>
        </row>
        <row r="6118">
          <cell r="C6118">
            <v>511180</v>
          </cell>
          <cell r="D6118" t="str">
            <v>BALL 3/8"(IS:2898-1976)</v>
          </cell>
        </row>
        <row r="6119">
          <cell r="C6119">
            <v>612921</v>
          </cell>
          <cell r="D6119" t="str">
            <v>G.SCREW 30 (M08X1.25X08)</v>
          </cell>
        </row>
        <row r="6120">
          <cell r="C6120">
            <v>717921</v>
          </cell>
          <cell r="D6120" t="str">
            <v>SEAL.GE 30 KRRB</v>
          </cell>
        </row>
        <row r="6121">
          <cell r="C6121">
            <v>717921.01</v>
          </cell>
          <cell r="D6121" t="str">
            <v>ECCENTRIC COLLAR 30 KRRB</v>
          </cell>
        </row>
        <row r="6122">
          <cell r="C6122">
            <v>104922</v>
          </cell>
          <cell r="D6122" t="str">
            <v>IR.GE 35 KRRB           F</v>
          </cell>
        </row>
        <row r="6123">
          <cell r="C6123">
            <v>208922</v>
          </cell>
          <cell r="D6123" t="str">
            <v>OR.GE 35 KRRB           F</v>
          </cell>
        </row>
        <row r="6124">
          <cell r="C6124">
            <v>309245</v>
          </cell>
          <cell r="D6124" t="str">
            <v>NCG.207 YY2</v>
          </cell>
        </row>
        <row r="6125">
          <cell r="C6125">
            <v>511193</v>
          </cell>
          <cell r="D6125" t="str">
            <v>BALL 7/16"(IS:2898-1976)</v>
          </cell>
        </row>
        <row r="6126">
          <cell r="C6126">
            <v>612179</v>
          </cell>
          <cell r="D6126" t="str">
            <v>G.SCREW 179(M10X1.5X10)</v>
          </cell>
        </row>
        <row r="6127">
          <cell r="C6127">
            <v>717922</v>
          </cell>
          <cell r="D6127" t="str">
            <v>SEAL.GE 35 KRRB</v>
          </cell>
        </row>
        <row r="6128">
          <cell r="C6128">
            <v>717922.01</v>
          </cell>
          <cell r="D6128" t="str">
            <v>ECCENTRIC COLLAR 35 KRRB</v>
          </cell>
        </row>
        <row r="6129">
          <cell r="C6129">
            <v>104922.4</v>
          </cell>
          <cell r="D6129" t="str">
            <v>IR.35/72</v>
          </cell>
        </row>
        <row r="6130">
          <cell r="C6130">
            <v>208922.4</v>
          </cell>
          <cell r="D6130" t="str">
            <v>OR 35/72</v>
          </cell>
        </row>
        <row r="6131">
          <cell r="C6131">
            <v>309245</v>
          </cell>
          <cell r="D6131" t="str">
            <v>NCG.207 YY2</v>
          </cell>
        </row>
        <row r="6132">
          <cell r="C6132">
            <v>511193</v>
          </cell>
          <cell r="D6132" t="str">
            <v>BALL 7/16"(IS:2898-1976)</v>
          </cell>
        </row>
        <row r="6133">
          <cell r="C6133">
            <v>612179</v>
          </cell>
          <cell r="D6133" t="str">
            <v>G.SCREW 179(M10X1.5X10)</v>
          </cell>
        </row>
        <row r="6134">
          <cell r="C6134">
            <v>717922</v>
          </cell>
          <cell r="D6134" t="str">
            <v>SEAL.GE 35 KRRB</v>
          </cell>
        </row>
        <row r="6135">
          <cell r="C6135">
            <v>717922.4</v>
          </cell>
          <cell r="D6135" t="str">
            <v>ECCENTRIC COLLAR 35/72</v>
          </cell>
        </row>
        <row r="6136">
          <cell r="C6136">
            <v>104924</v>
          </cell>
          <cell r="D6136" t="str">
            <v>IR.GE 40 KRRB           F</v>
          </cell>
        </row>
        <row r="6137">
          <cell r="C6137">
            <v>208924</v>
          </cell>
          <cell r="D6137" t="str">
            <v>OR.GE 40 KRRB           F</v>
          </cell>
        </row>
        <row r="6138">
          <cell r="C6138">
            <v>309924</v>
          </cell>
          <cell r="D6138" t="str">
            <v>NCG.GE 40 KRRB</v>
          </cell>
        </row>
        <row r="6139">
          <cell r="C6139">
            <v>511181</v>
          </cell>
          <cell r="D6139" t="str">
            <v>BALL 15/32"(IS:2898-1976)</v>
          </cell>
        </row>
        <row r="6140">
          <cell r="C6140">
            <v>612179</v>
          </cell>
          <cell r="D6140" t="str">
            <v>G.SCREW 179(M10X1.5X10)</v>
          </cell>
        </row>
        <row r="6141">
          <cell r="C6141">
            <v>717924</v>
          </cell>
          <cell r="D6141" t="str">
            <v>SEAL.GE 40 KRRB</v>
          </cell>
        </row>
        <row r="6142">
          <cell r="C6142">
            <v>717924.01</v>
          </cell>
          <cell r="D6142" t="str">
            <v>ECCENTRIC COLLAR 40 KRRB</v>
          </cell>
        </row>
        <row r="6143">
          <cell r="C6143">
            <v>104925</v>
          </cell>
          <cell r="D6143" t="str">
            <v>IR.GE 50 KRRB           F</v>
          </cell>
        </row>
        <row r="6144">
          <cell r="C6144">
            <v>208925</v>
          </cell>
          <cell r="D6144" t="str">
            <v>OR.GE 50 KRRB           F</v>
          </cell>
        </row>
        <row r="6145">
          <cell r="C6145">
            <v>309925</v>
          </cell>
          <cell r="D6145" t="str">
            <v>NCG.GE 50 KRRB</v>
          </cell>
        </row>
        <row r="6146">
          <cell r="C6146">
            <v>511192</v>
          </cell>
          <cell r="D6146" t="str">
            <v>BALL 1/2" (IS:2898-1976)</v>
          </cell>
        </row>
        <row r="6147">
          <cell r="C6147">
            <v>612179</v>
          </cell>
          <cell r="D6147" t="str">
            <v>G.SCREW 179(M10X1.5X10)</v>
          </cell>
        </row>
        <row r="6148">
          <cell r="C6148">
            <v>717925</v>
          </cell>
          <cell r="D6148" t="str">
            <v>SEAL.GE 50 KRRB</v>
          </cell>
        </row>
        <row r="6149">
          <cell r="C6149">
            <v>717925.01</v>
          </cell>
          <cell r="D6149" t="str">
            <v>ECCENTRIC COLLAR 50 KRRB</v>
          </cell>
        </row>
        <row r="6150">
          <cell r="C6150">
            <v>104925.4</v>
          </cell>
          <cell r="D6150" t="str">
            <v>IR.50/90</v>
          </cell>
        </row>
        <row r="6151">
          <cell r="C6151">
            <v>208925.4</v>
          </cell>
          <cell r="D6151" t="str">
            <v>OR.50/90</v>
          </cell>
        </row>
        <row r="6152">
          <cell r="C6152">
            <v>309925</v>
          </cell>
          <cell r="D6152" t="str">
            <v>NCG.GE 50 KRRB</v>
          </cell>
        </row>
        <row r="6153">
          <cell r="C6153">
            <v>511192</v>
          </cell>
          <cell r="D6153" t="str">
            <v>BALL 1/2" (IS:2898-1976)</v>
          </cell>
        </row>
        <row r="6154">
          <cell r="C6154">
            <v>612921</v>
          </cell>
          <cell r="D6154" t="str">
            <v>G.SCREW 30 (M08X1.25X08)</v>
          </cell>
        </row>
        <row r="6155">
          <cell r="C6155">
            <v>717925</v>
          </cell>
          <cell r="D6155" t="str">
            <v>SEAL.GE 50 KRRB</v>
          </cell>
        </row>
        <row r="6156">
          <cell r="C6156">
            <v>104926.01</v>
          </cell>
          <cell r="D6156" t="str">
            <v>IR.GYE 35 KRRB SPL      F</v>
          </cell>
        </row>
        <row r="6157">
          <cell r="C6157">
            <v>208926.01</v>
          </cell>
          <cell r="D6157" t="str">
            <v>OR.GYE 35 KRRB SPL      F</v>
          </cell>
        </row>
        <row r="6158">
          <cell r="C6158">
            <v>309245</v>
          </cell>
          <cell r="D6158" t="str">
            <v>NCG.207 YY2</v>
          </cell>
        </row>
        <row r="6159">
          <cell r="C6159">
            <v>511193</v>
          </cell>
          <cell r="D6159" t="str">
            <v>BALL 7/16"(IS:2898-1976)</v>
          </cell>
        </row>
        <row r="6160">
          <cell r="C6160">
            <v>5221247</v>
          </cell>
          <cell r="D6160" t="str">
            <v>O G SHELL GADUS S2 V100 3</v>
          </cell>
        </row>
        <row r="6161">
          <cell r="C6161">
            <v>5221247.01</v>
          </cell>
        </row>
        <row r="6162">
          <cell r="C6162">
            <v>717245</v>
          </cell>
          <cell r="D6162" t="str">
            <v>SEAL.207 RR2</v>
          </cell>
        </row>
        <row r="6163">
          <cell r="C6163">
            <v>200927</v>
          </cell>
          <cell r="D6163" t="str">
            <v>SC.OR 28227.5</v>
          </cell>
        </row>
        <row r="6164">
          <cell r="C6164">
            <v>300927</v>
          </cell>
          <cell r="D6164" t="str">
            <v>SC.NCG 28x22x7.5</v>
          </cell>
        </row>
        <row r="6165">
          <cell r="C6165">
            <v>511927</v>
          </cell>
          <cell r="D6165" t="str">
            <v>RO 2X4</v>
          </cell>
        </row>
        <row r="6166">
          <cell r="C6166">
            <v>200928</v>
          </cell>
          <cell r="D6166" t="str">
            <v>CUP.MDA 4500G</v>
          </cell>
        </row>
        <row r="6167">
          <cell r="C6167">
            <v>300928</v>
          </cell>
          <cell r="D6167" t="str">
            <v>NCG.MDA 4500G</v>
          </cell>
        </row>
        <row r="6168">
          <cell r="C6168">
            <v>511261.01</v>
          </cell>
          <cell r="D6168" t="str">
            <v>RO 3X23.8</v>
          </cell>
        </row>
        <row r="6169">
          <cell r="C6169">
            <v>5221314</v>
          </cell>
        </row>
        <row r="6170">
          <cell r="C6170">
            <v>100930</v>
          </cell>
          <cell r="D6170" t="str">
            <v>UCT.IR 205</v>
          </cell>
        </row>
        <row r="6171">
          <cell r="C6171">
            <v>200930</v>
          </cell>
          <cell r="D6171" t="str">
            <v>UCT.OR 205</v>
          </cell>
        </row>
        <row r="6172">
          <cell r="C6172">
            <v>309204</v>
          </cell>
          <cell r="D6172" t="str">
            <v>J.NCG 204</v>
          </cell>
        </row>
        <row r="6173">
          <cell r="C6173">
            <v>511993</v>
          </cell>
          <cell r="D6173" t="str">
            <v>BALL 5/16"(IS:2898-1976)</v>
          </cell>
        </row>
        <row r="6174">
          <cell r="C6174">
            <v>5221208</v>
          </cell>
          <cell r="D6174" t="str">
            <v>O G NBU 12/300 KP</v>
          </cell>
        </row>
        <row r="6175">
          <cell r="C6175">
            <v>600930</v>
          </cell>
          <cell r="D6175" t="str">
            <v>G.SCREW M5X0.8X7.4</v>
          </cell>
        </row>
        <row r="6176">
          <cell r="C6176">
            <v>700930</v>
          </cell>
          <cell r="D6176" t="str">
            <v>UCT.RUBBER SEAL 205</v>
          </cell>
        </row>
        <row r="6177">
          <cell r="C6177">
            <v>700930.1</v>
          </cell>
          <cell r="D6177" t="str">
            <v>UCT.METAL COVER 205</v>
          </cell>
        </row>
        <row r="6178">
          <cell r="C6178">
            <v>100931</v>
          </cell>
          <cell r="D6178" t="str">
            <v>G.IR 1103 KRRB</v>
          </cell>
        </row>
        <row r="6179">
          <cell r="C6179">
            <v>200931</v>
          </cell>
          <cell r="D6179" t="str">
            <v>G.OR 1103 KRRB</v>
          </cell>
        </row>
        <row r="6180">
          <cell r="C6180">
            <v>309921</v>
          </cell>
          <cell r="D6180" t="str">
            <v>NCG.GE 30 KRRB</v>
          </cell>
        </row>
        <row r="6181">
          <cell r="C6181">
            <v>511180</v>
          </cell>
          <cell r="D6181" t="str">
            <v>BALL 3/8"(IS:2898-1976)</v>
          </cell>
        </row>
        <row r="6182">
          <cell r="C6182">
            <v>5221208</v>
          </cell>
          <cell r="D6182" t="str">
            <v>O G NBU 12/300 KP</v>
          </cell>
        </row>
        <row r="6183">
          <cell r="C6183">
            <v>600931</v>
          </cell>
          <cell r="D6183" t="str">
            <v>G.SCREW 5/16"X7.9</v>
          </cell>
        </row>
        <row r="6184">
          <cell r="C6184">
            <v>700931.01</v>
          </cell>
          <cell r="D6184" t="str">
            <v>G.CAM 1103 KRRB</v>
          </cell>
        </row>
        <row r="6185">
          <cell r="C6185">
            <v>717921</v>
          </cell>
          <cell r="D6185" t="str">
            <v>SEAL.GE 30 KRRB</v>
          </cell>
        </row>
        <row r="6186">
          <cell r="C6186">
            <v>100932</v>
          </cell>
          <cell r="D6186" t="str">
            <v>G.IR 1107 KRRB</v>
          </cell>
        </row>
        <row r="6187">
          <cell r="C6187">
            <v>200932</v>
          </cell>
          <cell r="D6187" t="str">
            <v>G.OR 1107 KRRB</v>
          </cell>
        </row>
        <row r="6188">
          <cell r="C6188">
            <v>309245</v>
          </cell>
          <cell r="D6188" t="str">
            <v>NCG.207 YY2</v>
          </cell>
        </row>
        <row r="6189">
          <cell r="C6189">
            <v>511193</v>
          </cell>
          <cell r="D6189" t="str">
            <v>BALL 7/16"(IS:2898-1976)</v>
          </cell>
        </row>
        <row r="6190">
          <cell r="C6190">
            <v>5221208</v>
          </cell>
          <cell r="D6190" t="str">
            <v>O G NBU 12/300 KP</v>
          </cell>
        </row>
        <row r="6191">
          <cell r="C6191">
            <v>600932</v>
          </cell>
          <cell r="D6191" t="str">
            <v>G.SCREW 3/8"X9.3</v>
          </cell>
        </row>
        <row r="6192">
          <cell r="C6192">
            <v>700932.01</v>
          </cell>
          <cell r="D6192" t="str">
            <v>G.CAM 1107 KRRB</v>
          </cell>
        </row>
        <row r="6193">
          <cell r="C6193">
            <v>717922</v>
          </cell>
          <cell r="D6193" t="str">
            <v>SEAL.GE 35 KRRB</v>
          </cell>
        </row>
        <row r="6194">
          <cell r="C6194">
            <v>100933</v>
          </cell>
          <cell r="D6194" t="str">
            <v>G.IR 1115 KRRB</v>
          </cell>
        </row>
        <row r="6195">
          <cell r="C6195">
            <v>200933</v>
          </cell>
          <cell r="D6195" t="str">
            <v>G.OR 1115 KRRB</v>
          </cell>
        </row>
        <row r="6196">
          <cell r="C6196">
            <v>309925</v>
          </cell>
          <cell r="D6196" t="str">
            <v>NCG.GE 50 KRRB</v>
          </cell>
        </row>
        <row r="6197">
          <cell r="C6197">
            <v>511192</v>
          </cell>
          <cell r="D6197" t="str">
            <v>BALL 1/2" (IS:2898-1976)</v>
          </cell>
        </row>
        <row r="6198">
          <cell r="C6198">
            <v>5221208</v>
          </cell>
          <cell r="D6198" t="str">
            <v>O G NBU 12/300 KP</v>
          </cell>
        </row>
        <row r="6199">
          <cell r="C6199">
            <v>600932</v>
          </cell>
          <cell r="D6199" t="str">
            <v>G.SCREW 3/8"X9.3</v>
          </cell>
        </row>
        <row r="6200">
          <cell r="C6200">
            <v>700933.01</v>
          </cell>
          <cell r="D6200" t="str">
            <v>G.CAM 1115 KRRB</v>
          </cell>
        </row>
        <row r="6201">
          <cell r="C6201">
            <v>717925</v>
          </cell>
          <cell r="D6201" t="str">
            <v>SEAL.GE 50 KRRB</v>
          </cell>
        </row>
        <row r="6202">
          <cell r="C6202">
            <v>100934</v>
          </cell>
          <cell r="D6202" t="str">
            <v>G.IR 1203 KRRB</v>
          </cell>
        </row>
        <row r="6203">
          <cell r="C6203">
            <v>200934</v>
          </cell>
          <cell r="D6203" t="str">
            <v>G.OR 1203 KRRB</v>
          </cell>
        </row>
        <row r="6204">
          <cell r="C6204">
            <v>300935</v>
          </cell>
          <cell r="D6204" t="str">
            <v>UC.NCG 211</v>
          </cell>
        </row>
        <row r="6205">
          <cell r="C6205">
            <v>511357</v>
          </cell>
          <cell r="D6205" t="str">
            <v>BALL 9/16" (IS:2898-1976)</v>
          </cell>
        </row>
        <row r="6206">
          <cell r="C6206">
            <v>5221208</v>
          </cell>
          <cell r="D6206" t="str">
            <v>O G NBU 12/300 KP</v>
          </cell>
        </row>
        <row r="6207">
          <cell r="C6207">
            <v>600934</v>
          </cell>
          <cell r="D6207" t="str">
            <v>G.SCREW 7/16"X11.2</v>
          </cell>
        </row>
        <row r="6208">
          <cell r="C6208">
            <v>700934</v>
          </cell>
          <cell r="D6208" t="str">
            <v>G.SEAL 1203 KRRB</v>
          </cell>
        </row>
        <row r="6209">
          <cell r="C6209">
            <v>700934.01</v>
          </cell>
          <cell r="D6209" t="str">
            <v>G.CAM 1203 KRRB</v>
          </cell>
        </row>
        <row r="6210">
          <cell r="C6210">
            <v>100935</v>
          </cell>
          <cell r="D6210" t="str">
            <v>UC.IR 211</v>
          </cell>
        </row>
        <row r="6211">
          <cell r="C6211">
            <v>200935</v>
          </cell>
          <cell r="D6211" t="str">
            <v>UC.OR 211</v>
          </cell>
        </row>
        <row r="6212">
          <cell r="C6212">
            <v>309357</v>
          </cell>
          <cell r="D6212" t="str">
            <v>CAGE 6211 2RS</v>
          </cell>
        </row>
        <row r="6213">
          <cell r="C6213">
            <v>511357</v>
          </cell>
          <cell r="D6213" t="str">
            <v>BALL 9/16" (IS:2898-1976)</v>
          </cell>
        </row>
        <row r="6214">
          <cell r="C6214">
            <v>5200311.8</v>
          </cell>
          <cell r="D6214" t="str">
            <v>O MOBIL-XHP-462MOLY</v>
          </cell>
        </row>
        <row r="6215">
          <cell r="C6215">
            <v>612179</v>
          </cell>
          <cell r="D6215" t="str">
            <v>G.SCREW 179(M10X1.5X10)</v>
          </cell>
        </row>
        <row r="6216">
          <cell r="C6216">
            <v>700935</v>
          </cell>
          <cell r="D6216" t="str">
            <v>UC.SEAL 211</v>
          </cell>
        </row>
        <row r="6217">
          <cell r="C6217">
            <v>800935.02</v>
          </cell>
          <cell r="D6217" t="str">
            <v>PEDESTALSLEEVE935 SPL2</v>
          </cell>
        </row>
        <row r="6218">
          <cell r="C6218">
            <v>100935</v>
          </cell>
          <cell r="D6218" t="str">
            <v>UC.IR 211</v>
          </cell>
        </row>
        <row r="6219">
          <cell r="C6219">
            <v>200935</v>
          </cell>
          <cell r="D6219" t="str">
            <v>UC.OR 211</v>
          </cell>
        </row>
        <row r="6220">
          <cell r="C6220">
            <v>309357</v>
          </cell>
          <cell r="D6220" t="str">
            <v>CAGE 6211 2RS</v>
          </cell>
        </row>
        <row r="6221">
          <cell r="C6221">
            <v>511357</v>
          </cell>
          <cell r="D6221" t="str">
            <v>BALL 9/16" (IS:2898-1976)</v>
          </cell>
        </row>
        <row r="6222">
          <cell r="C6222">
            <v>5200311.8</v>
          </cell>
          <cell r="D6222" t="str">
            <v>O MOBIL-XHP-462MOLY</v>
          </cell>
        </row>
        <row r="6223">
          <cell r="C6223">
            <v>612179</v>
          </cell>
          <cell r="D6223" t="str">
            <v>G.SCREW 179(M10X1.5X10)</v>
          </cell>
        </row>
        <row r="6224">
          <cell r="C6224">
            <v>700935</v>
          </cell>
          <cell r="D6224" t="str">
            <v>UC.SEAL 211</v>
          </cell>
        </row>
        <row r="6225">
          <cell r="C6225">
            <v>800935.02</v>
          </cell>
          <cell r="D6225" t="str">
            <v>PEDESTALSLEEVE935 SPL2</v>
          </cell>
        </row>
        <row r="6226">
          <cell r="C6226">
            <v>800935.04</v>
          </cell>
          <cell r="D6226" t="str">
            <v>PEDESTALSLEEVE935 SPL</v>
          </cell>
        </row>
        <row r="6227">
          <cell r="C6227">
            <v>100935</v>
          </cell>
          <cell r="D6227" t="str">
            <v>UC.IR 211</v>
          </cell>
        </row>
        <row r="6228">
          <cell r="C6228">
            <v>200935</v>
          </cell>
          <cell r="D6228" t="str">
            <v>UC.OR 211</v>
          </cell>
        </row>
        <row r="6229">
          <cell r="C6229">
            <v>309357</v>
          </cell>
          <cell r="D6229" t="str">
            <v>CAGE 6211 2RS</v>
          </cell>
        </row>
        <row r="6230">
          <cell r="C6230">
            <v>511357</v>
          </cell>
          <cell r="D6230" t="str">
            <v>BALL 9/16" (IS:2898-1976)</v>
          </cell>
        </row>
        <row r="6231">
          <cell r="C6231">
            <v>5200311.8</v>
          </cell>
          <cell r="D6231" t="str">
            <v>O MOBIL-XHP-462MOLY</v>
          </cell>
        </row>
        <row r="6232">
          <cell r="C6232">
            <v>612179</v>
          </cell>
          <cell r="D6232" t="str">
            <v>G.SCREW 179(M10X1.5X10)</v>
          </cell>
        </row>
        <row r="6233">
          <cell r="C6233">
            <v>700935</v>
          </cell>
          <cell r="D6233" t="str">
            <v>UC.SEAL 211</v>
          </cell>
        </row>
        <row r="6234">
          <cell r="C6234">
            <v>800935.04</v>
          </cell>
          <cell r="D6234" t="str">
            <v>PEDESTALSLEEVE935 SPL</v>
          </cell>
        </row>
        <row r="6235">
          <cell r="C6235">
            <v>1422935.1</v>
          </cell>
          <cell r="D6235" t="str">
            <v>UC 211_55X100 C3 SPL MAT</v>
          </cell>
        </row>
        <row r="6236">
          <cell r="C6236">
            <v>1422935.1</v>
          </cell>
          <cell r="D6236" t="str">
            <v>UC 211_55X100 C3 SPL MAT</v>
          </cell>
        </row>
        <row r="6237">
          <cell r="C6237">
            <v>800935</v>
          </cell>
          <cell r="D6237" t="str">
            <v>PEDESTAL SLEEVE 935.00</v>
          </cell>
        </row>
        <row r="6238">
          <cell r="C6238">
            <v>100935</v>
          </cell>
          <cell r="D6238" t="str">
            <v>UC.IR 211</v>
          </cell>
        </row>
        <row r="6239">
          <cell r="C6239">
            <v>200935</v>
          </cell>
          <cell r="D6239" t="str">
            <v>UC.OR 211</v>
          </cell>
        </row>
        <row r="6240">
          <cell r="C6240">
            <v>309357</v>
          </cell>
          <cell r="D6240" t="str">
            <v>CAGE 6211 2RS</v>
          </cell>
        </row>
        <row r="6241">
          <cell r="C6241">
            <v>511357</v>
          </cell>
          <cell r="D6241" t="str">
            <v>BALL 9/16" (IS:2898-1976)</v>
          </cell>
        </row>
        <row r="6242">
          <cell r="C6242">
            <v>5200311.8</v>
          </cell>
          <cell r="D6242" t="str">
            <v>O MOBIL-XHP-462MOLY</v>
          </cell>
        </row>
        <row r="6243">
          <cell r="C6243">
            <v>612179</v>
          </cell>
          <cell r="D6243" t="str">
            <v>G.SCREW 179(M10X1.5X10)</v>
          </cell>
        </row>
        <row r="6244">
          <cell r="C6244">
            <v>700935</v>
          </cell>
          <cell r="D6244" t="str">
            <v>UC.SEAL 211</v>
          </cell>
        </row>
        <row r="6245">
          <cell r="C6245">
            <v>800935</v>
          </cell>
          <cell r="D6245" t="str">
            <v>PEDESTAL SLEEVE 935.00</v>
          </cell>
        </row>
        <row r="6246">
          <cell r="C6246">
            <v>800935</v>
          </cell>
          <cell r="D6246" t="str">
            <v>PEDESTAL SLEEVE 935.00</v>
          </cell>
        </row>
        <row r="6247">
          <cell r="C6247">
            <v>100935</v>
          </cell>
          <cell r="D6247" t="str">
            <v>UC.IR 211</v>
          </cell>
        </row>
        <row r="6248">
          <cell r="C6248">
            <v>200936</v>
          </cell>
          <cell r="D6248" t="str">
            <v>NU.OR 211_55X110</v>
          </cell>
        </row>
        <row r="6249">
          <cell r="C6249">
            <v>300935</v>
          </cell>
          <cell r="D6249" t="str">
            <v>UC.NCG 211</v>
          </cell>
        </row>
        <row r="6250">
          <cell r="C6250">
            <v>511357</v>
          </cell>
          <cell r="D6250" t="str">
            <v>BALL 9/16" (IS:2898-1976)</v>
          </cell>
        </row>
        <row r="6251">
          <cell r="C6251">
            <v>5200311.8</v>
          </cell>
          <cell r="D6251" t="str">
            <v>O MOBIL-XHP-462MOLY</v>
          </cell>
        </row>
        <row r="6252">
          <cell r="C6252">
            <v>612179</v>
          </cell>
          <cell r="D6252" t="str">
            <v>G.SCREW 179(M10X1.5X10)</v>
          </cell>
        </row>
        <row r="6253">
          <cell r="C6253">
            <v>700935</v>
          </cell>
          <cell r="D6253" t="str">
            <v>UC.SEAL 211</v>
          </cell>
        </row>
        <row r="6254">
          <cell r="C6254">
            <v>100937</v>
          </cell>
          <cell r="D6254" t="str">
            <v>UC.IR 211_60X110</v>
          </cell>
        </row>
        <row r="6255">
          <cell r="C6255">
            <v>200937</v>
          </cell>
          <cell r="D6255" t="str">
            <v>UC.OR 211_60X110</v>
          </cell>
        </row>
        <row r="6256">
          <cell r="C6256">
            <v>300937</v>
          </cell>
          <cell r="D6256" t="str">
            <v>UC.NCG 211_60X110</v>
          </cell>
        </row>
        <row r="6257">
          <cell r="C6257">
            <v>511296</v>
          </cell>
          <cell r="D6257" t="str">
            <v>BALL 5/8"</v>
          </cell>
        </row>
        <row r="6258">
          <cell r="C6258">
            <v>5200311.8</v>
          </cell>
          <cell r="D6258" t="str">
            <v>O MOBIL-XHP-462MOLY</v>
          </cell>
        </row>
        <row r="6259">
          <cell r="C6259">
            <v>612179</v>
          </cell>
          <cell r="D6259" t="str">
            <v>G.SCREW 179(M10X1.5X10)</v>
          </cell>
        </row>
        <row r="6260">
          <cell r="C6260">
            <v>700937</v>
          </cell>
          <cell r="D6260" t="str">
            <v>UC.SEAL 211_60X110</v>
          </cell>
        </row>
        <row r="6261">
          <cell r="C6261">
            <v>300938</v>
          </cell>
          <cell r="D6261" t="str">
            <v>NTA.CAGE 1625</v>
          </cell>
        </row>
        <row r="6262">
          <cell r="C6262">
            <v>500938</v>
          </cell>
          <cell r="D6262" t="str">
            <v>RO 1.984X4.3 BP</v>
          </cell>
        </row>
        <row r="6263">
          <cell r="C6263">
            <v>104006</v>
          </cell>
          <cell r="D6263" t="str">
            <v>BR.IR 282223 SPL.</v>
          </cell>
        </row>
        <row r="6264">
          <cell r="C6264">
            <v>208006</v>
          </cell>
          <cell r="D6264" t="str">
            <v>BR.OR 282223 SPL.</v>
          </cell>
        </row>
        <row r="6265">
          <cell r="C6265">
            <v>309006</v>
          </cell>
          <cell r="D6265" t="str">
            <v>BR.NCG 282223</v>
          </cell>
        </row>
        <row r="6266">
          <cell r="C6266">
            <v>410941</v>
          </cell>
          <cell r="D6266" t="str">
            <v>BR.K 282223        WITH R</v>
          </cell>
        </row>
        <row r="6267">
          <cell r="C6267">
            <v>511001</v>
          </cell>
          <cell r="D6267" t="str">
            <v>RO 2X9.8</v>
          </cell>
        </row>
        <row r="6268">
          <cell r="C6268">
            <v>612001</v>
          </cell>
          <cell r="D6268" t="str">
            <v>BR.N 2822</v>
          </cell>
        </row>
        <row r="6269">
          <cell r="C6269">
            <v>104009</v>
          </cell>
          <cell r="D6269" t="str">
            <v>BR.IR 282423X</v>
          </cell>
        </row>
        <row r="6270">
          <cell r="C6270">
            <v>208942</v>
          </cell>
          <cell r="D6270" t="str">
            <v>BR.OR 28242326</v>
          </cell>
        </row>
        <row r="6271">
          <cell r="C6271">
            <v>309006</v>
          </cell>
          <cell r="D6271" t="str">
            <v>BR.NCG 282223</v>
          </cell>
        </row>
        <row r="6272">
          <cell r="C6272">
            <v>410942</v>
          </cell>
          <cell r="D6272" t="str">
            <v>BR.K 28242326      WITH R</v>
          </cell>
        </row>
        <row r="6273">
          <cell r="C6273">
            <v>511003</v>
          </cell>
          <cell r="D6273" t="str">
            <v>RO 2.3X9.8</v>
          </cell>
        </row>
        <row r="6274">
          <cell r="C6274">
            <v>612090</v>
          </cell>
          <cell r="D6274" t="str">
            <v>BR.N 2815(06)</v>
          </cell>
        </row>
        <row r="6275">
          <cell r="C6275">
            <v>104046</v>
          </cell>
          <cell r="D6275" t="str">
            <v>BR.IR 322224 SPL.</v>
          </cell>
        </row>
        <row r="6276">
          <cell r="C6276">
            <v>208944</v>
          </cell>
          <cell r="D6276" t="str">
            <v>BR.OR 322224</v>
          </cell>
        </row>
        <row r="6277">
          <cell r="C6277">
            <v>309046.03999999998</v>
          </cell>
          <cell r="D6277" t="str">
            <v>BR.NCG 322224(LOCK TYPE)</v>
          </cell>
        </row>
        <row r="6278">
          <cell r="C6278">
            <v>410944</v>
          </cell>
          <cell r="D6278" t="str">
            <v>BR.K 322224        WITH R</v>
          </cell>
        </row>
        <row r="6279">
          <cell r="C6279">
            <v>511042</v>
          </cell>
          <cell r="D6279" t="str">
            <v>RO 2.5X10.8</v>
          </cell>
        </row>
        <row r="6280">
          <cell r="C6280">
            <v>612042</v>
          </cell>
          <cell r="D6280" t="str">
            <v>BR.N 3222</v>
          </cell>
        </row>
        <row r="6281">
          <cell r="C6281">
            <v>410007</v>
          </cell>
          <cell r="D6281" t="str">
            <v>BR.K 282423        WITH R</v>
          </cell>
        </row>
        <row r="6282">
          <cell r="C6282">
            <v>1422945</v>
          </cell>
          <cell r="D6282" t="str">
            <v>W 10X14.6X0.850</v>
          </cell>
        </row>
        <row r="6283">
          <cell r="C6283">
            <v>104946.01</v>
          </cell>
          <cell r="D6283" t="str">
            <v>IR.IR 31.750X37X18</v>
          </cell>
        </row>
        <row r="6284">
          <cell r="C6284">
            <v>309946.02</v>
          </cell>
          <cell r="D6284" t="str">
            <v>K.CAGE 37X42X17</v>
          </cell>
        </row>
        <row r="6285">
          <cell r="C6285">
            <v>511130</v>
          </cell>
          <cell r="D6285" t="str">
            <v>RO 2.5X13.8</v>
          </cell>
        </row>
        <row r="6286">
          <cell r="C6286">
            <v>100946.03</v>
          </cell>
          <cell r="D6286" t="str">
            <v>IR.IR 28X32X17</v>
          </cell>
        </row>
        <row r="6287">
          <cell r="C6287">
            <v>104075</v>
          </cell>
          <cell r="D6287" t="str">
            <v>BR.IR 402424</v>
          </cell>
        </row>
        <row r="6288">
          <cell r="C6288">
            <v>10947</v>
          </cell>
        </row>
        <row r="6289">
          <cell r="C6289">
            <v>208075</v>
          </cell>
          <cell r="D6289" t="str">
            <v>BR.OR 402424</v>
          </cell>
        </row>
        <row r="6290">
          <cell r="C6290">
            <v>309075</v>
          </cell>
          <cell r="D6290" t="str">
            <v>BR.NCG 402424</v>
          </cell>
        </row>
        <row r="6291">
          <cell r="C6291">
            <v>309947</v>
          </cell>
          <cell r="D6291" t="str">
            <v>NCG 20X35X2</v>
          </cell>
        </row>
        <row r="6292">
          <cell r="C6292">
            <v>511391</v>
          </cell>
          <cell r="D6292" t="str">
            <v>RO 2X4.8 SP</v>
          </cell>
        </row>
        <row r="6293">
          <cell r="C6293">
            <v>104948</v>
          </cell>
          <cell r="D6293" t="str">
            <v>4650 297/5(85X20(M64X2))F</v>
          </cell>
        </row>
        <row r="6294">
          <cell r="C6294">
            <v>104949</v>
          </cell>
          <cell r="D6294" t="str">
            <v>G050 307/3(40X12(M30X2))F</v>
          </cell>
        </row>
        <row r="6295">
          <cell r="C6295">
            <v>104950</v>
          </cell>
          <cell r="D6295" t="str">
            <v>G050 129/7(40X7(M30X2)) F</v>
          </cell>
        </row>
        <row r="6296">
          <cell r="C6296">
            <v>104155</v>
          </cell>
          <cell r="D6296" t="str">
            <v>BR.IR 30[P]15.875</v>
          </cell>
        </row>
        <row r="6297">
          <cell r="C6297">
            <v>208155</v>
          </cell>
          <cell r="D6297" t="str">
            <v>BR.OR 30[P]15.875</v>
          </cell>
        </row>
        <row r="6298">
          <cell r="C6298">
            <v>309001</v>
          </cell>
          <cell r="D6298" t="str">
            <v>BR.NCG 2822</v>
          </cell>
        </row>
        <row r="6299">
          <cell r="C6299">
            <v>511001</v>
          </cell>
          <cell r="D6299" t="str">
            <v>RO 2X9.8</v>
          </cell>
        </row>
        <row r="6300">
          <cell r="C6300">
            <v>612042</v>
          </cell>
          <cell r="D6300" t="str">
            <v>BR.N 3222</v>
          </cell>
        </row>
        <row r="6301">
          <cell r="C6301">
            <v>104952</v>
          </cell>
          <cell r="D6301" t="str">
            <v>BR.IR 30[P]16</v>
          </cell>
        </row>
        <row r="6302">
          <cell r="C6302">
            <v>208952</v>
          </cell>
          <cell r="D6302" t="str">
            <v>BR.OR 30[P]16</v>
          </cell>
        </row>
        <row r="6303">
          <cell r="C6303">
            <v>309001</v>
          </cell>
          <cell r="D6303" t="str">
            <v>BR.NCG 2822</v>
          </cell>
        </row>
        <row r="6304">
          <cell r="C6304">
            <v>511001</v>
          </cell>
          <cell r="D6304" t="str">
            <v>RO 2X9.8</v>
          </cell>
        </row>
        <row r="6305">
          <cell r="C6305">
            <v>612001</v>
          </cell>
          <cell r="D6305" t="str">
            <v>BR.N 2822</v>
          </cell>
        </row>
        <row r="6306">
          <cell r="C6306">
            <v>612953</v>
          </cell>
          <cell r="D6306" t="str">
            <v>NIPPLE M6X16 MATERIAL</v>
          </cell>
        </row>
        <row r="6307">
          <cell r="C6307">
            <v>104954</v>
          </cell>
          <cell r="D6307" t="str">
            <v>SL.IR 045012PP          F</v>
          </cell>
        </row>
        <row r="6308">
          <cell r="C6308">
            <v>208954</v>
          </cell>
          <cell r="D6308" t="str">
            <v>SL.OR 045012PP          F</v>
          </cell>
        </row>
        <row r="6309">
          <cell r="C6309">
            <v>511954</v>
          </cell>
          <cell r="D6309" t="str">
            <v>RO 9X13</v>
          </cell>
        </row>
        <row r="6310">
          <cell r="C6310">
            <v>717954</v>
          </cell>
          <cell r="D6310" t="str">
            <v>SL.METAL WASHER 045012PP</v>
          </cell>
        </row>
        <row r="6311">
          <cell r="C6311">
            <v>717954.01</v>
          </cell>
          <cell r="D6311" t="str">
            <v>SL.PU WASHER 045012PP</v>
          </cell>
        </row>
        <row r="6312">
          <cell r="C6312">
            <v>104955</v>
          </cell>
          <cell r="D6312" t="str">
            <v>BR.IR 3620 SPL.</v>
          </cell>
        </row>
        <row r="6313">
          <cell r="C6313">
            <v>208955</v>
          </cell>
          <cell r="D6313" t="str">
            <v>BR.OR 3719(25)26 X</v>
          </cell>
        </row>
        <row r="6314">
          <cell r="C6314">
            <v>309060</v>
          </cell>
          <cell r="D6314" t="str">
            <v>BR.NCG 3622</v>
          </cell>
        </row>
        <row r="6315">
          <cell r="C6315">
            <v>410955</v>
          </cell>
          <cell r="D6315" t="str">
            <v>BR.K 3719(25)26X   WITH R</v>
          </cell>
        </row>
        <row r="6316">
          <cell r="C6316">
            <v>511060</v>
          </cell>
          <cell r="D6316" t="str">
            <v>RO 2.5X9.8</v>
          </cell>
        </row>
        <row r="6317">
          <cell r="C6317">
            <v>612042</v>
          </cell>
          <cell r="D6317" t="str">
            <v>BR.N 3222</v>
          </cell>
        </row>
        <row r="6318">
          <cell r="C6318">
            <v>1422956</v>
          </cell>
          <cell r="D6318" t="str">
            <v>52 MM OD PULLY BEARING MA</v>
          </cell>
        </row>
        <row r="6319">
          <cell r="C6319">
            <v>104957</v>
          </cell>
          <cell r="D6319" t="str">
            <v>SL.IR 045010PP          F</v>
          </cell>
        </row>
        <row r="6320">
          <cell r="C6320">
            <v>208957</v>
          </cell>
          <cell r="D6320" t="str">
            <v>SL.OR 045010PP          F</v>
          </cell>
        </row>
        <row r="6321">
          <cell r="C6321">
            <v>511604.07</v>
          </cell>
          <cell r="D6321" t="str">
            <v>RO 7.5X11 BPM</v>
          </cell>
        </row>
        <row r="6322">
          <cell r="C6322">
            <v>717957</v>
          </cell>
          <cell r="D6322" t="str">
            <v>SL.METAL WASHER 045010PP</v>
          </cell>
        </row>
        <row r="6323">
          <cell r="C6323">
            <v>717957.01</v>
          </cell>
          <cell r="D6323" t="str">
            <v>SL.PU WASHER 045010PP</v>
          </cell>
        </row>
        <row r="6324">
          <cell r="C6324">
            <v>104958</v>
          </cell>
          <cell r="D6324" t="str">
            <v>SL.IR 045016PP          F</v>
          </cell>
        </row>
        <row r="6325">
          <cell r="C6325">
            <v>208958</v>
          </cell>
          <cell r="D6325" t="str">
            <v>SL.OR 045016PP          F</v>
          </cell>
        </row>
        <row r="6326">
          <cell r="C6326">
            <v>511958</v>
          </cell>
          <cell r="D6326" t="str">
            <v>RO 10X18</v>
          </cell>
        </row>
        <row r="6327">
          <cell r="C6327">
            <v>717958</v>
          </cell>
          <cell r="D6327" t="str">
            <v>SL.METAL WASHER 045016PP</v>
          </cell>
        </row>
        <row r="6328">
          <cell r="C6328">
            <v>717958.01</v>
          </cell>
          <cell r="D6328" t="str">
            <v>SL.PU WASHER 045016PP</v>
          </cell>
        </row>
        <row r="6329">
          <cell r="C6329">
            <v>1422959</v>
          </cell>
          <cell r="D6329" t="str">
            <v>Allen socket with K.Nut R</v>
          </cell>
        </row>
        <row r="6330">
          <cell r="C6330">
            <v>1422960</v>
          </cell>
          <cell r="D6330" t="str">
            <v>AS 5070 MATERIAL</v>
          </cell>
        </row>
        <row r="6331">
          <cell r="C6331">
            <v>1422960</v>
          </cell>
          <cell r="D6331" t="str">
            <v>AS 5070 MATERIAL</v>
          </cell>
        </row>
        <row r="6332">
          <cell r="C6332">
            <v>1422960.22</v>
          </cell>
          <cell r="D6332" t="str">
            <v>AS 5070 THK 1.5 MATERIAL</v>
          </cell>
        </row>
        <row r="6333">
          <cell r="C6333">
            <v>1422960.3</v>
          </cell>
          <cell r="D6333" t="str">
            <v>AS 5578 MATERIAL</v>
          </cell>
        </row>
        <row r="6334">
          <cell r="C6334">
            <v>1422960.41</v>
          </cell>
          <cell r="D6334" t="str">
            <v>AS 5470 MATERIAL.</v>
          </cell>
        </row>
        <row r="6335">
          <cell r="C6335">
            <v>1422961</v>
          </cell>
          <cell r="D6335" t="str">
            <v>AS 3047 MATERIAL</v>
          </cell>
        </row>
        <row r="6336">
          <cell r="C6336">
            <v>1422962</v>
          </cell>
          <cell r="D6336" t="str">
            <v>AS 08X21X1 MATERIAL</v>
          </cell>
        </row>
        <row r="6337">
          <cell r="C6337">
            <v>1422963</v>
          </cell>
          <cell r="D6337" t="str">
            <v>AS 90120 MATERIAL</v>
          </cell>
        </row>
        <row r="6338">
          <cell r="C6338">
            <v>1422964</v>
          </cell>
          <cell r="D6338" t="str">
            <v>AS 4060 MATERIAL</v>
          </cell>
        </row>
        <row r="6339">
          <cell r="C6339">
            <v>1422964</v>
          </cell>
          <cell r="D6339" t="str">
            <v>AS 4060 MATERIAL</v>
          </cell>
        </row>
        <row r="6340">
          <cell r="C6340">
            <v>511991</v>
          </cell>
          <cell r="D6340" t="str">
            <v>RO 4X22.8</v>
          </cell>
        </row>
        <row r="6341">
          <cell r="C6341">
            <v>511965.11</v>
          </cell>
          <cell r="D6341" t="str">
            <v>RO 3X23</v>
          </cell>
        </row>
        <row r="6342">
          <cell r="C6342">
            <v>511965.21</v>
          </cell>
          <cell r="D6342" t="str">
            <v>RO 1.5X9.8  BR</v>
          </cell>
        </row>
        <row r="6343">
          <cell r="C6343">
            <v>500965.23</v>
          </cell>
          <cell r="D6343" t="str">
            <v>RO 2X19</v>
          </cell>
        </row>
        <row r="6344">
          <cell r="C6344">
            <v>500965.24</v>
          </cell>
          <cell r="D6344" t="str">
            <v>RO 2X14</v>
          </cell>
        </row>
        <row r="6345">
          <cell r="C6345">
            <v>503114.5</v>
          </cell>
          <cell r="D6345" t="str">
            <v>RO 2X14 BP</v>
          </cell>
        </row>
        <row r="6346">
          <cell r="C6346">
            <v>500965.22</v>
          </cell>
          <cell r="D6346" t="str">
            <v>RO 5X29.8</v>
          </cell>
        </row>
        <row r="6347">
          <cell r="C6347">
            <v>500883.5</v>
          </cell>
          <cell r="D6347" t="str">
            <v>RO 2X15.8 BP</v>
          </cell>
        </row>
        <row r="6348">
          <cell r="C6348">
            <v>500965.24</v>
          </cell>
          <cell r="D6348" t="str">
            <v>RO 2X14</v>
          </cell>
        </row>
        <row r="6349">
          <cell r="C6349">
            <v>500965.31</v>
          </cell>
          <cell r="D6349" t="str">
            <v>RO 2X18</v>
          </cell>
        </row>
        <row r="6350">
          <cell r="C6350">
            <v>511965.32</v>
          </cell>
          <cell r="D6350" t="str">
            <v>RO 6X15 BP</v>
          </cell>
        </row>
        <row r="6351">
          <cell r="C6351">
            <v>100965.33</v>
          </cell>
          <cell r="D6351" t="str">
            <v>SHAFT 5.0 x 21.00</v>
          </cell>
        </row>
        <row r="6352">
          <cell r="C6352">
            <v>100965.34</v>
          </cell>
          <cell r="D6352" t="str">
            <v>SHAFT 6.0 x 47.00</v>
          </cell>
        </row>
        <row r="6353">
          <cell r="C6353">
            <v>500965.35</v>
          </cell>
          <cell r="D6353" t="str">
            <v>RO 7X14 BPM</v>
          </cell>
        </row>
        <row r="6354">
          <cell r="C6354">
            <v>104966</v>
          </cell>
          <cell r="D6354" t="str">
            <v>NAU.IR 4906 UU          F</v>
          </cell>
        </row>
        <row r="6355">
          <cell r="C6355">
            <v>104966.01</v>
          </cell>
          <cell r="D6355" t="str">
            <v>NAU.IR W 4906 UU        F</v>
          </cell>
        </row>
        <row r="6356">
          <cell r="C6356">
            <v>208966</v>
          </cell>
          <cell r="D6356" t="str">
            <v>NAU.OR 4906 UU          F</v>
          </cell>
        </row>
        <row r="6357">
          <cell r="C6357">
            <v>309966</v>
          </cell>
          <cell r="D6357" t="str">
            <v>NAU.MCG 4906 UU</v>
          </cell>
        </row>
        <row r="6358">
          <cell r="C6358">
            <v>511966</v>
          </cell>
          <cell r="D6358" t="str">
            <v>RO 3.5X3.9 BPM</v>
          </cell>
        </row>
        <row r="6359">
          <cell r="C6359">
            <v>717966</v>
          </cell>
          <cell r="D6359" t="str">
            <v>NAU.SEAL 4906 UU</v>
          </cell>
        </row>
        <row r="6360">
          <cell r="C6360">
            <v>104966</v>
          </cell>
          <cell r="D6360" t="str">
            <v>NAU.IR 4906 UU          F</v>
          </cell>
        </row>
        <row r="6361">
          <cell r="C6361">
            <v>104966.01</v>
          </cell>
          <cell r="D6361" t="str">
            <v>NAU.IR W 4906 UU        F</v>
          </cell>
        </row>
        <row r="6362">
          <cell r="C6362">
            <v>208966</v>
          </cell>
          <cell r="D6362" t="str">
            <v>NAU.OR 4906 UU          F</v>
          </cell>
        </row>
        <row r="6363">
          <cell r="C6363">
            <v>309966</v>
          </cell>
          <cell r="D6363" t="str">
            <v>NAU.MCG 4906 UU</v>
          </cell>
        </row>
        <row r="6364">
          <cell r="C6364">
            <v>511966</v>
          </cell>
          <cell r="D6364" t="str">
            <v>RO 3.5X3.9 BPM</v>
          </cell>
        </row>
        <row r="6365">
          <cell r="C6365">
            <v>717966</v>
          </cell>
          <cell r="D6365" t="str">
            <v>NAU.SEAL 4906 UU</v>
          </cell>
        </row>
        <row r="6366">
          <cell r="C6366">
            <v>104967</v>
          </cell>
          <cell r="D6366" t="str">
            <v>IR.IR 10X14X18.5</v>
          </cell>
        </row>
        <row r="6367">
          <cell r="C6367">
            <v>104968</v>
          </cell>
          <cell r="D6367" t="str">
            <v>IR.IR 10X14X30.5</v>
          </cell>
        </row>
        <row r="6368">
          <cell r="C6368">
            <v>1422969</v>
          </cell>
          <cell r="D6368" t="str">
            <v>JL 1812 BEARING MATERIAL</v>
          </cell>
        </row>
        <row r="6369">
          <cell r="C6369">
            <v>1422970</v>
          </cell>
          <cell r="D6369" t="str">
            <v>7-24-13-9 material</v>
          </cell>
        </row>
        <row r="6370">
          <cell r="C6370">
            <v>104971</v>
          </cell>
          <cell r="D6370" t="str">
            <v>SAT.IR 35               F</v>
          </cell>
        </row>
        <row r="6371">
          <cell r="C6371">
            <v>208971</v>
          </cell>
          <cell r="D6371" t="str">
            <v>SAT.OR 35               F</v>
          </cell>
        </row>
        <row r="6372">
          <cell r="C6372">
            <v>208971</v>
          </cell>
          <cell r="D6372" t="str">
            <v>SAT.OR 35               F</v>
          </cell>
        </row>
        <row r="6373">
          <cell r="C6373">
            <v>104971</v>
          </cell>
          <cell r="D6373" t="str">
            <v>SAT.IR 35               F</v>
          </cell>
        </row>
        <row r="6374">
          <cell r="C6374">
            <v>104971</v>
          </cell>
          <cell r="D6374" t="str">
            <v>SAT.IR 35               F</v>
          </cell>
        </row>
        <row r="6375">
          <cell r="C6375">
            <v>208971</v>
          </cell>
          <cell r="D6375" t="str">
            <v>SAT.OR 35               F</v>
          </cell>
        </row>
        <row r="6376">
          <cell r="C6376">
            <v>104971</v>
          </cell>
          <cell r="D6376" t="str">
            <v>SAT.IR 35               F</v>
          </cell>
        </row>
        <row r="6377">
          <cell r="C6377">
            <v>104972</v>
          </cell>
          <cell r="D6377" t="str">
            <v>SAT.IR 20               F</v>
          </cell>
        </row>
        <row r="6378">
          <cell r="C6378">
            <v>208972</v>
          </cell>
          <cell r="D6378" t="str">
            <v>SAT.OR 20               F</v>
          </cell>
        </row>
        <row r="6379">
          <cell r="C6379">
            <v>208972</v>
          </cell>
          <cell r="D6379" t="str">
            <v>SAT.OR 20               F</v>
          </cell>
        </row>
        <row r="6380">
          <cell r="C6380">
            <v>104972</v>
          </cell>
          <cell r="D6380" t="str">
            <v>SAT.IR 20               F</v>
          </cell>
        </row>
        <row r="6381">
          <cell r="C6381">
            <v>100972.05</v>
          </cell>
          <cell r="D6381" t="str">
            <v>SAT.IR 21</v>
          </cell>
        </row>
        <row r="6382">
          <cell r="C6382">
            <v>200972.05</v>
          </cell>
          <cell r="D6382" t="str">
            <v>SAT.OR 21</v>
          </cell>
        </row>
        <row r="6383">
          <cell r="C6383">
            <v>200972.05</v>
          </cell>
          <cell r="D6383" t="str">
            <v>SAT.OR 21</v>
          </cell>
        </row>
        <row r="6384">
          <cell r="C6384">
            <v>100972.05</v>
          </cell>
          <cell r="D6384" t="str">
            <v>SAT.IR 21</v>
          </cell>
        </row>
        <row r="6385">
          <cell r="C6385">
            <v>104973</v>
          </cell>
          <cell r="D6385" t="str">
            <v>SAT.IR 17               F</v>
          </cell>
        </row>
        <row r="6386">
          <cell r="C6386">
            <v>208973</v>
          </cell>
          <cell r="D6386" t="str">
            <v>SAT.OR 17               F</v>
          </cell>
        </row>
        <row r="6387">
          <cell r="C6387">
            <v>208973</v>
          </cell>
          <cell r="D6387" t="str">
            <v>SAT.OR 17               F</v>
          </cell>
        </row>
        <row r="6388">
          <cell r="C6388">
            <v>104973</v>
          </cell>
          <cell r="D6388" t="str">
            <v>SAT.IR 17               F</v>
          </cell>
        </row>
        <row r="6389">
          <cell r="C6389">
            <v>309974</v>
          </cell>
          <cell r="D6389" t="str">
            <v>NCG (LINEAR CAGE) G 30%</v>
          </cell>
        </row>
        <row r="6390">
          <cell r="C6390">
            <v>511993</v>
          </cell>
          <cell r="D6390" t="str">
            <v>BALL 5/16"(IS:2898-1976)</v>
          </cell>
        </row>
        <row r="6391">
          <cell r="C6391">
            <v>1422975.01</v>
          </cell>
          <cell r="D6391" t="str">
            <v>NATV 8 MATERIAL</v>
          </cell>
        </row>
        <row r="6392">
          <cell r="C6392">
            <v>1422975.01</v>
          </cell>
          <cell r="D6392" t="str">
            <v>NATV 8 MATERIAL</v>
          </cell>
        </row>
        <row r="6393">
          <cell r="C6393">
            <v>511389</v>
          </cell>
          <cell r="D6393" t="str">
            <v>RO 1.98 X 9.80 BP</v>
          </cell>
        </row>
        <row r="6394">
          <cell r="C6394">
            <v>1422976</v>
          </cell>
          <cell r="D6394" t="str">
            <v>NATV 6 material.</v>
          </cell>
        </row>
        <row r="6395">
          <cell r="C6395">
            <v>511200</v>
          </cell>
          <cell r="D6395" t="str">
            <v>RO 1.5X9.3</v>
          </cell>
        </row>
        <row r="6396">
          <cell r="C6396">
            <v>1422976</v>
          </cell>
          <cell r="D6396" t="str">
            <v>NATV 6 material.</v>
          </cell>
        </row>
        <row r="6397">
          <cell r="C6397">
            <v>511427</v>
          </cell>
          <cell r="D6397" t="str">
            <v>RO 1.5X7.8 BP</v>
          </cell>
        </row>
        <row r="6398">
          <cell r="C6398">
            <v>208977</v>
          </cell>
          <cell r="D6398" t="str">
            <v>OR.SC 36266</v>
          </cell>
        </row>
        <row r="6399">
          <cell r="C6399">
            <v>309977</v>
          </cell>
          <cell r="D6399" t="str">
            <v>NCG.SC 36266</v>
          </cell>
        </row>
        <row r="6400">
          <cell r="C6400">
            <v>511212</v>
          </cell>
          <cell r="D6400" t="str">
            <v>RO 4X4</v>
          </cell>
        </row>
        <row r="6401">
          <cell r="C6401">
            <v>1422978</v>
          </cell>
          <cell r="D6401" t="str">
            <v>WB 24-11.1-34-51.5 mater.</v>
          </cell>
        </row>
        <row r="6402">
          <cell r="C6402">
            <v>5221201.08</v>
          </cell>
          <cell r="D6402" t="str">
            <v>O StaburagsNBU4 (KLUBER)</v>
          </cell>
        </row>
        <row r="6403">
          <cell r="C6403">
            <v>1422978.01</v>
          </cell>
          <cell r="D6403" t="str">
            <v>WB 24-11.1-34-59 material</v>
          </cell>
        </row>
        <row r="6404">
          <cell r="C6404">
            <v>5221201.08</v>
          </cell>
          <cell r="D6404" t="str">
            <v>O StaburagsNBU4 (KLUBER)</v>
          </cell>
        </row>
        <row r="6405">
          <cell r="C6405">
            <v>1422979</v>
          </cell>
          <cell r="D6405" t="str">
            <v>F 218989</v>
          </cell>
        </row>
        <row r="6406">
          <cell r="C6406">
            <v>1422980</v>
          </cell>
          <cell r="D6406" t="str">
            <v>WB 22-9.3-24-36.4 Materil</v>
          </cell>
        </row>
        <row r="6407">
          <cell r="C6407">
            <v>1422981</v>
          </cell>
          <cell r="D6407" t="str">
            <v>WB 6-14-24-41 Material</v>
          </cell>
        </row>
        <row r="6408">
          <cell r="C6408">
            <v>1422982</v>
          </cell>
          <cell r="D6408" t="str">
            <v>WB 25-8-41.7-60 Materials</v>
          </cell>
        </row>
        <row r="6409">
          <cell r="C6409">
            <v>1422983</v>
          </cell>
          <cell r="D6409" t="str">
            <v>WB 19-8-22-35   Materials</v>
          </cell>
        </row>
        <row r="6410">
          <cell r="C6410">
            <v>511991</v>
          </cell>
          <cell r="D6410" t="str">
            <v>RO 4X22.8</v>
          </cell>
        </row>
        <row r="6411">
          <cell r="C6411">
            <v>511984.02</v>
          </cell>
          <cell r="D6411" t="str">
            <v>RO 2X17.8</v>
          </cell>
        </row>
        <row r="6412">
          <cell r="C6412">
            <v>511819.01</v>
          </cell>
          <cell r="D6412" t="str">
            <v>RO 3X15.8</v>
          </cell>
        </row>
        <row r="6413">
          <cell r="C6413">
            <v>511984.02</v>
          </cell>
          <cell r="D6413" t="str">
            <v>RO 2X17.8</v>
          </cell>
        </row>
        <row r="6414">
          <cell r="C6414">
            <v>1422985</v>
          </cell>
          <cell r="D6414" t="str">
            <v>WB 16-7.5-25-50 OG  Mater</v>
          </cell>
        </row>
        <row r="6415">
          <cell r="C6415">
            <v>1422985.01</v>
          </cell>
          <cell r="D6415" t="str">
            <v>WB 16-7.5-25-42WPmaterial</v>
          </cell>
        </row>
        <row r="6416">
          <cell r="C6416">
            <v>717985.01</v>
          </cell>
          <cell r="D6416" t="str">
            <v>WB 16-7.5-25-42DUTTI</v>
          </cell>
        </row>
        <row r="6417">
          <cell r="C6417">
            <v>104986</v>
          </cell>
          <cell r="D6417" t="str">
            <v>SHAFT (7.8X35)          F</v>
          </cell>
        </row>
        <row r="6418">
          <cell r="C6418">
            <v>1422986</v>
          </cell>
          <cell r="D6418" t="str">
            <v>WB 17.79/18-7.8-16-35 Mat</v>
          </cell>
        </row>
        <row r="6419">
          <cell r="C6419">
            <v>208986.01</v>
          </cell>
          <cell r="D6419" t="str">
            <v>BALL WASHER(12.5X17.8X6)F</v>
          </cell>
        </row>
        <row r="6420">
          <cell r="C6420">
            <v>208986.02</v>
          </cell>
          <cell r="D6420" t="str">
            <v>BUSH WASHER(12.35X18X6) F</v>
          </cell>
        </row>
        <row r="6421">
          <cell r="C6421">
            <v>208986.03</v>
          </cell>
          <cell r="D6421" t="str">
            <v>NEEDLE WASHER(13.8X18X5)F</v>
          </cell>
        </row>
        <row r="6422">
          <cell r="C6422">
            <v>208986.04</v>
          </cell>
          <cell r="D6422" t="str">
            <v>END WASHER(8.15X18X5)   F</v>
          </cell>
        </row>
        <row r="6423">
          <cell r="C6423">
            <v>309986.01</v>
          </cell>
          <cell r="D6423" t="str">
            <v>BALL CAGE</v>
          </cell>
        </row>
        <row r="6424">
          <cell r="C6424">
            <v>309986.02</v>
          </cell>
          <cell r="D6424" t="str">
            <v>NEEDLE CAGE</v>
          </cell>
        </row>
        <row r="6425">
          <cell r="C6425">
            <v>511183</v>
          </cell>
          <cell r="D6425" t="str">
            <v>BALL 1/8" (IS:2898-1976)</v>
          </cell>
        </row>
        <row r="6426">
          <cell r="C6426">
            <v>511986</v>
          </cell>
          <cell r="D6426" t="str">
            <v>RO 3X5 BPM</v>
          </cell>
        </row>
        <row r="6427">
          <cell r="C6427">
            <v>1422986.01</v>
          </cell>
          <cell r="D6427" t="str">
            <v>WB 17.79/18-7.8-16-35Mat</v>
          </cell>
        </row>
        <row r="6428">
          <cell r="C6428">
            <v>309986.02</v>
          </cell>
          <cell r="D6428" t="str">
            <v>NEEDLE CAGE</v>
          </cell>
        </row>
        <row r="6429">
          <cell r="C6429">
            <v>1422987</v>
          </cell>
          <cell r="D6429" t="str">
            <v>FC 26-12-44-143/19.5 Mate</v>
          </cell>
        </row>
        <row r="6430">
          <cell r="C6430">
            <v>1422988</v>
          </cell>
          <cell r="D6430" t="str">
            <v>WB 16-7.5-20-40/8 Materia</v>
          </cell>
        </row>
        <row r="6431">
          <cell r="C6431">
            <v>1422989</v>
          </cell>
          <cell r="D6431" t="str">
            <v>WB 16-7.5-20-28 Materials</v>
          </cell>
        </row>
        <row r="6432">
          <cell r="C6432">
            <v>1422989.01</v>
          </cell>
          <cell r="D6432" t="str">
            <v>WB16-7.5-20-28OGaterials</v>
          </cell>
        </row>
        <row r="6433">
          <cell r="C6433">
            <v>1422990</v>
          </cell>
          <cell r="D6433" t="str">
            <v>WB 18-7.5-22-30 Materials</v>
          </cell>
        </row>
        <row r="6434">
          <cell r="C6434">
            <v>1422991</v>
          </cell>
          <cell r="D6434" t="str">
            <v>WB 19-9-22-34   Materials</v>
          </cell>
        </row>
        <row r="6435">
          <cell r="C6435">
            <v>1422991.01</v>
          </cell>
          <cell r="D6435" t="str">
            <v>WB 19-9-22-34 OGMaterials</v>
          </cell>
        </row>
        <row r="6436">
          <cell r="C6436">
            <v>1422992</v>
          </cell>
          <cell r="D6436" t="str">
            <v>WB 19-9-22-42   Material</v>
          </cell>
        </row>
        <row r="6437">
          <cell r="C6437">
            <v>1422993</v>
          </cell>
          <cell r="D6437" t="str">
            <v>WB 19-9-22-35   Materials</v>
          </cell>
        </row>
        <row r="6438">
          <cell r="C6438">
            <v>1422994</v>
          </cell>
          <cell r="D6438" t="str">
            <v>WB22-9.3-24-41.5Materials</v>
          </cell>
        </row>
        <row r="6439">
          <cell r="C6439">
            <v>208995</v>
          </cell>
          <cell r="D6439" t="str">
            <v>STO 6 FC O/R</v>
          </cell>
        </row>
        <row r="6440">
          <cell r="C6440">
            <v>511984</v>
          </cell>
          <cell r="D6440" t="str">
            <v>RO 1.5X9.2</v>
          </cell>
        </row>
        <row r="6441">
          <cell r="C6441">
            <v>1422996</v>
          </cell>
          <cell r="D6441" t="str">
            <v>CN.BUSH 1210</v>
          </cell>
        </row>
        <row r="6442">
          <cell r="C6442">
            <v>511982</v>
          </cell>
          <cell r="D6442" t="str">
            <v>RO 2.22X7.3 BP.</v>
          </cell>
        </row>
        <row r="6443">
          <cell r="C6443">
            <v>1422997</v>
          </cell>
          <cell r="D6443" t="str">
            <v>CN.BUSH 90001</v>
          </cell>
        </row>
        <row r="6444">
          <cell r="C6444">
            <v>511997.01</v>
          </cell>
          <cell r="D6444" t="str">
            <v>RO 2.046X8.750 BP</v>
          </cell>
        </row>
        <row r="6445">
          <cell r="C6445">
            <v>9916487</v>
          </cell>
          <cell r="D6445" t="str">
            <v>SCRAP PIPE/BAR (JOB WORK)</v>
          </cell>
        </row>
        <row r="6446">
          <cell r="C6446">
            <v>9916488</v>
          </cell>
          <cell r="D6446" t="str">
            <v>SCRAP STRIPS (JOB WORK)</v>
          </cell>
        </row>
        <row r="6447">
          <cell r="C6447">
            <v>9916489</v>
          </cell>
          <cell r="D6447" t="str">
            <v>SCRAP NYLONE (JOB WORK)</v>
          </cell>
        </row>
        <row r="6448">
          <cell r="C6448">
            <v>9916488</v>
          </cell>
          <cell r="D6448" t="str">
            <v>SCRAP STRIPS (JOB WORK)</v>
          </cell>
        </row>
        <row r="6449">
          <cell r="C6449">
            <v>208999</v>
          </cell>
          <cell r="D6449" t="str">
            <v>F.OR 93024</v>
          </cell>
        </row>
        <row r="6450">
          <cell r="C6450">
            <v>612999</v>
          </cell>
          <cell r="D6450" t="str">
            <v>F RUBBER 93024</v>
          </cell>
        </row>
        <row r="6451">
          <cell r="C6451">
            <v>101001</v>
          </cell>
          <cell r="D6451" t="str">
            <v>MCFR.STADE 90 S</v>
          </cell>
        </row>
        <row r="6452">
          <cell r="C6452">
            <v>101001.01</v>
          </cell>
          <cell r="D6452" t="str">
            <v>MFCR.WASHER 90 S</v>
          </cell>
        </row>
        <row r="6453">
          <cell r="C6453">
            <v>201001</v>
          </cell>
          <cell r="D6453" t="str">
            <v>MCFR.OR 90 S</v>
          </cell>
        </row>
        <row r="6454">
          <cell r="C6454">
            <v>301001</v>
          </cell>
          <cell r="D6454" t="str">
            <v>MCG.MCGR 90 S</v>
          </cell>
        </row>
        <row r="6455">
          <cell r="C6455">
            <v>501001</v>
          </cell>
          <cell r="D6455" t="str">
            <v>RO 4X23.8 BP</v>
          </cell>
        </row>
        <row r="6456">
          <cell r="C6456">
            <v>601001</v>
          </cell>
          <cell r="D6456" t="str">
            <v>MCFR.N 90 S</v>
          </cell>
        </row>
        <row r="6457">
          <cell r="C6457">
            <v>601001.01</v>
          </cell>
          <cell r="D6457" t="str">
            <v>MCFR.G.S.90</v>
          </cell>
        </row>
        <row r="6458">
          <cell r="C6458">
            <v>701001</v>
          </cell>
          <cell r="D6458" t="str">
            <v>NUT (30X1.5)</v>
          </cell>
        </row>
        <row r="6459">
          <cell r="C6459">
            <v>701001.01</v>
          </cell>
          <cell r="D6459" t="str">
            <v>MCGR.NYLON WASHER 90 S</v>
          </cell>
        </row>
        <row r="6460">
          <cell r="C6460">
            <v>1421002</v>
          </cell>
          <cell r="D6460" t="str">
            <v>PIN 7PG16L</v>
          </cell>
        </row>
        <row r="6461">
          <cell r="C6461">
            <v>104808.21</v>
          </cell>
          <cell r="D6461" t="str">
            <v>IR.IR 10X14X16.5</v>
          </cell>
        </row>
        <row r="6462">
          <cell r="C6462">
            <v>1421003.01</v>
          </cell>
          <cell r="D6462">
            <v>4920892</v>
          </cell>
        </row>
        <row r="6463">
          <cell r="C6463">
            <v>1421003.02</v>
          </cell>
          <cell r="D6463">
            <v>4920893</v>
          </cell>
        </row>
        <row r="6464">
          <cell r="C6464">
            <v>1421003.03</v>
          </cell>
          <cell r="D6464">
            <v>4920894</v>
          </cell>
        </row>
        <row r="6465">
          <cell r="C6465">
            <v>1421003.04</v>
          </cell>
          <cell r="D6465" t="str">
            <v>4920897 WASHER</v>
          </cell>
        </row>
        <row r="6466">
          <cell r="C6466">
            <v>611003</v>
          </cell>
          <cell r="D6466" t="str">
            <v>4920896 RIVET</v>
          </cell>
        </row>
        <row r="6467">
          <cell r="C6467">
            <v>104808.21</v>
          </cell>
          <cell r="D6467" t="str">
            <v>IR.IR 10X14X16.5</v>
          </cell>
        </row>
        <row r="6468">
          <cell r="C6468">
            <v>1421003.01</v>
          </cell>
          <cell r="D6468">
            <v>4920892</v>
          </cell>
        </row>
        <row r="6469">
          <cell r="C6469">
            <v>1421003.03</v>
          </cell>
          <cell r="D6469">
            <v>4920894</v>
          </cell>
        </row>
        <row r="6470">
          <cell r="C6470">
            <v>1421003.04</v>
          </cell>
          <cell r="D6470" t="str">
            <v>4920897 WASHER</v>
          </cell>
        </row>
        <row r="6471">
          <cell r="C6471">
            <v>1421003.22</v>
          </cell>
          <cell r="D6471" t="str">
            <v>4920893  SPL</v>
          </cell>
        </row>
        <row r="6472">
          <cell r="C6472">
            <v>611003</v>
          </cell>
          <cell r="D6472" t="str">
            <v>4920896 RIVET</v>
          </cell>
        </row>
        <row r="6473">
          <cell r="C6473">
            <v>101003.31</v>
          </cell>
          <cell r="D6473" t="str">
            <v>85MM LENGTH LINK</v>
          </cell>
        </row>
        <row r="6474">
          <cell r="C6474">
            <v>101003.32</v>
          </cell>
          <cell r="D6474" t="str">
            <v>98MM LENGTH LINK</v>
          </cell>
        </row>
        <row r="6475">
          <cell r="C6475">
            <v>101003.33</v>
          </cell>
          <cell r="D6475" t="str">
            <v>150MM LENGTH LINK</v>
          </cell>
        </row>
        <row r="6476">
          <cell r="C6476">
            <v>101003.34</v>
          </cell>
          <cell r="D6476" t="str">
            <v>163MM LENGTH LINK</v>
          </cell>
        </row>
        <row r="6477">
          <cell r="C6477">
            <v>701003.31</v>
          </cell>
          <cell r="D6477" t="str">
            <v>SCISSOR ASSLY RIVET 4MM</v>
          </cell>
        </row>
        <row r="6478">
          <cell r="C6478">
            <v>701003.32</v>
          </cell>
          <cell r="D6478" t="str">
            <v>SCISSOR ASSLY WASHER 4MM</v>
          </cell>
        </row>
        <row r="6479">
          <cell r="C6479">
            <v>1421003.33</v>
          </cell>
          <cell r="D6479" t="str">
            <v>Simens circlip</v>
          </cell>
        </row>
        <row r="6480">
          <cell r="C6480">
            <v>1421003.31</v>
          </cell>
          <cell r="D6480" t="str">
            <v>245GOSP SCISSORASSLY mate</v>
          </cell>
        </row>
        <row r="6481">
          <cell r="C6481">
            <v>1421003.32</v>
          </cell>
          <cell r="D6481" t="str">
            <v>491306 LINK</v>
          </cell>
        </row>
        <row r="6482">
          <cell r="C6482">
            <v>1421003.33</v>
          </cell>
          <cell r="D6482" t="str">
            <v>Simens circlip</v>
          </cell>
        </row>
        <row r="6483">
          <cell r="C6483">
            <v>1421007</v>
          </cell>
          <cell r="D6483" t="str">
            <v>940041790 material</v>
          </cell>
        </row>
        <row r="6484">
          <cell r="C6484">
            <v>1421011</v>
          </cell>
          <cell r="D6484" t="str">
            <v>940041949 material</v>
          </cell>
        </row>
        <row r="6485">
          <cell r="C6485">
            <v>1421004</v>
          </cell>
          <cell r="D6485" t="str">
            <v>940041770 material</v>
          </cell>
        </row>
        <row r="6486">
          <cell r="C6486">
            <v>101005</v>
          </cell>
          <cell r="D6486" t="str">
            <v>SL.IR 18 3006 A</v>
          </cell>
        </row>
        <row r="6487">
          <cell r="C6487">
            <v>201005</v>
          </cell>
          <cell r="D6487" t="str">
            <v>SL.OR 18 3006 A</v>
          </cell>
        </row>
        <row r="6488">
          <cell r="C6488">
            <v>501005</v>
          </cell>
          <cell r="D6488" t="str">
            <v>RO 7X10</v>
          </cell>
        </row>
        <row r="6489">
          <cell r="C6489">
            <v>5221201.04</v>
          </cell>
        </row>
        <row r="6490">
          <cell r="C6490">
            <v>701005</v>
          </cell>
          <cell r="D6490" t="str">
            <v>SNAP RING SL 18 3006 A</v>
          </cell>
        </row>
        <row r="6491">
          <cell r="C6491">
            <v>101006</v>
          </cell>
          <cell r="D6491" t="str">
            <v>MCFD.STADE 52</v>
          </cell>
        </row>
        <row r="6492">
          <cell r="C6492">
            <v>101006.01</v>
          </cell>
          <cell r="D6492" t="str">
            <v>MCFD.WASHER 52</v>
          </cell>
        </row>
        <row r="6493">
          <cell r="C6493">
            <v>201006</v>
          </cell>
          <cell r="D6493" t="str">
            <v>MCFD.OR 52</v>
          </cell>
        </row>
        <row r="6494">
          <cell r="C6494">
            <v>511484</v>
          </cell>
          <cell r="D6494" t="str">
            <v>RO 5X8</v>
          </cell>
        </row>
        <row r="6495">
          <cell r="C6495">
            <v>612006</v>
          </cell>
          <cell r="D6495" t="str">
            <v>MCFD.N 52</v>
          </cell>
        </row>
        <row r="6496">
          <cell r="C6496">
            <v>701006</v>
          </cell>
          <cell r="D6496" t="str">
            <v>MCFD.NUT 52</v>
          </cell>
        </row>
        <row r="6497">
          <cell r="C6497">
            <v>701006.01</v>
          </cell>
          <cell r="D6497" t="str">
            <v>MCFD.SHEETMETALWASHER 52</v>
          </cell>
        </row>
        <row r="6498">
          <cell r="C6498">
            <v>701006.02</v>
          </cell>
          <cell r="D6498" t="str">
            <v>MCFD.CAP 52</v>
          </cell>
        </row>
        <row r="6499">
          <cell r="C6499">
            <v>1421007</v>
          </cell>
          <cell r="D6499" t="str">
            <v>940041790 material</v>
          </cell>
        </row>
        <row r="6500">
          <cell r="C6500">
            <v>1421008</v>
          </cell>
          <cell r="D6500" t="str">
            <v>940041795 material</v>
          </cell>
        </row>
        <row r="6501">
          <cell r="C6501">
            <v>1421008.01</v>
          </cell>
          <cell r="D6501" t="str">
            <v>940041795 material</v>
          </cell>
        </row>
        <row r="6502">
          <cell r="C6502">
            <v>1421008.02</v>
          </cell>
          <cell r="D6502" t="str">
            <v>940041795(T-400-3045)</v>
          </cell>
        </row>
        <row r="6503">
          <cell r="C6503">
            <v>1421009</v>
          </cell>
          <cell r="D6503" t="str">
            <v>930041746 material</v>
          </cell>
        </row>
        <row r="6504">
          <cell r="C6504">
            <v>1421010</v>
          </cell>
          <cell r="D6504" t="str">
            <v>940042650 material</v>
          </cell>
        </row>
        <row r="6505">
          <cell r="C6505">
            <v>1421010</v>
          </cell>
          <cell r="D6505" t="str">
            <v>940042650 material</v>
          </cell>
        </row>
        <row r="6506">
          <cell r="C6506">
            <v>1421011</v>
          </cell>
          <cell r="D6506" t="str">
            <v>940041949 material</v>
          </cell>
        </row>
        <row r="6507">
          <cell r="C6507">
            <v>1421012</v>
          </cell>
          <cell r="D6507" t="str">
            <v>940041544/MAC material</v>
          </cell>
        </row>
        <row r="6508">
          <cell r="C6508">
            <v>1421012.1</v>
          </cell>
          <cell r="D6508" t="str">
            <v>T-400-3266 material</v>
          </cell>
        </row>
        <row r="6509">
          <cell r="C6509">
            <v>1421012.2</v>
          </cell>
          <cell r="D6509" t="str">
            <v>940041288 MATERIAL</v>
          </cell>
        </row>
        <row r="6510">
          <cell r="C6510">
            <v>1421013</v>
          </cell>
          <cell r="D6510" t="str">
            <v>940041546/MAC material</v>
          </cell>
        </row>
        <row r="6511">
          <cell r="C6511">
            <v>1421013.01</v>
          </cell>
          <cell r="D6511">
            <v>940041599</v>
          </cell>
        </row>
        <row r="6512">
          <cell r="C6512">
            <v>1421014</v>
          </cell>
          <cell r="D6512" t="str">
            <v>940041767  material</v>
          </cell>
        </row>
        <row r="6513">
          <cell r="C6513">
            <v>1421015</v>
          </cell>
          <cell r="D6513" t="str">
            <v>940041768 maerial</v>
          </cell>
        </row>
        <row r="6514">
          <cell r="C6514">
            <v>1421016</v>
          </cell>
          <cell r="D6514" t="str">
            <v>940041600 material</v>
          </cell>
        </row>
        <row r="6515">
          <cell r="C6515">
            <v>1421017</v>
          </cell>
          <cell r="D6515" t="str">
            <v>940041426 material</v>
          </cell>
        </row>
        <row r="6516">
          <cell r="C6516">
            <v>1421018</v>
          </cell>
          <cell r="D6516" t="str">
            <v>940041427 L.P(93)materiaL</v>
          </cell>
        </row>
        <row r="6517">
          <cell r="C6517">
            <v>1421019</v>
          </cell>
          <cell r="D6517" t="str">
            <v>940041770 L.PAWL(75.6)MAT</v>
          </cell>
        </row>
        <row r="6518">
          <cell r="C6518">
            <v>1421021</v>
          </cell>
          <cell r="D6518" t="str">
            <v>940041109 material</v>
          </cell>
        </row>
        <row r="6519">
          <cell r="C6519">
            <v>1421021.1</v>
          </cell>
          <cell r="D6519" t="str">
            <v>4912029 MATERIAL</v>
          </cell>
        </row>
        <row r="6520">
          <cell r="C6520">
            <v>1421022</v>
          </cell>
          <cell r="D6520" t="str">
            <v>920031009 material</v>
          </cell>
        </row>
        <row r="6521">
          <cell r="C6521">
            <v>1421024</v>
          </cell>
          <cell r="D6521" t="str">
            <v>940041350 material</v>
          </cell>
        </row>
        <row r="6522">
          <cell r="C6522">
            <v>101026</v>
          </cell>
          <cell r="D6522" t="str">
            <v>IR.6667</v>
          </cell>
        </row>
        <row r="6523">
          <cell r="C6523">
            <v>101026.01</v>
          </cell>
          <cell r="D6523" t="str">
            <v>WASHER.6667</v>
          </cell>
        </row>
        <row r="6524">
          <cell r="C6524">
            <v>201026</v>
          </cell>
          <cell r="D6524" t="str">
            <v>OR.6667</v>
          </cell>
        </row>
        <row r="6525">
          <cell r="C6525">
            <v>301026</v>
          </cell>
          <cell r="D6525" t="str">
            <v>NCG.6667 25%GF</v>
          </cell>
        </row>
        <row r="6526">
          <cell r="C6526">
            <v>511257</v>
          </cell>
          <cell r="D6526" t="str">
            <v>BALL 13/32"(IS:2898-1976)</v>
          </cell>
        </row>
        <row r="6527">
          <cell r="C6527">
            <v>5221247</v>
          </cell>
          <cell r="D6527" t="str">
            <v>O G SHELL GADUS S2 V100 3</v>
          </cell>
        </row>
        <row r="6528">
          <cell r="C6528">
            <v>701026</v>
          </cell>
          <cell r="D6528" t="str">
            <v>TOP SEAL.6667</v>
          </cell>
        </row>
        <row r="6529">
          <cell r="C6529">
            <v>701026.01</v>
          </cell>
          <cell r="D6529" t="str">
            <v>BOTTOM R SEAL.6667</v>
          </cell>
        </row>
        <row r="6530">
          <cell r="C6530">
            <v>701026.02</v>
          </cell>
          <cell r="D6530" t="str">
            <v>PLASTIC SLEEVE.6667</v>
          </cell>
        </row>
        <row r="6531">
          <cell r="C6531">
            <v>701026.03</v>
          </cell>
          <cell r="D6531" t="str">
            <v>SNAP RING.6667</v>
          </cell>
        </row>
        <row r="6532">
          <cell r="C6532">
            <v>701026.04</v>
          </cell>
          <cell r="D6532" t="str">
            <v>CIRCLIPS.6667</v>
          </cell>
        </row>
        <row r="6533">
          <cell r="C6533">
            <v>701026.05</v>
          </cell>
          <cell r="D6533" t="str">
            <v>BELIVEL SPRING.6667</v>
          </cell>
        </row>
        <row r="6534">
          <cell r="C6534">
            <v>801026</v>
          </cell>
          <cell r="D6534" t="str">
            <v>HUB.6667</v>
          </cell>
        </row>
        <row r="6535">
          <cell r="C6535">
            <v>801026.01</v>
          </cell>
          <cell r="D6535" t="str">
            <v>LOCKING WIRE CLIPS.6667</v>
          </cell>
        </row>
        <row r="6536">
          <cell r="C6536">
            <v>801026.02</v>
          </cell>
          <cell r="D6536" t="str">
            <v>HUB INSERT PIN.6667</v>
          </cell>
        </row>
        <row r="6537">
          <cell r="C6537">
            <v>101027</v>
          </cell>
          <cell r="D6537" t="str">
            <v>IR.JU 065</v>
          </cell>
        </row>
        <row r="6538">
          <cell r="C6538">
            <v>201027</v>
          </cell>
          <cell r="D6538" t="str">
            <v>OR.JU 065</v>
          </cell>
        </row>
        <row r="6539">
          <cell r="C6539">
            <v>301027</v>
          </cell>
          <cell r="D6539" t="str">
            <v>CAGE.JU 065</v>
          </cell>
        </row>
        <row r="6540">
          <cell r="C6540">
            <v>511170</v>
          </cell>
          <cell r="D6540" t="str">
            <v>BALL 3/16" (IS:2898-1976)</v>
          </cell>
        </row>
        <row r="6541">
          <cell r="C6541">
            <v>5221247</v>
          </cell>
          <cell r="D6541" t="str">
            <v>O G SHELL GADUS S2 V100 3</v>
          </cell>
        </row>
        <row r="6542">
          <cell r="C6542">
            <v>701027</v>
          </cell>
          <cell r="D6542" t="str">
            <v>SEAL.JU 065</v>
          </cell>
        </row>
        <row r="6543">
          <cell r="C6543">
            <v>1421028</v>
          </cell>
          <cell r="D6543" t="str">
            <v>940041680 material</v>
          </cell>
        </row>
        <row r="6544">
          <cell r="C6544">
            <v>1421028.5</v>
          </cell>
          <cell r="D6544" t="str">
            <v>4912311 MATERIAL</v>
          </cell>
        </row>
        <row r="6545">
          <cell r="C6545">
            <v>1421029</v>
          </cell>
          <cell r="D6545" t="str">
            <v>940041847 material</v>
          </cell>
        </row>
        <row r="6546">
          <cell r="C6546">
            <v>1421030</v>
          </cell>
          <cell r="D6546" t="str">
            <v>940041848 material</v>
          </cell>
        </row>
        <row r="6547">
          <cell r="C6547">
            <v>1421031</v>
          </cell>
          <cell r="D6547" t="str">
            <v>920041118 material</v>
          </cell>
        </row>
        <row r="6548">
          <cell r="C6548">
            <v>1421032</v>
          </cell>
          <cell r="D6548" t="str">
            <v>920041114 material</v>
          </cell>
        </row>
        <row r="6549">
          <cell r="C6549">
            <v>1421033</v>
          </cell>
          <cell r="D6549" t="str">
            <v>940042323 material</v>
          </cell>
        </row>
        <row r="6550">
          <cell r="C6550">
            <v>1421034</v>
          </cell>
          <cell r="D6550" t="str">
            <v>930042026 material</v>
          </cell>
        </row>
        <row r="6551">
          <cell r="C6551">
            <v>1421035</v>
          </cell>
          <cell r="D6551" t="str">
            <v>930042100 material</v>
          </cell>
        </row>
        <row r="6552">
          <cell r="C6552">
            <v>1421036</v>
          </cell>
          <cell r="D6552" t="str">
            <v>940141545 material</v>
          </cell>
        </row>
        <row r="6553">
          <cell r="C6553">
            <v>1421037</v>
          </cell>
          <cell r="D6553" t="str">
            <v>940087305(7.7) material</v>
          </cell>
        </row>
        <row r="6554">
          <cell r="C6554">
            <v>1421037.01</v>
          </cell>
          <cell r="D6554" t="str">
            <v>940087305(9.7)  material</v>
          </cell>
        </row>
        <row r="6555">
          <cell r="C6555">
            <v>1421038</v>
          </cell>
          <cell r="D6555" t="str">
            <v>940041682 material</v>
          </cell>
        </row>
        <row r="6556">
          <cell r="C6556">
            <v>1421039</v>
          </cell>
          <cell r="D6556" t="str">
            <v>940041460 material</v>
          </cell>
        </row>
        <row r="6557">
          <cell r="C6557">
            <v>1421040</v>
          </cell>
          <cell r="D6557" t="str">
            <v>940041771 material</v>
          </cell>
        </row>
        <row r="6558">
          <cell r="C6558">
            <v>1421041</v>
          </cell>
          <cell r="D6558" t="str">
            <v>4997396-001 material.</v>
          </cell>
        </row>
        <row r="6559">
          <cell r="C6559">
            <v>101041.1</v>
          </cell>
          <cell r="D6559" t="str">
            <v>W 28.75X37.85X3.8</v>
          </cell>
        </row>
        <row r="6560">
          <cell r="C6560">
            <v>1421041.11</v>
          </cell>
          <cell r="D6560" t="str">
            <v>WASHER-001</v>
          </cell>
        </row>
        <row r="6561">
          <cell r="C6561">
            <v>1421041.12</v>
          </cell>
          <cell r="D6561" t="str">
            <v>WASHER-002</v>
          </cell>
        </row>
        <row r="6562">
          <cell r="C6562">
            <v>1421041.13</v>
          </cell>
          <cell r="D6562" t="str">
            <v>WASHER-003</v>
          </cell>
        </row>
        <row r="6563">
          <cell r="C6563">
            <v>1421041.14</v>
          </cell>
          <cell r="D6563" t="str">
            <v>WASHER-004</v>
          </cell>
        </row>
        <row r="6564">
          <cell r="C6564">
            <v>1421041.15</v>
          </cell>
          <cell r="D6564" t="str">
            <v>WASHER-005</v>
          </cell>
        </row>
        <row r="6565">
          <cell r="C6565">
            <v>1421041.16</v>
          </cell>
          <cell r="D6565" t="str">
            <v>WASHER-006</v>
          </cell>
        </row>
        <row r="6566">
          <cell r="C6566">
            <v>1421041.17</v>
          </cell>
          <cell r="D6566" t="str">
            <v>WASHER-007</v>
          </cell>
        </row>
        <row r="6567">
          <cell r="C6567">
            <v>1421041.18</v>
          </cell>
          <cell r="D6567" t="str">
            <v>WASHER-008</v>
          </cell>
        </row>
        <row r="6568">
          <cell r="C6568">
            <v>1421041.19</v>
          </cell>
          <cell r="D6568" t="str">
            <v>WASHER-009</v>
          </cell>
        </row>
        <row r="6569">
          <cell r="C6569">
            <v>1421041.2</v>
          </cell>
          <cell r="D6569" t="str">
            <v>WASHER-010</v>
          </cell>
        </row>
        <row r="6570">
          <cell r="C6570">
            <v>1421041.21</v>
          </cell>
          <cell r="D6570" t="str">
            <v>WASHER-011</v>
          </cell>
        </row>
        <row r="6571">
          <cell r="C6571">
            <v>1421041.22</v>
          </cell>
          <cell r="D6571" t="str">
            <v>WASHER-012</v>
          </cell>
        </row>
        <row r="6572">
          <cell r="C6572">
            <v>1421041.23</v>
          </cell>
          <cell r="D6572" t="str">
            <v>WASHER-013</v>
          </cell>
        </row>
        <row r="6573">
          <cell r="C6573">
            <v>1421041.24</v>
          </cell>
          <cell r="D6573" t="str">
            <v>WASHER-014</v>
          </cell>
        </row>
        <row r="6574">
          <cell r="C6574">
            <v>1421041.25</v>
          </cell>
          <cell r="D6574" t="str">
            <v>WASHER-015</v>
          </cell>
        </row>
        <row r="6575">
          <cell r="C6575">
            <v>1421041.26</v>
          </cell>
          <cell r="D6575" t="str">
            <v>WASHER-016</v>
          </cell>
        </row>
        <row r="6576">
          <cell r="C6576">
            <v>1421041.27</v>
          </cell>
          <cell r="D6576" t="str">
            <v>WASHER-017</v>
          </cell>
        </row>
        <row r="6577">
          <cell r="C6577">
            <v>1421041.28</v>
          </cell>
          <cell r="D6577" t="str">
            <v>WASHER-018</v>
          </cell>
        </row>
        <row r="6578">
          <cell r="C6578">
            <v>1421041.29</v>
          </cell>
          <cell r="D6578" t="str">
            <v>WASHER-019</v>
          </cell>
        </row>
        <row r="6579">
          <cell r="C6579">
            <v>1421041.3</v>
          </cell>
          <cell r="D6579" t="str">
            <v>WASHER-020</v>
          </cell>
        </row>
        <row r="6580">
          <cell r="C6580">
            <v>301041.5</v>
          </cell>
          <cell r="D6580" t="str">
            <v>AXK.CAGE28.677X37.846X1.5</v>
          </cell>
        </row>
        <row r="6581">
          <cell r="C6581">
            <v>301041.5</v>
          </cell>
          <cell r="D6581" t="str">
            <v>AXK.CAGE28.677X37.846X1.5</v>
          </cell>
        </row>
        <row r="6582">
          <cell r="C6582">
            <v>501041.5</v>
          </cell>
          <cell r="D6582" t="str">
            <v>RO 1.5X3.5</v>
          </cell>
        </row>
        <row r="6583">
          <cell r="C6583">
            <v>501041.5</v>
          </cell>
          <cell r="D6583" t="str">
            <v>RO 1.5X3.5</v>
          </cell>
        </row>
        <row r="6584">
          <cell r="C6584">
            <v>301041.5</v>
          </cell>
          <cell r="D6584" t="str">
            <v>AXK.CAGE28.677X37.846X1.5</v>
          </cell>
        </row>
        <row r="6585">
          <cell r="C6585">
            <v>301041.5</v>
          </cell>
          <cell r="D6585" t="str">
            <v>AXK.CAGE28.677X37.846X1.5</v>
          </cell>
        </row>
        <row r="6586">
          <cell r="C6586">
            <v>501041.5</v>
          </cell>
          <cell r="D6586" t="str">
            <v>RO 1.5X3.5</v>
          </cell>
        </row>
        <row r="6587">
          <cell r="C6587">
            <v>501041.5</v>
          </cell>
          <cell r="D6587" t="str">
            <v>RO 1.5X3.5</v>
          </cell>
        </row>
        <row r="6588">
          <cell r="C6588">
            <v>301041.65000000002</v>
          </cell>
          <cell r="D6588" t="str">
            <v>NCG.NCG 28.650X37.850X2.0</v>
          </cell>
        </row>
        <row r="6589">
          <cell r="C6589">
            <v>501041.65</v>
          </cell>
          <cell r="D6589" t="str">
            <v>RO 2X3 BP</v>
          </cell>
        </row>
        <row r="6590">
          <cell r="C6590">
            <v>101041.7</v>
          </cell>
          <cell r="D6590" t="str">
            <v>MTA.IR 2900</v>
          </cell>
        </row>
        <row r="6591">
          <cell r="C6591">
            <v>301041.7</v>
          </cell>
          <cell r="D6591" t="str">
            <v>MTA.NCG 2900</v>
          </cell>
        </row>
        <row r="6592">
          <cell r="C6592">
            <v>502025</v>
          </cell>
          <cell r="D6592" t="str">
            <v>Ball ø2.0 mm G40</v>
          </cell>
        </row>
        <row r="6593">
          <cell r="C6593">
            <v>1421042</v>
          </cell>
          <cell r="D6593" t="str">
            <v>4925190 MATERIAL</v>
          </cell>
        </row>
        <row r="6594">
          <cell r="C6594">
            <v>1421044</v>
          </cell>
          <cell r="D6594" t="str">
            <v>940041107 MATERIAL</v>
          </cell>
        </row>
        <row r="6595">
          <cell r="C6595">
            <v>1421045</v>
          </cell>
          <cell r="D6595" t="str">
            <v>940041108 MATEIAL</v>
          </cell>
        </row>
        <row r="6596">
          <cell r="C6596">
            <v>1421046</v>
          </cell>
          <cell r="D6596" t="str">
            <v>920041200 MATERIAL</v>
          </cell>
        </row>
        <row r="6597">
          <cell r="C6597">
            <v>1421047</v>
          </cell>
          <cell r="D6597" t="str">
            <v>SNAP RING BR 39  MATERIAL</v>
          </cell>
        </row>
        <row r="6598">
          <cell r="C6598">
            <v>101048</v>
          </cell>
          <cell r="D6598" t="str">
            <v>IR.3203 2RS</v>
          </cell>
        </row>
        <row r="6599">
          <cell r="C6599">
            <v>201048</v>
          </cell>
          <cell r="D6599" t="str">
            <v>OR.3203 2RS</v>
          </cell>
        </row>
        <row r="6600">
          <cell r="C6600">
            <v>301048</v>
          </cell>
          <cell r="D6600" t="str">
            <v>NCG.3203 2RS</v>
          </cell>
        </row>
        <row r="6601">
          <cell r="C6601">
            <v>511182</v>
          </cell>
          <cell r="D6601" t="str">
            <v>BALL 1/4" (IS:2898-1976)</v>
          </cell>
        </row>
        <row r="6602">
          <cell r="C6602">
            <v>5221247</v>
          </cell>
          <cell r="D6602" t="str">
            <v>O G SHELL GADUS S2 V100 3</v>
          </cell>
        </row>
        <row r="6603">
          <cell r="C6603">
            <v>701048</v>
          </cell>
          <cell r="D6603" t="str">
            <v>SEAL.3203 2RS</v>
          </cell>
        </row>
        <row r="6604">
          <cell r="C6604">
            <v>101049</v>
          </cell>
          <cell r="D6604" t="str">
            <v>NUTR.IR 40 A</v>
          </cell>
        </row>
        <row r="6605">
          <cell r="C6605">
            <v>1421049</v>
          </cell>
          <cell r="D6605" t="str">
            <v>NUTR 40 MATERAIL</v>
          </cell>
        </row>
        <row r="6606">
          <cell r="C6606">
            <v>201049</v>
          </cell>
          <cell r="D6606" t="str">
            <v>NUTR.OR 40 A</v>
          </cell>
        </row>
        <row r="6607">
          <cell r="C6607">
            <v>511604.07</v>
          </cell>
          <cell r="D6607" t="str">
            <v>RO 7.5X11 BPM</v>
          </cell>
        </row>
        <row r="6608">
          <cell r="C6608">
            <v>511604.07</v>
          </cell>
          <cell r="D6608" t="str">
            <v>RO 7.5X11 BPM</v>
          </cell>
        </row>
        <row r="6609">
          <cell r="C6609">
            <v>5221247</v>
          </cell>
          <cell r="D6609" t="str">
            <v>O G SHELL GADUS S2 V100 3</v>
          </cell>
        </row>
        <row r="6610">
          <cell r="C6610">
            <v>601049</v>
          </cell>
          <cell r="D6610" t="str">
            <v>NUTR.W 40 A</v>
          </cell>
        </row>
        <row r="6611">
          <cell r="C6611">
            <v>701049</v>
          </cell>
          <cell r="D6611" t="str">
            <v>NUTR.SEAL 40 A</v>
          </cell>
        </row>
        <row r="6612">
          <cell r="C6612">
            <v>101049.01</v>
          </cell>
          <cell r="D6612" t="str">
            <v>NUTR.IR 45100 A</v>
          </cell>
        </row>
        <row r="6613">
          <cell r="C6613">
            <v>201049.01</v>
          </cell>
          <cell r="D6613" t="str">
            <v>NUTR.OR 45100 A</v>
          </cell>
        </row>
        <row r="6614">
          <cell r="C6614">
            <v>511604.07</v>
          </cell>
          <cell r="D6614" t="str">
            <v>RO 7.5X11 BPM</v>
          </cell>
        </row>
        <row r="6615">
          <cell r="C6615">
            <v>5221247</v>
          </cell>
          <cell r="D6615" t="str">
            <v>O G SHELL GADUS S2 V100 3</v>
          </cell>
        </row>
        <row r="6616">
          <cell r="C6616">
            <v>601049.01</v>
          </cell>
          <cell r="D6616" t="str">
            <v>NUTR.W 45100 A</v>
          </cell>
        </row>
        <row r="6617">
          <cell r="C6617">
            <v>701049.01</v>
          </cell>
          <cell r="D6617" t="str">
            <v>NUTR.SEAL 45100 A</v>
          </cell>
        </row>
        <row r="6618">
          <cell r="C6618">
            <v>101049.05</v>
          </cell>
          <cell r="D6618" t="str">
            <v>NUTR.IR 1747 X</v>
          </cell>
        </row>
        <row r="6619">
          <cell r="C6619">
            <v>201049.05</v>
          </cell>
          <cell r="D6619" t="str">
            <v>NUTR.OR 1747 X</v>
          </cell>
        </row>
        <row r="6620">
          <cell r="C6620">
            <v>511462</v>
          </cell>
          <cell r="D6620" t="str">
            <v>RO 4X6 (R 462)</v>
          </cell>
        </row>
        <row r="6621">
          <cell r="C6621">
            <v>5221247</v>
          </cell>
          <cell r="D6621" t="str">
            <v>O G SHELL GADUS S2 V100 3</v>
          </cell>
        </row>
        <row r="6622">
          <cell r="C6622">
            <v>601049.05000000005</v>
          </cell>
          <cell r="D6622" t="str">
            <v>NUTR.W 1747 X</v>
          </cell>
        </row>
        <row r="6623">
          <cell r="C6623">
            <v>701049.05</v>
          </cell>
          <cell r="D6623" t="str">
            <v>NUTR.SEAL 1747 X</v>
          </cell>
        </row>
        <row r="6624">
          <cell r="C6624">
            <v>101049.05</v>
          </cell>
          <cell r="D6624" t="str">
            <v>NUTR.IR 1747 X</v>
          </cell>
        </row>
        <row r="6625">
          <cell r="C6625">
            <v>201049.06</v>
          </cell>
          <cell r="D6625" t="str">
            <v>NUTR.OR 17 A</v>
          </cell>
        </row>
        <row r="6626">
          <cell r="C6626">
            <v>511462</v>
          </cell>
          <cell r="D6626" t="str">
            <v>RO 4X6 (R 462)</v>
          </cell>
        </row>
        <row r="6627">
          <cell r="C6627">
            <v>5221247</v>
          </cell>
          <cell r="D6627" t="str">
            <v>O G SHELL GADUS S2 V100 3</v>
          </cell>
        </row>
        <row r="6628">
          <cell r="C6628">
            <v>601049.05000000005</v>
          </cell>
          <cell r="D6628" t="str">
            <v>NUTR.W 1747 X</v>
          </cell>
        </row>
        <row r="6629">
          <cell r="C6629">
            <v>701049.05</v>
          </cell>
          <cell r="D6629" t="str">
            <v>NUTR.SEAL 1747 X</v>
          </cell>
        </row>
        <row r="6630">
          <cell r="C6630">
            <v>201049.06</v>
          </cell>
          <cell r="D6630" t="str">
            <v>NUTR.OR 17 A</v>
          </cell>
        </row>
        <row r="6631">
          <cell r="C6631">
            <v>511462</v>
          </cell>
          <cell r="D6631" t="str">
            <v>RO 4X6 (R 462)</v>
          </cell>
        </row>
        <row r="6632">
          <cell r="C6632">
            <v>701049.07</v>
          </cell>
          <cell r="D6632" t="str">
            <v>NUTR.SLEEVE 1747 SPL</v>
          </cell>
        </row>
        <row r="6633">
          <cell r="C6633">
            <v>101049.11</v>
          </cell>
          <cell r="D6633" t="str">
            <v>NUTR.IR 1542 X</v>
          </cell>
        </row>
        <row r="6634">
          <cell r="C6634">
            <v>201049.11</v>
          </cell>
          <cell r="D6634" t="str">
            <v>NUTR.OR 1542 X</v>
          </cell>
        </row>
        <row r="6635">
          <cell r="C6635">
            <v>501049.11</v>
          </cell>
          <cell r="D6635" t="str">
            <v>RO 4X5.5 BPM</v>
          </cell>
        </row>
        <row r="6636">
          <cell r="C6636">
            <v>5221247</v>
          </cell>
          <cell r="D6636" t="str">
            <v>O G SHELL GADUS S2 V100 3</v>
          </cell>
        </row>
        <row r="6637">
          <cell r="C6637">
            <v>601049.11</v>
          </cell>
          <cell r="D6637" t="str">
            <v>NUTR.W 1542 X</v>
          </cell>
        </row>
        <row r="6638">
          <cell r="C6638">
            <v>701049.11</v>
          </cell>
          <cell r="D6638" t="str">
            <v>NUTR.SEAL 1542 X</v>
          </cell>
        </row>
        <row r="6639">
          <cell r="C6639">
            <v>101049.11</v>
          </cell>
          <cell r="D6639" t="str">
            <v>NUTR.IR 1542 X</v>
          </cell>
        </row>
        <row r="6640">
          <cell r="C6640">
            <v>201049.12</v>
          </cell>
          <cell r="D6640" t="str">
            <v>NUTR.OR 15</v>
          </cell>
        </row>
        <row r="6641">
          <cell r="C6641">
            <v>501049.11</v>
          </cell>
          <cell r="D6641" t="str">
            <v>RO 4X5.5 BPM</v>
          </cell>
        </row>
        <row r="6642">
          <cell r="C6642">
            <v>5221247</v>
          </cell>
          <cell r="D6642" t="str">
            <v>O G SHELL GADUS S2 V100 3</v>
          </cell>
        </row>
        <row r="6643">
          <cell r="C6643">
            <v>601049.11</v>
          </cell>
          <cell r="D6643" t="str">
            <v>NUTR.W 1542 X</v>
          </cell>
        </row>
        <row r="6644">
          <cell r="C6644">
            <v>701049.11</v>
          </cell>
          <cell r="D6644" t="str">
            <v>NUTR.SEAL 1542 X</v>
          </cell>
        </row>
        <row r="6645">
          <cell r="C6645">
            <v>101049.11</v>
          </cell>
          <cell r="D6645" t="str">
            <v>NUTR.IR 1542 X</v>
          </cell>
        </row>
        <row r="6646">
          <cell r="C6646">
            <v>201049.13</v>
          </cell>
          <cell r="D6646" t="str">
            <v>NUTR.OR 1542</v>
          </cell>
        </row>
        <row r="6647">
          <cell r="C6647">
            <v>501049.11</v>
          </cell>
          <cell r="D6647" t="str">
            <v>RO 4X5.5 BPM</v>
          </cell>
        </row>
        <row r="6648">
          <cell r="C6648">
            <v>5221247</v>
          </cell>
          <cell r="D6648" t="str">
            <v>O G SHELL GADUS S2 V100 3</v>
          </cell>
        </row>
        <row r="6649">
          <cell r="C6649">
            <v>601049.11</v>
          </cell>
          <cell r="D6649" t="str">
            <v>NUTR.W 1542 X</v>
          </cell>
        </row>
        <row r="6650">
          <cell r="C6650">
            <v>701049.11</v>
          </cell>
          <cell r="D6650" t="str">
            <v>NUTR.SEAL 1542 X</v>
          </cell>
        </row>
        <row r="6651">
          <cell r="C6651">
            <v>101049.11</v>
          </cell>
          <cell r="D6651" t="str">
            <v>NUTR.IR 1542 X</v>
          </cell>
        </row>
        <row r="6652">
          <cell r="C6652">
            <v>201049.12</v>
          </cell>
          <cell r="D6652" t="str">
            <v>NUTR.OR 15</v>
          </cell>
        </row>
        <row r="6653">
          <cell r="C6653">
            <v>501049.11</v>
          </cell>
          <cell r="D6653" t="str">
            <v>RO 4X5.5 BPM</v>
          </cell>
        </row>
        <row r="6654">
          <cell r="C6654">
            <v>5221247</v>
          </cell>
          <cell r="D6654" t="str">
            <v>O G SHELL GADUS S2 V100 3</v>
          </cell>
        </row>
        <row r="6655">
          <cell r="C6655">
            <v>601049.11</v>
          </cell>
          <cell r="D6655" t="str">
            <v>NUTR.W 1542 X</v>
          </cell>
        </row>
        <row r="6656">
          <cell r="C6656">
            <v>701049.11</v>
          </cell>
          <cell r="D6656" t="str">
            <v>NUTR.SEAL 1542 X</v>
          </cell>
        </row>
        <row r="6657">
          <cell r="C6657">
            <v>101049.21</v>
          </cell>
          <cell r="D6657" t="str">
            <v>NUTR.IR 2562 X</v>
          </cell>
        </row>
        <row r="6658">
          <cell r="C6658">
            <v>201049.21</v>
          </cell>
          <cell r="D6658" t="str">
            <v>NUTR.OR 2562 X</v>
          </cell>
        </row>
        <row r="6659">
          <cell r="C6659">
            <v>511484</v>
          </cell>
          <cell r="D6659" t="str">
            <v>RO 5X8</v>
          </cell>
        </row>
        <row r="6660">
          <cell r="C6660">
            <v>5221247</v>
          </cell>
          <cell r="D6660" t="str">
            <v>O G SHELL GADUS S2 V100 3</v>
          </cell>
        </row>
        <row r="6661">
          <cell r="C6661">
            <v>601049.21</v>
          </cell>
          <cell r="D6661" t="str">
            <v>NUTR.W 2562 X</v>
          </cell>
        </row>
        <row r="6662">
          <cell r="C6662">
            <v>701049.21</v>
          </cell>
          <cell r="D6662" t="str">
            <v>NUTR.SEAL 2562 X</v>
          </cell>
        </row>
        <row r="6663">
          <cell r="C6663">
            <v>101049.21</v>
          </cell>
          <cell r="D6663" t="str">
            <v>NUTR.IR 2562 X</v>
          </cell>
        </row>
        <row r="6664">
          <cell r="C6664">
            <v>201049.22</v>
          </cell>
          <cell r="D6664" t="str">
            <v>NUTR.OR 25 A</v>
          </cell>
        </row>
        <row r="6665">
          <cell r="C6665">
            <v>511484</v>
          </cell>
          <cell r="D6665" t="str">
            <v>RO 5X8</v>
          </cell>
        </row>
        <row r="6666">
          <cell r="C6666">
            <v>5221247</v>
          </cell>
          <cell r="D6666" t="str">
            <v>O G SHELL GADUS S2 V100 3</v>
          </cell>
        </row>
        <row r="6667">
          <cell r="C6667">
            <v>601049.21</v>
          </cell>
          <cell r="D6667" t="str">
            <v>NUTR.W 2562 X</v>
          </cell>
        </row>
        <row r="6668">
          <cell r="C6668">
            <v>701049.21</v>
          </cell>
          <cell r="D6668" t="str">
            <v>NUTR.SEAL 2562 X</v>
          </cell>
        </row>
        <row r="6669">
          <cell r="C6669">
            <v>101049.31</v>
          </cell>
          <cell r="D6669" t="str">
            <v>NUTR.IR 3072 X</v>
          </cell>
        </row>
        <row r="6670">
          <cell r="C6670">
            <v>201049.31</v>
          </cell>
          <cell r="D6670" t="str">
            <v>NUTR.OR 3072 X</v>
          </cell>
        </row>
        <row r="6671">
          <cell r="C6671">
            <v>511438</v>
          </cell>
          <cell r="D6671" t="str">
            <v>RO 6.5X9(BPM)</v>
          </cell>
        </row>
        <row r="6672">
          <cell r="C6672">
            <v>5221247</v>
          </cell>
          <cell r="D6672" t="str">
            <v>O G SHELL GADUS S2 V100 3</v>
          </cell>
        </row>
        <row r="6673">
          <cell r="C6673">
            <v>601049.31000000006</v>
          </cell>
          <cell r="D6673" t="str">
            <v>NUTR.W 3072 X</v>
          </cell>
        </row>
        <row r="6674">
          <cell r="C6674">
            <v>701049.31</v>
          </cell>
          <cell r="D6674" t="str">
            <v>NUTR.SEAL 3072 X</v>
          </cell>
        </row>
        <row r="6675">
          <cell r="C6675">
            <v>101049.31</v>
          </cell>
          <cell r="D6675" t="str">
            <v>NUTR.IR 3072 X</v>
          </cell>
        </row>
        <row r="6676">
          <cell r="C6676">
            <v>201049.32</v>
          </cell>
          <cell r="D6676" t="str">
            <v>NUTR.OR 30 A</v>
          </cell>
        </row>
        <row r="6677">
          <cell r="C6677">
            <v>511438</v>
          </cell>
          <cell r="D6677" t="str">
            <v>RO 6.5X9(BPM)</v>
          </cell>
        </row>
        <row r="6678">
          <cell r="C6678">
            <v>5221247</v>
          </cell>
          <cell r="D6678" t="str">
            <v>O G SHELL GADUS S2 V100 3</v>
          </cell>
        </row>
        <row r="6679">
          <cell r="C6679">
            <v>601049.31000000006</v>
          </cell>
          <cell r="D6679" t="str">
            <v>NUTR.W 3072 X</v>
          </cell>
        </row>
        <row r="6680">
          <cell r="C6680">
            <v>701049.31</v>
          </cell>
          <cell r="D6680" t="str">
            <v>NUTR.SEAL 3072 X</v>
          </cell>
        </row>
        <row r="6681">
          <cell r="C6681">
            <v>101049.41</v>
          </cell>
          <cell r="D6681" t="str">
            <v>NUTR.IR 20 A</v>
          </cell>
        </row>
        <row r="6682">
          <cell r="C6682">
            <v>201049.41</v>
          </cell>
          <cell r="D6682" t="str">
            <v>NUTR.OR 20 A</v>
          </cell>
        </row>
        <row r="6683">
          <cell r="C6683">
            <v>511484</v>
          </cell>
          <cell r="D6683" t="str">
            <v>RO 5X8</v>
          </cell>
        </row>
        <row r="6684">
          <cell r="C6684">
            <v>5221247</v>
          </cell>
          <cell r="D6684" t="str">
            <v>O G SHELL GADUS S2 V100 3</v>
          </cell>
        </row>
        <row r="6685">
          <cell r="C6685">
            <v>601049.41</v>
          </cell>
          <cell r="D6685" t="str">
            <v>NUTR.W 20 A</v>
          </cell>
        </row>
        <row r="6686">
          <cell r="C6686">
            <v>701049.41</v>
          </cell>
          <cell r="D6686" t="str">
            <v>NUTR.SEAL 20 A</v>
          </cell>
        </row>
        <row r="6687">
          <cell r="C6687">
            <v>101049.51</v>
          </cell>
          <cell r="D6687" t="str">
            <v>NUTR.IR 3580 A</v>
          </cell>
        </row>
        <row r="6688">
          <cell r="C6688">
            <v>201049.51</v>
          </cell>
          <cell r="D6688" t="str">
            <v>NUTR.OR 3580 A</v>
          </cell>
        </row>
        <row r="6689">
          <cell r="C6689">
            <v>511438</v>
          </cell>
          <cell r="D6689" t="str">
            <v>RO 6.5X9(BPM)</v>
          </cell>
        </row>
        <row r="6690">
          <cell r="C6690">
            <v>5221247</v>
          </cell>
          <cell r="D6690" t="str">
            <v>O G SHELL GADUS S2 V100 3</v>
          </cell>
        </row>
        <row r="6691">
          <cell r="C6691">
            <v>601049.51</v>
          </cell>
          <cell r="D6691" t="str">
            <v>NUTR.W 3580 A</v>
          </cell>
        </row>
        <row r="6692">
          <cell r="C6692">
            <v>701049.51</v>
          </cell>
          <cell r="D6692" t="str">
            <v>NUTR.SEAL 3580 A</v>
          </cell>
        </row>
        <row r="6693">
          <cell r="C6693">
            <v>101049.51</v>
          </cell>
          <cell r="D6693" t="str">
            <v>NUTR.IR 3580 A</v>
          </cell>
        </row>
        <row r="6694">
          <cell r="C6694">
            <v>201049.52</v>
          </cell>
          <cell r="D6694" t="str">
            <v>NUTR.OR 35 A</v>
          </cell>
        </row>
        <row r="6695">
          <cell r="C6695">
            <v>511438</v>
          </cell>
          <cell r="D6695" t="str">
            <v>RO 6.5X9(BPM)</v>
          </cell>
        </row>
        <row r="6696">
          <cell r="C6696">
            <v>5221247</v>
          </cell>
          <cell r="D6696" t="str">
            <v>O G SHELL GADUS S2 V100 3</v>
          </cell>
        </row>
        <row r="6697">
          <cell r="C6697">
            <v>601049.51</v>
          </cell>
          <cell r="D6697" t="str">
            <v>NUTR.W 3580 A</v>
          </cell>
        </row>
        <row r="6698">
          <cell r="C6698">
            <v>701049.51</v>
          </cell>
          <cell r="D6698" t="str">
            <v>NUTR.SEAL 3580 A</v>
          </cell>
        </row>
        <row r="6699">
          <cell r="C6699">
            <v>101050</v>
          </cell>
          <cell r="D6699" t="str">
            <v>NUTR.IR 50 A</v>
          </cell>
        </row>
        <row r="6700">
          <cell r="C6700">
            <v>201050</v>
          </cell>
          <cell r="D6700" t="str">
            <v>NUTR.OR 50 A</v>
          </cell>
        </row>
        <row r="6701">
          <cell r="C6701">
            <v>511604.07</v>
          </cell>
          <cell r="D6701" t="str">
            <v>RO 7.5X11 BPM</v>
          </cell>
        </row>
        <row r="6702">
          <cell r="C6702">
            <v>5221247</v>
          </cell>
          <cell r="D6702" t="str">
            <v>O G SHELL GADUS S2 V100 3</v>
          </cell>
        </row>
        <row r="6703">
          <cell r="C6703">
            <v>601050</v>
          </cell>
          <cell r="D6703" t="str">
            <v>NUTR.W 50 A</v>
          </cell>
        </row>
        <row r="6704">
          <cell r="C6704">
            <v>701050</v>
          </cell>
          <cell r="D6704" t="str">
            <v>NUTR.SEAL 50 A</v>
          </cell>
        </row>
        <row r="6705">
          <cell r="C6705">
            <v>101050</v>
          </cell>
          <cell r="D6705" t="str">
            <v>NUTR.IR 50 A</v>
          </cell>
        </row>
        <row r="6706">
          <cell r="C6706">
            <v>201050.01</v>
          </cell>
          <cell r="D6706" t="str">
            <v>NUTR.OR 50110 A</v>
          </cell>
        </row>
        <row r="6707">
          <cell r="C6707">
            <v>511604.07</v>
          </cell>
          <cell r="D6707" t="str">
            <v>RO 7.5X11 BPM</v>
          </cell>
        </row>
        <row r="6708">
          <cell r="C6708">
            <v>5221247</v>
          </cell>
          <cell r="D6708" t="str">
            <v>O G SHELL GADUS S2 V100 3</v>
          </cell>
        </row>
        <row r="6709">
          <cell r="C6709">
            <v>601050</v>
          </cell>
          <cell r="D6709" t="str">
            <v>NUTR.W 50 A</v>
          </cell>
        </row>
        <row r="6710">
          <cell r="C6710">
            <v>701050</v>
          </cell>
          <cell r="D6710" t="str">
            <v>NUTR.SEAL 50 A</v>
          </cell>
        </row>
        <row r="6711">
          <cell r="C6711">
            <v>1421051</v>
          </cell>
          <cell r="D6711" t="str">
            <v>TRANSLATING ARM SMALL</v>
          </cell>
        </row>
        <row r="6712">
          <cell r="C6712">
            <v>1421051.01</v>
          </cell>
          <cell r="D6712" t="str">
            <v>TRANSLATING ARM BIG</v>
          </cell>
        </row>
        <row r="6713">
          <cell r="C6713">
            <v>1421051</v>
          </cell>
          <cell r="D6713" t="str">
            <v>TRANSLATING ARM SMALL</v>
          </cell>
        </row>
        <row r="6714">
          <cell r="C6714">
            <v>1421051.01</v>
          </cell>
          <cell r="D6714" t="str">
            <v>TRANSLATING ARM BIG</v>
          </cell>
        </row>
        <row r="6715">
          <cell r="C6715">
            <v>1421052</v>
          </cell>
          <cell r="D6715" t="str">
            <v>940041940 B.L.ASSLY</v>
          </cell>
        </row>
        <row r="6716">
          <cell r="C6716">
            <v>201053</v>
          </cell>
          <cell r="D6716" t="str">
            <v>14519 material</v>
          </cell>
        </row>
        <row r="6717">
          <cell r="C6717">
            <v>201053.1</v>
          </cell>
          <cell r="D6717" t="str">
            <v>14519 SPL material</v>
          </cell>
        </row>
        <row r="6718">
          <cell r="C6718">
            <v>201053.5</v>
          </cell>
          <cell r="D6718" t="str">
            <v>150-310 MATERIAL</v>
          </cell>
        </row>
        <row r="6719">
          <cell r="C6719">
            <v>201053.6</v>
          </cell>
          <cell r="D6719" t="str">
            <v>Ring 30.20x32.60x3.55 MAT</v>
          </cell>
        </row>
        <row r="6720">
          <cell r="C6720">
            <v>501053.7</v>
          </cell>
          <cell r="D6720" t="str">
            <v>Pin 5.185x31.15 MATERIAL</v>
          </cell>
        </row>
        <row r="6721">
          <cell r="C6721">
            <v>501053.8</v>
          </cell>
          <cell r="D6721" t="str">
            <v>Pin 5.200x32.25 MATERIAL</v>
          </cell>
        </row>
        <row r="6722">
          <cell r="C6722">
            <v>1421054</v>
          </cell>
          <cell r="D6722" t="str">
            <v>940041546 (3920184) MATER</v>
          </cell>
        </row>
        <row r="6723">
          <cell r="C6723">
            <v>1421055</v>
          </cell>
          <cell r="D6723" t="str">
            <v>940041849 MATERIAL</v>
          </cell>
        </row>
        <row r="6724">
          <cell r="C6724">
            <v>1421056</v>
          </cell>
          <cell r="D6724" t="str">
            <v>940041326 material</v>
          </cell>
        </row>
        <row r="6725">
          <cell r="C6725">
            <v>101057</v>
          </cell>
          <cell r="D6725" t="str">
            <v>930041087 material</v>
          </cell>
        </row>
        <row r="6726">
          <cell r="C6726">
            <v>1421058</v>
          </cell>
          <cell r="D6726" t="str">
            <v>940041568 MATERIAL</v>
          </cell>
        </row>
        <row r="6727">
          <cell r="C6727">
            <v>1421058.01</v>
          </cell>
          <cell r="D6727">
            <v>940041646</v>
          </cell>
        </row>
        <row r="6728">
          <cell r="C6728">
            <v>101059</v>
          </cell>
          <cell r="D6728" t="str">
            <v>BUSH 7X14.7X8.8</v>
          </cell>
        </row>
        <row r="6729">
          <cell r="C6729">
            <v>101060</v>
          </cell>
          <cell r="D6729" t="str">
            <v>BUSH 7X14.4X8.8</v>
          </cell>
        </row>
        <row r="6730">
          <cell r="C6730">
            <v>1421061</v>
          </cell>
          <cell r="D6730" t="str">
            <v>5305 2Z MATERIAL</v>
          </cell>
        </row>
        <row r="6731">
          <cell r="C6731">
            <v>101061</v>
          </cell>
          <cell r="D6731" t="str">
            <v>IR.5305 2RS</v>
          </cell>
        </row>
        <row r="6732">
          <cell r="C6732">
            <v>201061</v>
          </cell>
          <cell r="D6732" t="str">
            <v>OR.5305 2RS</v>
          </cell>
        </row>
        <row r="6733">
          <cell r="C6733">
            <v>301061</v>
          </cell>
          <cell r="D6733" t="str">
            <v>NCG.5305 2RS</v>
          </cell>
        </row>
        <row r="6734">
          <cell r="C6734">
            <v>511180</v>
          </cell>
          <cell r="D6734" t="str">
            <v>BALL 3/8"(IS:2898-1976)</v>
          </cell>
        </row>
        <row r="6735">
          <cell r="C6735">
            <v>5221247</v>
          </cell>
          <cell r="D6735" t="str">
            <v>O G SHELL GADUS S2 V100 3</v>
          </cell>
        </row>
        <row r="6736">
          <cell r="C6736">
            <v>701061</v>
          </cell>
          <cell r="D6736" t="str">
            <v>SEAL.5305 2RS</v>
          </cell>
        </row>
        <row r="6737">
          <cell r="C6737">
            <v>101061.2</v>
          </cell>
          <cell r="D6737" t="str">
            <v>IR.5205 A-25°</v>
          </cell>
        </row>
        <row r="6738">
          <cell r="C6738">
            <v>201061.2</v>
          </cell>
          <cell r="D6738" t="str">
            <v>OR.5205 A-25°</v>
          </cell>
        </row>
        <row r="6739">
          <cell r="C6739">
            <v>301105.5</v>
          </cell>
          <cell r="D6739" t="str">
            <v>NCG. 3205 2RS</v>
          </cell>
        </row>
        <row r="6740">
          <cell r="C6740">
            <v>511993</v>
          </cell>
          <cell r="D6740" t="str">
            <v>BALL 5/16"(IS:2898-1976)</v>
          </cell>
        </row>
        <row r="6741">
          <cell r="C6741">
            <v>101061.3</v>
          </cell>
          <cell r="D6741" t="str">
            <v>IR.5204 A-20°</v>
          </cell>
        </row>
        <row r="6742">
          <cell r="C6742">
            <v>201061.3</v>
          </cell>
          <cell r="D6742" t="str">
            <v>OR.5204 A-20°</v>
          </cell>
        </row>
        <row r="6743">
          <cell r="C6743">
            <v>301104.5</v>
          </cell>
          <cell r="D6743" t="str">
            <v>NCG. 3204 2RS</v>
          </cell>
        </row>
        <row r="6744">
          <cell r="C6744">
            <v>511993</v>
          </cell>
          <cell r="D6744" t="str">
            <v>BALL 5/16"(IS:2898-1976)</v>
          </cell>
        </row>
        <row r="6745">
          <cell r="C6745">
            <v>101061.4</v>
          </cell>
          <cell r="D6745" t="str">
            <v>IR.5205 A-20°</v>
          </cell>
        </row>
        <row r="6746">
          <cell r="C6746">
            <v>201061.4</v>
          </cell>
          <cell r="D6746" t="str">
            <v>OR.5205 A-20°</v>
          </cell>
        </row>
        <row r="6747">
          <cell r="C6747">
            <v>301105.5</v>
          </cell>
          <cell r="D6747" t="str">
            <v>NCG. 3205 2RS</v>
          </cell>
        </row>
        <row r="6748">
          <cell r="C6748">
            <v>511993</v>
          </cell>
          <cell r="D6748" t="str">
            <v>BALL 5/16"(IS:2898-1976)</v>
          </cell>
        </row>
        <row r="6749">
          <cell r="C6749">
            <v>701061.4</v>
          </cell>
          <cell r="D6749" t="str">
            <v>SNAP RING (SP 52)</v>
          </cell>
        </row>
        <row r="6750">
          <cell r="C6750">
            <v>101062</v>
          </cell>
          <cell r="D6750" t="str">
            <v>IR.ER23NCRLC</v>
          </cell>
        </row>
        <row r="6751">
          <cell r="C6751">
            <v>201062</v>
          </cell>
          <cell r="D6751" t="str">
            <v>OR.ER23NCRLC</v>
          </cell>
        </row>
        <row r="6752">
          <cell r="C6752">
            <v>309353.07</v>
          </cell>
          <cell r="D6752" t="str">
            <v>MCG. 6207</v>
          </cell>
        </row>
        <row r="6753">
          <cell r="C6753">
            <v>511193</v>
          </cell>
          <cell r="D6753" t="str">
            <v>BALL 7/16"(IS:2898-1976)</v>
          </cell>
        </row>
        <row r="6754">
          <cell r="C6754">
            <v>601062</v>
          </cell>
          <cell r="D6754" t="str">
            <v>G.SCREW 5/16"-24 UNFX6.0</v>
          </cell>
        </row>
        <row r="6755">
          <cell r="C6755">
            <v>701062</v>
          </cell>
          <cell r="D6755" t="str">
            <v>SEAL.6207</v>
          </cell>
        </row>
        <row r="6756">
          <cell r="C6756">
            <v>701062.01</v>
          </cell>
          <cell r="D6756" t="str">
            <v>MC.ER23NCRLC</v>
          </cell>
        </row>
        <row r="6757">
          <cell r="C6757">
            <v>701062.02</v>
          </cell>
          <cell r="D6757" t="str">
            <v>SNAP RING.ER23NCRLC</v>
          </cell>
        </row>
        <row r="6758">
          <cell r="C6758">
            <v>101063</v>
          </cell>
          <cell r="D6758" t="str">
            <v>IR.ER12NCRLC</v>
          </cell>
        </row>
        <row r="6759">
          <cell r="C6759">
            <v>201063</v>
          </cell>
          <cell r="D6759" t="str">
            <v>OR.ER12NCRLC</v>
          </cell>
        </row>
        <row r="6760">
          <cell r="C6760">
            <v>309353.03999999998</v>
          </cell>
          <cell r="D6760" t="str">
            <v>MCG. 6204</v>
          </cell>
        </row>
        <row r="6761">
          <cell r="C6761">
            <v>511993</v>
          </cell>
          <cell r="D6761" t="str">
            <v>BALL 5/16"(IS:2898-1976)</v>
          </cell>
        </row>
        <row r="6762">
          <cell r="C6762">
            <v>601063</v>
          </cell>
          <cell r="D6762" t="str">
            <v>G.SCREW 1/4"-28 UNFX6.2</v>
          </cell>
        </row>
        <row r="6763">
          <cell r="C6763">
            <v>701063</v>
          </cell>
          <cell r="D6763" t="str">
            <v>SEAL.6204</v>
          </cell>
        </row>
        <row r="6764">
          <cell r="C6764">
            <v>701063.01</v>
          </cell>
          <cell r="D6764" t="str">
            <v>MC.ER12NCRLC</v>
          </cell>
        </row>
        <row r="6765">
          <cell r="C6765">
            <v>701063.02</v>
          </cell>
          <cell r="D6765" t="str">
            <v>SNAP RING.ER12NCRLC</v>
          </cell>
        </row>
        <row r="6766">
          <cell r="C6766">
            <v>101064</v>
          </cell>
          <cell r="D6766" t="str">
            <v>IR.ER16NCRLC</v>
          </cell>
        </row>
        <row r="6767">
          <cell r="C6767">
            <v>201064</v>
          </cell>
          <cell r="D6767" t="str">
            <v>OR.ER16NCRLC</v>
          </cell>
        </row>
        <row r="6768">
          <cell r="C6768">
            <v>309353.05</v>
          </cell>
          <cell r="D6768" t="str">
            <v>MCG. 6205</v>
          </cell>
        </row>
        <row r="6769">
          <cell r="C6769">
            <v>511993</v>
          </cell>
          <cell r="D6769" t="str">
            <v>BALL 5/16"(IS:2898-1976)</v>
          </cell>
        </row>
        <row r="6770">
          <cell r="C6770">
            <v>601064</v>
          </cell>
          <cell r="D6770" t="str">
            <v>G.SCREW 1/4"-28 UNFX5.2</v>
          </cell>
        </row>
        <row r="6771">
          <cell r="C6771">
            <v>701064</v>
          </cell>
          <cell r="D6771" t="str">
            <v>SEAL.6205</v>
          </cell>
        </row>
        <row r="6772">
          <cell r="C6772">
            <v>701064.01</v>
          </cell>
          <cell r="D6772" t="str">
            <v>MC.ER16NCRLC</v>
          </cell>
        </row>
        <row r="6773">
          <cell r="C6773">
            <v>701064.02</v>
          </cell>
          <cell r="D6773" t="str">
            <v>SNAP RING.ER16NCRLC</v>
          </cell>
        </row>
        <row r="6774">
          <cell r="C6774">
            <v>101065</v>
          </cell>
          <cell r="D6774" t="str">
            <v>IR.ER19NCRLC</v>
          </cell>
        </row>
        <row r="6775">
          <cell r="C6775">
            <v>201065</v>
          </cell>
          <cell r="D6775" t="str">
            <v>OR.ER19NCRLC</v>
          </cell>
        </row>
        <row r="6776">
          <cell r="C6776">
            <v>309353.06</v>
          </cell>
          <cell r="D6776" t="str">
            <v>MCG. 6206</v>
          </cell>
        </row>
        <row r="6777">
          <cell r="C6777">
            <v>601063</v>
          </cell>
          <cell r="D6777" t="str">
            <v>G.SCREW 1/4"-28 UNFX6.2</v>
          </cell>
        </row>
        <row r="6778">
          <cell r="C6778">
            <v>701065</v>
          </cell>
          <cell r="D6778" t="str">
            <v>SEAL.6206</v>
          </cell>
        </row>
        <row r="6779">
          <cell r="C6779">
            <v>701065.01</v>
          </cell>
          <cell r="D6779" t="str">
            <v>MC.ER19NCRLC</v>
          </cell>
        </row>
        <row r="6780">
          <cell r="C6780">
            <v>701065.02</v>
          </cell>
          <cell r="D6780" t="str">
            <v>SNAP RING.ER19NCRLC</v>
          </cell>
        </row>
        <row r="6781">
          <cell r="C6781">
            <v>101066</v>
          </cell>
          <cell r="D6781" t="str">
            <v>IR.ER20NCRLC</v>
          </cell>
        </row>
        <row r="6782">
          <cell r="C6782">
            <v>201062</v>
          </cell>
          <cell r="D6782" t="str">
            <v>OR.ER23NCRLC</v>
          </cell>
        </row>
        <row r="6783">
          <cell r="C6783">
            <v>309353.07</v>
          </cell>
          <cell r="D6783" t="str">
            <v>MCG. 6207</v>
          </cell>
        </row>
        <row r="6784">
          <cell r="C6784">
            <v>511193</v>
          </cell>
          <cell r="D6784" t="str">
            <v>BALL 7/16"(IS:2898-1976)</v>
          </cell>
        </row>
        <row r="6785">
          <cell r="C6785">
            <v>601062</v>
          </cell>
          <cell r="D6785" t="str">
            <v>G.SCREW 5/16"-24 UNFX6.0</v>
          </cell>
        </row>
        <row r="6786">
          <cell r="C6786">
            <v>701062</v>
          </cell>
          <cell r="D6786" t="str">
            <v>SEAL.6207</v>
          </cell>
        </row>
        <row r="6787">
          <cell r="C6787">
            <v>701062.01</v>
          </cell>
          <cell r="D6787" t="str">
            <v>MC.ER23NCRLC</v>
          </cell>
        </row>
        <row r="6788">
          <cell r="C6788">
            <v>701062.02</v>
          </cell>
          <cell r="D6788" t="str">
            <v>SNAP RING.ER23NCRLC</v>
          </cell>
        </row>
        <row r="6789">
          <cell r="C6789">
            <v>101067</v>
          </cell>
          <cell r="D6789" t="str">
            <v>IR.ER31NCRLC</v>
          </cell>
        </row>
        <row r="6790">
          <cell r="C6790">
            <v>201067</v>
          </cell>
          <cell r="D6790" t="str">
            <v>OR.ER31NCRLC</v>
          </cell>
        </row>
        <row r="6791">
          <cell r="C6791">
            <v>309353.09999999998</v>
          </cell>
          <cell r="D6791" t="str">
            <v>MCG. 6210</v>
          </cell>
        </row>
        <row r="6792">
          <cell r="C6792">
            <v>601067</v>
          </cell>
          <cell r="D6792" t="str">
            <v>G.SCREW 5/16"-24 UNFX7.4</v>
          </cell>
        </row>
        <row r="6793">
          <cell r="C6793">
            <v>701067</v>
          </cell>
          <cell r="D6793" t="str">
            <v>SEAL.6210</v>
          </cell>
        </row>
        <row r="6794">
          <cell r="C6794">
            <v>701067.01</v>
          </cell>
          <cell r="D6794" t="str">
            <v>MC.ER31NCRLC</v>
          </cell>
        </row>
        <row r="6795">
          <cell r="C6795">
            <v>701067.02</v>
          </cell>
          <cell r="D6795" t="str">
            <v>SNAP RING.ER31NCRLC</v>
          </cell>
        </row>
        <row r="6796">
          <cell r="C6796">
            <v>101068</v>
          </cell>
          <cell r="D6796" t="str">
            <v>SEATING W.53203U</v>
          </cell>
        </row>
        <row r="6797">
          <cell r="C6797">
            <v>101068.01</v>
          </cell>
          <cell r="D6797" t="str">
            <v>SHAFT W.53203U</v>
          </cell>
        </row>
        <row r="6798">
          <cell r="C6798">
            <v>201068</v>
          </cell>
          <cell r="D6798" t="str">
            <v>HOUSING W.53203U</v>
          </cell>
        </row>
        <row r="6799">
          <cell r="C6799">
            <v>301068</v>
          </cell>
          <cell r="D6799" t="str">
            <v>CAGE.53203U</v>
          </cell>
        </row>
        <row r="6800">
          <cell r="C6800">
            <v>511182</v>
          </cell>
          <cell r="D6800" t="str">
            <v>BALL 1/4" (IS:2898-1976)</v>
          </cell>
        </row>
        <row r="6801">
          <cell r="C6801">
            <v>101069</v>
          </cell>
          <cell r="D6801" t="str">
            <v>IR.215514-2RS</v>
          </cell>
        </row>
        <row r="6802">
          <cell r="C6802">
            <v>201069</v>
          </cell>
          <cell r="D6802" t="str">
            <v>OR.215514-2RS</v>
          </cell>
        </row>
        <row r="6803">
          <cell r="C6803">
            <v>301069</v>
          </cell>
          <cell r="D6803" t="str">
            <v>NCG.215514-2RS</v>
          </cell>
        </row>
        <row r="6804">
          <cell r="C6804">
            <v>511181</v>
          </cell>
          <cell r="D6804" t="str">
            <v>BALL 15/32"(IS:2898-1976)</v>
          </cell>
        </row>
        <row r="6805">
          <cell r="C6805">
            <v>5221247</v>
          </cell>
          <cell r="D6805" t="str">
            <v>O G SHELL GADUS S2 V100 3</v>
          </cell>
        </row>
        <row r="6806">
          <cell r="C6806">
            <v>701069</v>
          </cell>
          <cell r="D6806" t="str">
            <v>SEAL.215514-2RS</v>
          </cell>
        </row>
        <row r="6807">
          <cell r="C6807">
            <v>701069.1</v>
          </cell>
          <cell r="D6807" t="str">
            <v>SNAP RING.215514-2RS</v>
          </cell>
        </row>
        <row r="6808">
          <cell r="C6808">
            <v>101049.41</v>
          </cell>
          <cell r="D6808" t="str">
            <v>NUTR.IR 20 A</v>
          </cell>
        </row>
        <row r="6809">
          <cell r="C6809">
            <v>201070</v>
          </cell>
          <cell r="D6809" t="str">
            <v>NUTR.OR 2052</v>
          </cell>
        </row>
        <row r="6810">
          <cell r="C6810">
            <v>511484</v>
          </cell>
          <cell r="D6810" t="str">
            <v>RO 5X8</v>
          </cell>
        </row>
        <row r="6811">
          <cell r="C6811">
            <v>601049.41</v>
          </cell>
          <cell r="D6811" t="str">
            <v>NUTR.W 20 A</v>
          </cell>
        </row>
        <row r="6812">
          <cell r="C6812">
            <v>701049.41</v>
          </cell>
          <cell r="D6812" t="str">
            <v>NUTR.SEAL 20 A</v>
          </cell>
        </row>
        <row r="6813">
          <cell r="C6813">
            <v>101049.01</v>
          </cell>
          <cell r="D6813" t="str">
            <v>NUTR.IR 45100 A</v>
          </cell>
        </row>
        <row r="6814">
          <cell r="C6814">
            <v>201071</v>
          </cell>
          <cell r="D6814" t="str">
            <v>NUTR.OR 45</v>
          </cell>
        </row>
        <row r="6815">
          <cell r="C6815">
            <v>511604.07</v>
          </cell>
          <cell r="D6815" t="str">
            <v>RO 7.5X11 BPM</v>
          </cell>
        </row>
        <row r="6816">
          <cell r="C6816">
            <v>601049.01</v>
          </cell>
          <cell r="D6816" t="str">
            <v>NUTR.W 45100 A</v>
          </cell>
        </row>
        <row r="6817">
          <cell r="C6817">
            <v>701049.01</v>
          </cell>
          <cell r="D6817" t="str">
            <v>NUTR.SEAL 45100 A</v>
          </cell>
        </row>
        <row r="6818">
          <cell r="C6818">
            <v>101049</v>
          </cell>
          <cell r="D6818" t="str">
            <v>NUTR.IR 40 A</v>
          </cell>
        </row>
        <row r="6819">
          <cell r="C6819">
            <v>201072</v>
          </cell>
          <cell r="D6819" t="str">
            <v>NUTR.OR 4090</v>
          </cell>
        </row>
        <row r="6820">
          <cell r="C6820">
            <v>511604.07</v>
          </cell>
          <cell r="D6820" t="str">
            <v>RO 7.5X11 BPM</v>
          </cell>
        </row>
        <row r="6821">
          <cell r="C6821">
            <v>601049</v>
          </cell>
          <cell r="D6821" t="str">
            <v>NUTR.W 40 A</v>
          </cell>
        </row>
        <row r="6822">
          <cell r="C6822">
            <v>701049</v>
          </cell>
          <cell r="D6822" t="str">
            <v>NUTR.SEAL 40 A</v>
          </cell>
        </row>
        <row r="6823">
          <cell r="C6823">
            <v>1421073</v>
          </cell>
          <cell r="D6823" t="str">
            <v>F00WJ009.0 MATERIAL</v>
          </cell>
        </row>
        <row r="6824">
          <cell r="C6824">
            <v>101074</v>
          </cell>
          <cell r="D6824" t="str">
            <v>BUSH.IR 80X89.943X41</v>
          </cell>
        </row>
        <row r="6825">
          <cell r="C6825">
            <v>101075</v>
          </cell>
          <cell r="D6825" t="str">
            <v>BUSH.IR 60X94X45.65</v>
          </cell>
        </row>
        <row r="6826">
          <cell r="C6826">
            <v>101076</v>
          </cell>
          <cell r="D6826" t="str">
            <v>BUSH.IR 67X77X54.16</v>
          </cell>
        </row>
        <row r="6827">
          <cell r="C6827">
            <v>101077</v>
          </cell>
          <cell r="D6827" t="str">
            <v>PIN.IR 32.2X69</v>
          </cell>
        </row>
        <row r="6828">
          <cell r="C6828">
            <v>301099</v>
          </cell>
          <cell r="D6828" t="str">
            <v>MCG 25X30X26</v>
          </cell>
        </row>
        <row r="6829">
          <cell r="C6829">
            <v>511446</v>
          </cell>
          <cell r="D6829" t="str">
            <v>RO 2.5X23.8</v>
          </cell>
        </row>
        <row r="6830">
          <cell r="C6830">
            <v>101100.5</v>
          </cell>
          <cell r="D6830" t="str">
            <v>IR. 3200</v>
          </cell>
        </row>
        <row r="6831">
          <cell r="C6831">
            <v>201100.5</v>
          </cell>
          <cell r="D6831" t="str">
            <v>OR. 3200</v>
          </cell>
        </row>
        <row r="6832">
          <cell r="C6832">
            <v>301100.5</v>
          </cell>
          <cell r="D6832" t="str">
            <v>NCG. 3200</v>
          </cell>
        </row>
        <row r="6833">
          <cell r="C6833">
            <v>101101.5</v>
          </cell>
          <cell r="D6833" t="str">
            <v>IR. 3201</v>
          </cell>
        </row>
        <row r="6834">
          <cell r="C6834">
            <v>201101.5</v>
          </cell>
          <cell r="D6834" t="str">
            <v>OR. 3201</v>
          </cell>
        </row>
        <row r="6835">
          <cell r="C6835">
            <v>301101.5</v>
          </cell>
          <cell r="D6835" t="str">
            <v>NCG. 3201</v>
          </cell>
        </row>
        <row r="6836">
          <cell r="C6836">
            <v>101102.5</v>
          </cell>
          <cell r="D6836" t="str">
            <v>IR. 3202 2RS</v>
          </cell>
        </row>
        <row r="6837">
          <cell r="C6837">
            <v>201102.5</v>
          </cell>
          <cell r="D6837" t="str">
            <v>OR. 3202 2RS</v>
          </cell>
        </row>
        <row r="6838">
          <cell r="C6838">
            <v>301102.5</v>
          </cell>
          <cell r="D6838" t="str">
            <v>NCG. 3202 2RS</v>
          </cell>
        </row>
        <row r="6839">
          <cell r="C6839">
            <v>511190</v>
          </cell>
          <cell r="D6839" t="str">
            <v>BALL 15/64"(IS:2898-1976</v>
          </cell>
        </row>
        <row r="6840">
          <cell r="C6840">
            <v>101102.5</v>
          </cell>
          <cell r="D6840" t="str">
            <v>IR. 3202 2RS</v>
          </cell>
        </row>
        <row r="6841">
          <cell r="C6841">
            <v>201102.5</v>
          </cell>
          <cell r="D6841" t="str">
            <v>OR. 3202 2RS</v>
          </cell>
        </row>
        <row r="6842">
          <cell r="C6842">
            <v>301102.5</v>
          </cell>
          <cell r="D6842" t="str">
            <v>NCG. 3202 2RS</v>
          </cell>
        </row>
        <row r="6843">
          <cell r="C6843">
            <v>511190</v>
          </cell>
          <cell r="D6843" t="str">
            <v>BALL 15/64"(IS:2898-1976</v>
          </cell>
        </row>
        <row r="6844">
          <cell r="C6844">
            <v>701102.5</v>
          </cell>
          <cell r="D6844" t="str">
            <v>SEAL. 3202 2RS</v>
          </cell>
        </row>
        <row r="6845">
          <cell r="C6845">
            <v>101103.5</v>
          </cell>
          <cell r="D6845" t="str">
            <v>IR. 3203 2RS</v>
          </cell>
        </row>
        <row r="6846">
          <cell r="C6846">
            <v>201103.5</v>
          </cell>
          <cell r="D6846" t="str">
            <v>OR. 3203 2RS</v>
          </cell>
        </row>
        <row r="6847">
          <cell r="C6847">
            <v>301103.5</v>
          </cell>
          <cell r="D6847" t="str">
            <v>NCG. 3203 2RS</v>
          </cell>
        </row>
        <row r="6848">
          <cell r="C6848">
            <v>501103.5</v>
          </cell>
          <cell r="D6848" t="str">
            <v>BALL 17/64"(IS:2898-1976)</v>
          </cell>
        </row>
        <row r="6849">
          <cell r="C6849">
            <v>101103.5</v>
          </cell>
          <cell r="D6849" t="str">
            <v>IR. 3203 2RS</v>
          </cell>
        </row>
        <row r="6850">
          <cell r="C6850">
            <v>201103.5</v>
          </cell>
          <cell r="D6850" t="str">
            <v>OR. 3203 2RS</v>
          </cell>
        </row>
        <row r="6851">
          <cell r="C6851">
            <v>301103.5</v>
          </cell>
          <cell r="D6851" t="str">
            <v>NCG. 3203 2RS</v>
          </cell>
        </row>
        <row r="6852">
          <cell r="C6852">
            <v>501103.5</v>
          </cell>
          <cell r="D6852" t="str">
            <v>BALL 17/64"(IS:2898-1976)</v>
          </cell>
        </row>
        <row r="6853">
          <cell r="C6853">
            <v>5221247</v>
          </cell>
          <cell r="D6853" t="str">
            <v>O G SHELL GADUS S2 V100 3</v>
          </cell>
        </row>
        <row r="6854">
          <cell r="C6854">
            <v>701103.5</v>
          </cell>
          <cell r="D6854" t="str">
            <v>SEAL. 3203 2RS</v>
          </cell>
        </row>
        <row r="6855">
          <cell r="C6855">
            <v>101104.5</v>
          </cell>
          <cell r="D6855" t="str">
            <v>IR. 3204 2RS</v>
          </cell>
        </row>
        <row r="6856">
          <cell r="C6856">
            <v>201104.5</v>
          </cell>
          <cell r="D6856" t="str">
            <v>OR. 3204 2RS</v>
          </cell>
        </row>
        <row r="6857">
          <cell r="C6857">
            <v>301104.5</v>
          </cell>
          <cell r="D6857" t="str">
            <v>NCG. 3204 2RS</v>
          </cell>
        </row>
        <row r="6858">
          <cell r="C6858">
            <v>511993</v>
          </cell>
          <cell r="D6858" t="str">
            <v>BALL 5/16"(IS:2898-1976)</v>
          </cell>
        </row>
        <row r="6859">
          <cell r="C6859">
            <v>101104.5</v>
          </cell>
          <cell r="D6859" t="str">
            <v>IR. 3204 2RS</v>
          </cell>
        </row>
        <row r="6860">
          <cell r="C6860">
            <v>201104.5</v>
          </cell>
          <cell r="D6860" t="str">
            <v>OR. 3204 2RS</v>
          </cell>
        </row>
        <row r="6861">
          <cell r="C6861">
            <v>301104.5</v>
          </cell>
          <cell r="D6861" t="str">
            <v>NCG. 3204 2RS</v>
          </cell>
        </row>
        <row r="6862">
          <cell r="C6862">
            <v>511993</v>
          </cell>
          <cell r="D6862" t="str">
            <v>BALL 5/16"(IS:2898-1976)</v>
          </cell>
        </row>
        <row r="6863">
          <cell r="C6863">
            <v>5221247</v>
          </cell>
          <cell r="D6863" t="str">
            <v>O G SHELL GADUS S2 V100 3</v>
          </cell>
        </row>
        <row r="6864">
          <cell r="C6864">
            <v>701104.5</v>
          </cell>
          <cell r="D6864" t="str">
            <v>SEAL. 3204 2RS</v>
          </cell>
        </row>
        <row r="6865">
          <cell r="C6865">
            <v>101104.7</v>
          </cell>
          <cell r="D6865" t="str">
            <v>IR.5204D1</v>
          </cell>
        </row>
        <row r="6866">
          <cell r="C6866">
            <v>201104.7</v>
          </cell>
          <cell r="D6866" t="str">
            <v>OR.5204D1</v>
          </cell>
        </row>
        <row r="6867">
          <cell r="C6867">
            <v>301104.5</v>
          </cell>
          <cell r="D6867" t="str">
            <v>NCG. 3204 2RS</v>
          </cell>
        </row>
        <row r="6868">
          <cell r="C6868">
            <v>511993</v>
          </cell>
          <cell r="D6868" t="str">
            <v>BALL 5/16"(IS:2898-1976)</v>
          </cell>
        </row>
        <row r="6869">
          <cell r="C6869">
            <v>101105</v>
          </cell>
          <cell r="D6869" t="str">
            <v>IR. 3205</v>
          </cell>
        </row>
        <row r="6870">
          <cell r="C6870">
            <v>201105</v>
          </cell>
          <cell r="D6870" t="str">
            <v>OR. 3205</v>
          </cell>
        </row>
        <row r="6871">
          <cell r="C6871">
            <v>301105.5</v>
          </cell>
          <cell r="D6871" t="str">
            <v>NCG. 3205 2RS</v>
          </cell>
        </row>
        <row r="6872">
          <cell r="C6872">
            <v>511993</v>
          </cell>
          <cell r="D6872" t="str">
            <v>BALL 5/16"(IS:2898-1976)</v>
          </cell>
        </row>
        <row r="6873">
          <cell r="C6873">
            <v>101106.5</v>
          </cell>
          <cell r="D6873" t="str">
            <v>IR. 3206 2RS</v>
          </cell>
        </row>
        <row r="6874">
          <cell r="C6874">
            <v>201106.5</v>
          </cell>
          <cell r="D6874" t="str">
            <v>OR. 3206 2RS</v>
          </cell>
        </row>
        <row r="6875">
          <cell r="C6875">
            <v>301106.5</v>
          </cell>
          <cell r="D6875" t="str">
            <v>NCG. 3206 2RS</v>
          </cell>
        </row>
        <row r="6876">
          <cell r="C6876">
            <v>511180</v>
          </cell>
          <cell r="D6876" t="str">
            <v>BALL 3/8"(IS:2898-1976)</v>
          </cell>
        </row>
        <row r="6877">
          <cell r="C6877">
            <v>101106.5</v>
          </cell>
          <cell r="D6877" t="str">
            <v>IR. 3206 2RS</v>
          </cell>
        </row>
        <row r="6878">
          <cell r="C6878">
            <v>201106.5</v>
          </cell>
          <cell r="D6878" t="str">
            <v>OR. 3206 2RS</v>
          </cell>
        </row>
        <row r="6879">
          <cell r="C6879">
            <v>301106.5</v>
          </cell>
          <cell r="D6879" t="str">
            <v>NCG. 3206 2RS</v>
          </cell>
        </row>
        <row r="6880">
          <cell r="C6880">
            <v>511180</v>
          </cell>
          <cell r="D6880" t="str">
            <v>BALL 3/8"(IS:2898-1976)</v>
          </cell>
        </row>
        <row r="6881">
          <cell r="C6881">
            <v>5221247</v>
          </cell>
          <cell r="D6881" t="str">
            <v>O G SHELL GADUS S2 V100 3</v>
          </cell>
        </row>
        <row r="6882">
          <cell r="C6882">
            <v>701106.5</v>
          </cell>
          <cell r="D6882" t="str">
            <v>SEAL. 3206 2RS</v>
          </cell>
        </row>
        <row r="6883">
          <cell r="C6883">
            <v>101107.5</v>
          </cell>
          <cell r="D6883" t="str">
            <v>IR. 3207 2RS</v>
          </cell>
        </row>
        <row r="6884">
          <cell r="C6884">
            <v>201107.5</v>
          </cell>
          <cell r="D6884" t="str">
            <v>OR. 3207 2RS</v>
          </cell>
        </row>
        <row r="6885">
          <cell r="C6885">
            <v>301107.5</v>
          </cell>
          <cell r="D6885" t="str">
            <v>NCG.3207 2RS</v>
          </cell>
        </row>
        <row r="6886">
          <cell r="C6886">
            <v>511193</v>
          </cell>
          <cell r="D6886" t="str">
            <v>BALL 7/16"(IS:2898-1976)</v>
          </cell>
        </row>
        <row r="6887">
          <cell r="C6887">
            <v>101107.5</v>
          </cell>
          <cell r="D6887" t="str">
            <v>IR. 3207 2RS</v>
          </cell>
        </row>
        <row r="6888">
          <cell r="C6888">
            <v>201107.5</v>
          </cell>
          <cell r="D6888" t="str">
            <v>OR. 3207 2RS</v>
          </cell>
        </row>
        <row r="6889">
          <cell r="C6889">
            <v>301107.5</v>
          </cell>
          <cell r="D6889" t="str">
            <v>NCG.3207 2RS</v>
          </cell>
        </row>
        <row r="6890">
          <cell r="C6890">
            <v>511193</v>
          </cell>
          <cell r="D6890" t="str">
            <v>BALL 7/16"(IS:2898-1976)</v>
          </cell>
        </row>
        <row r="6891">
          <cell r="C6891">
            <v>5221247</v>
          </cell>
          <cell r="D6891" t="str">
            <v>O G SHELL GADUS S2 V100 3</v>
          </cell>
        </row>
        <row r="6892">
          <cell r="C6892">
            <v>701107.5</v>
          </cell>
          <cell r="D6892" t="str">
            <v>SEAL. 3207 2RS</v>
          </cell>
        </row>
        <row r="6893">
          <cell r="C6893">
            <v>101108.5</v>
          </cell>
          <cell r="D6893" t="str">
            <v>IR. 3208 2RS</v>
          </cell>
        </row>
        <row r="6894">
          <cell r="C6894">
            <v>201108.5</v>
          </cell>
          <cell r="D6894" t="str">
            <v>OR. 3208 2RS</v>
          </cell>
        </row>
        <row r="6895">
          <cell r="C6895">
            <v>301108.5</v>
          </cell>
          <cell r="D6895" t="str">
            <v>NCG. 3208 2RS</v>
          </cell>
        </row>
        <row r="6896">
          <cell r="C6896">
            <v>511403</v>
          </cell>
          <cell r="D6896" t="str">
            <v>BALL 31/64"(IS:2898-1976)</v>
          </cell>
        </row>
        <row r="6897">
          <cell r="C6897">
            <v>101108.5</v>
          </cell>
          <cell r="D6897" t="str">
            <v>IR. 3208 2RS</v>
          </cell>
        </row>
        <row r="6898">
          <cell r="C6898">
            <v>201108.5</v>
          </cell>
          <cell r="D6898" t="str">
            <v>OR. 3208 2RS</v>
          </cell>
        </row>
        <row r="6899">
          <cell r="C6899">
            <v>301108.5</v>
          </cell>
          <cell r="D6899" t="str">
            <v>NCG. 3208 2RS</v>
          </cell>
        </row>
        <row r="6900">
          <cell r="C6900">
            <v>511403</v>
          </cell>
          <cell r="D6900" t="str">
            <v>BALL 31/64"(IS:2898-1976)</v>
          </cell>
        </row>
        <row r="6901">
          <cell r="C6901">
            <v>701108.5</v>
          </cell>
          <cell r="D6901" t="str">
            <v>SEAL. 3208 2RS</v>
          </cell>
        </row>
        <row r="6902">
          <cell r="C6902">
            <v>101109.5</v>
          </cell>
          <cell r="D6902" t="str">
            <v>IR. 3209</v>
          </cell>
        </row>
        <row r="6903">
          <cell r="C6903">
            <v>201109.5</v>
          </cell>
          <cell r="D6903" t="str">
            <v>OR. 3209</v>
          </cell>
        </row>
        <row r="6904">
          <cell r="C6904">
            <v>301109.5</v>
          </cell>
          <cell r="D6904" t="str">
            <v>NCG. 3209</v>
          </cell>
        </row>
        <row r="6905">
          <cell r="C6905">
            <v>511403</v>
          </cell>
          <cell r="D6905" t="str">
            <v>BALL 31/64"(IS:2898-1976)</v>
          </cell>
        </row>
        <row r="6906">
          <cell r="C6906">
            <v>101109.5</v>
          </cell>
          <cell r="D6906" t="str">
            <v>IR. 3209</v>
          </cell>
        </row>
        <row r="6907">
          <cell r="C6907">
            <v>201109.5</v>
          </cell>
          <cell r="D6907" t="str">
            <v>OR. 3209</v>
          </cell>
        </row>
        <row r="6908">
          <cell r="C6908">
            <v>301109.5</v>
          </cell>
          <cell r="D6908" t="str">
            <v>NCG. 3209</v>
          </cell>
        </row>
        <row r="6909">
          <cell r="C6909">
            <v>511403</v>
          </cell>
          <cell r="D6909" t="str">
            <v>BALL 31/64"(IS:2898-1976)</v>
          </cell>
        </row>
        <row r="6910">
          <cell r="C6910">
            <v>701109.5</v>
          </cell>
          <cell r="D6910" t="str">
            <v>SEAL. 3209 2RS</v>
          </cell>
        </row>
        <row r="6911">
          <cell r="C6911">
            <v>101110.5</v>
          </cell>
          <cell r="D6911" t="str">
            <v>IR. 3210</v>
          </cell>
        </row>
        <row r="6912">
          <cell r="C6912">
            <v>201110.5</v>
          </cell>
          <cell r="D6912" t="str">
            <v>OR. 3210</v>
          </cell>
        </row>
        <row r="6913">
          <cell r="C6913">
            <v>301110.5</v>
          </cell>
          <cell r="D6913" t="str">
            <v>NCG. 3210</v>
          </cell>
        </row>
        <row r="6914">
          <cell r="C6914">
            <v>511181</v>
          </cell>
          <cell r="D6914" t="str">
            <v>BALL 15/32"(IS:2898-1976)</v>
          </cell>
        </row>
        <row r="6915">
          <cell r="C6915">
            <v>101110.5</v>
          </cell>
          <cell r="D6915" t="str">
            <v>IR. 3210</v>
          </cell>
        </row>
        <row r="6916">
          <cell r="C6916">
            <v>201110.5</v>
          </cell>
          <cell r="D6916" t="str">
            <v>OR. 3210</v>
          </cell>
        </row>
        <row r="6917">
          <cell r="C6917">
            <v>301110.5</v>
          </cell>
          <cell r="D6917" t="str">
            <v>NCG. 3210</v>
          </cell>
        </row>
        <row r="6918">
          <cell r="C6918">
            <v>511181</v>
          </cell>
          <cell r="D6918" t="str">
            <v>BALL 15/32"(IS:2898-1976)</v>
          </cell>
        </row>
        <row r="6919">
          <cell r="C6919">
            <v>701110.5</v>
          </cell>
          <cell r="D6919" t="str">
            <v>SEAL. 3210 2RS</v>
          </cell>
        </row>
        <row r="6920">
          <cell r="C6920">
            <v>101111.5</v>
          </cell>
          <cell r="D6920" t="str">
            <v>IR. 3211</v>
          </cell>
        </row>
        <row r="6921">
          <cell r="C6921">
            <v>201111.5</v>
          </cell>
          <cell r="D6921" t="str">
            <v>OR. 3211</v>
          </cell>
        </row>
        <row r="6922">
          <cell r="C6922">
            <v>301111.5</v>
          </cell>
          <cell r="D6922" t="str">
            <v>NCG. 3211</v>
          </cell>
        </row>
        <row r="6923">
          <cell r="C6923">
            <v>511192</v>
          </cell>
          <cell r="D6923" t="str">
            <v>BALL 1/2" (IS:2898-1976)</v>
          </cell>
        </row>
        <row r="6924">
          <cell r="C6924">
            <v>101111.5</v>
          </cell>
          <cell r="D6924" t="str">
            <v>IR. 3211</v>
          </cell>
        </row>
        <row r="6925">
          <cell r="C6925">
            <v>201111.5</v>
          </cell>
          <cell r="D6925" t="str">
            <v>OR. 3211</v>
          </cell>
        </row>
        <row r="6926">
          <cell r="C6926">
            <v>301111.5</v>
          </cell>
          <cell r="D6926" t="str">
            <v>NCG. 3211</v>
          </cell>
        </row>
        <row r="6927">
          <cell r="C6927">
            <v>511192</v>
          </cell>
          <cell r="D6927" t="str">
            <v>BALL 1/2" (IS:2898-1976)</v>
          </cell>
        </row>
        <row r="6928">
          <cell r="C6928">
            <v>701111.5</v>
          </cell>
          <cell r="D6928" t="str">
            <v>SEAL. 3211 2RS</v>
          </cell>
        </row>
        <row r="6929">
          <cell r="C6929">
            <v>101112.5</v>
          </cell>
          <cell r="D6929" t="str">
            <v>IR. 3212</v>
          </cell>
        </row>
        <row r="6930">
          <cell r="C6930">
            <v>201112.5</v>
          </cell>
          <cell r="D6930" t="str">
            <v>OR. 3212</v>
          </cell>
        </row>
        <row r="6931">
          <cell r="C6931">
            <v>301112.5</v>
          </cell>
          <cell r="D6931" t="str">
            <v>NCG. 3212</v>
          </cell>
        </row>
        <row r="6932">
          <cell r="C6932">
            <v>101112.5</v>
          </cell>
          <cell r="D6932" t="str">
            <v>IR. 3212</v>
          </cell>
        </row>
        <row r="6933">
          <cell r="C6933">
            <v>201112.5</v>
          </cell>
          <cell r="D6933" t="str">
            <v>OR. 3212</v>
          </cell>
        </row>
        <row r="6934">
          <cell r="C6934">
            <v>301112.5</v>
          </cell>
          <cell r="D6934" t="str">
            <v>NCG. 3212</v>
          </cell>
        </row>
        <row r="6935">
          <cell r="C6935">
            <v>701112.5</v>
          </cell>
          <cell r="D6935" t="str">
            <v>SEAL. 3212 2RS</v>
          </cell>
        </row>
        <row r="6936">
          <cell r="C6936">
            <v>101113.5</v>
          </cell>
          <cell r="D6936" t="str">
            <v>IR. 3213</v>
          </cell>
        </row>
        <row r="6937">
          <cell r="C6937">
            <v>201113.5</v>
          </cell>
          <cell r="D6937" t="str">
            <v>OR. 3213</v>
          </cell>
        </row>
        <row r="6938">
          <cell r="C6938">
            <v>301113.5</v>
          </cell>
          <cell r="D6938" t="str">
            <v>NCG. 3213</v>
          </cell>
        </row>
        <row r="6939">
          <cell r="C6939">
            <v>101114.5</v>
          </cell>
          <cell r="D6939" t="str">
            <v>IR. 3214</v>
          </cell>
        </row>
        <row r="6940">
          <cell r="C6940">
            <v>201114.5</v>
          </cell>
          <cell r="D6940" t="str">
            <v>OR. 3214</v>
          </cell>
        </row>
        <row r="6941">
          <cell r="C6941">
            <v>301114.5</v>
          </cell>
          <cell r="D6941" t="str">
            <v>NCG. 3214</v>
          </cell>
        </row>
        <row r="6942">
          <cell r="C6942">
            <v>101115.5</v>
          </cell>
          <cell r="D6942" t="str">
            <v>IR. 3215</v>
          </cell>
        </row>
        <row r="6943">
          <cell r="C6943">
            <v>201115.5</v>
          </cell>
          <cell r="D6943" t="str">
            <v>OR. 3215</v>
          </cell>
        </row>
        <row r="6944">
          <cell r="C6944">
            <v>301115.5</v>
          </cell>
          <cell r="D6944" t="str">
            <v>NCG. 3215</v>
          </cell>
        </row>
        <row r="6945">
          <cell r="C6945">
            <v>101116.5</v>
          </cell>
          <cell r="D6945" t="str">
            <v>IR. 3302 2RS</v>
          </cell>
        </row>
        <row r="6946">
          <cell r="C6946">
            <v>201116.5</v>
          </cell>
          <cell r="D6946" t="str">
            <v>OR. 3302 2RS</v>
          </cell>
        </row>
        <row r="6947">
          <cell r="C6947">
            <v>301116.5</v>
          </cell>
          <cell r="D6947" t="str">
            <v>NCG. 3302 2RS</v>
          </cell>
        </row>
        <row r="6948">
          <cell r="C6948">
            <v>511993</v>
          </cell>
          <cell r="D6948" t="str">
            <v>BALL 5/16"(IS:2898-1976)</v>
          </cell>
        </row>
        <row r="6949">
          <cell r="C6949">
            <v>101117.5</v>
          </cell>
          <cell r="D6949" t="str">
            <v>IR. 3303 2RS</v>
          </cell>
        </row>
        <row r="6950">
          <cell r="C6950">
            <v>201117.5</v>
          </cell>
          <cell r="D6950" t="str">
            <v>OR. 3303 2RS</v>
          </cell>
        </row>
        <row r="6951">
          <cell r="C6951">
            <v>301117.5</v>
          </cell>
          <cell r="D6951" t="str">
            <v>NCG. 3303 2RS</v>
          </cell>
        </row>
        <row r="6952">
          <cell r="C6952">
            <v>101117.5</v>
          </cell>
          <cell r="D6952" t="str">
            <v>IR. 3303 2RS</v>
          </cell>
        </row>
        <row r="6953">
          <cell r="C6953">
            <v>201117.5</v>
          </cell>
          <cell r="D6953" t="str">
            <v>OR. 3303 2RS</v>
          </cell>
        </row>
        <row r="6954">
          <cell r="C6954">
            <v>301117.5</v>
          </cell>
          <cell r="D6954" t="str">
            <v>NCG. 3303 2RS</v>
          </cell>
        </row>
        <row r="6955">
          <cell r="C6955">
            <v>701117.5</v>
          </cell>
          <cell r="D6955" t="str">
            <v>SEAL. 3303 2RS</v>
          </cell>
        </row>
        <row r="6956">
          <cell r="C6956">
            <v>101118.5</v>
          </cell>
          <cell r="D6956" t="str">
            <v>IR. 3304 2RS</v>
          </cell>
        </row>
        <row r="6957">
          <cell r="C6957">
            <v>201118.5</v>
          </cell>
          <cell r="D6957" t="str">
            <v>OR. 3304 2RS</v>
          </cell>
        </row>
        <row r="6958">
          <cell r="C6958">
            <v>301118.5</v>
          </cell>
          <cell r="D6958" t="str">
            <v>NCG. 3304 2RS</v>
          </cell>
        </row>
        <row r="6959">
          <cell r="C6959">
            <v>101118.5</v>
          </cell>
          <cell r="D6959" t="str">
            <v>IR. 3304 2RS</v>
          </cell>
        </row>
        <row r="6960">
          <cell r="C6960">
            <v>201118.5</v>
          </cell>
          <cell r="D6960" t="str">
            <v>OR. 3304 2RS</v>
          </cell>
        </row>
        <row r="6961">
          <cell r="C6961">
            <v>301118.5</v>
          </cell>
          <cell r="D6961" t="str">
            <v>NCG. 3304 2RS</v>
          </cell>
        </row>
        <row r="6962">
          <cell r="C6962">
            <v>701118.5</v>
          </cell>
          <cell r="D6962" t="str">
            <v>SEAL. 3304 2RS</v>
          </cell>
        </row>
        <row r="6963">
          <cell r="C6963">
            <v>101119.5</v>
          </cell>
          <cell r="D6963" t="str">
            <v>IR. 3305 2RS</v>
          </cell>
        </row>
        <row r="6964">
          <cell r="C6964">
            <v>201119.5</v>
          </cell>
          <cell r="D6964" t="str">
            <v>OR. 3305 2RS</v>
          </cell>
        </row>
        <row r="6965">
          <cell r="C6965">
            <v>301119.5</v>
          </cell>
          <cell r="D6965" t="str">
            <v>NCG. 3305 2RS</v>
          </cell>
        </row>
        <row r="6966">
          <cell r="C6966">
            <v>511257</v>
          </cell>
          <cell r="D6966" t="str">
            <v>BALL 13/32"(IS:2898-1976)</v>
          </cell>
        </row>
        <row r="6967">
          <cell r="C6967">
            <v>101119.5</v>
          </cell>
          <cell r="D6967" t="str">
            <v>IR. 3305 2RS</v>
          </cell>
        </row>
        <row r="6968">
          <cell r="C6968">
            <v>201119.5</v>
          </cell>
          <cell r="D6968" t="str">
            <v>OR. 3305 2RS</v>
          </cell>
        </row>
        <row r="6969">
          <cell r="C6969">
            <v>301119.5</v>
          </cell>
          <cell r="D6969" t="str">
            <v>NCG. 3305 2RS</v>
          </cell>
        </row>
        <row r="6970">
          <cell r="C6970">
            <v>511257</v>
          </cell>
          <cell r="D6970" t="str">
            <v>BALL 13/32"(IS:2898-1976)</v>
          </cell>
        </row>
        <row r="6971">
          <cell r="C6971">
            <v>701119.5</v>
          </cell>
          <cell r="D6971" t="str">
            <v>SEAL. 3305 2RS</v>
          </cell>
        </row>
        <row r="6972">
          <cell r="C6972">
            <v>101120.5</v>
          </cell>
          <cell r="D6972" t="str">
            <v>IR. 3306 2RS</v>
          </cell>
        </row>
        <row r="6973">
          <cell r="C6973">
            <v>201120.5</v>
          </cell>
          <cell r="D6973" t="str">
            <v>OR. 3306 2RS</v>
          </cell>
        </row>
        <row r="6974">
          <cell r="C6974">
            <v>301120.5</v>
          </cell>
          <cell r="D6974" t="str">
            <v>NCG. 3306 2RS</v>
          </cell>
        </row>
        <row r="6975">
          <cell r="C6975">
            <v>511181</v>
          </cell>
          <cell r="D6975" t="str">
            <v>BALL 15/32"(IS:2898-1976)</v>
          </cell>
        </row>
        <row r="6976">
          <cell r="C6976">
            <v>101121.5</v>
          </cell>
          <cell r="D6976" t="str">
            <v>IR. 3307 2RS</v>
          </cell>
        </row>
        <row r="6977">
          <cell r="C6977">
            <v>201121.5</v>
          </cell>
          <cell r="D6977" t="str">
            <v>OR.3307 2RS</v>
          </cell>
        </row>
        <row r="6978">
          <cell r="C6978">
            <v>301121.5</v>
          </cell>
          <cell r="D6978" t="str">
            <v>NCG. 3307 2RS</v>
          </cell>
        </row>
        <row r="6979">
          <cell r="C6979">
            <v>511237</v>
          </cell>
          <cell r="D6979" t="str">
            <v>BALL 17/32" (IS:2898-1976</v>
          </cell>
        </row>
        <row r="6980">
          <cell r="C6980">
            <v>101121.5</v>
          </cell>
          <cell r="D6980" t="str">
            <v>IR. 3307 2RS</v>
          </cell>
        </row>
        <row r="6981">
          <cell r="C6981">
            <v>201121.5</v>
          </cell>
          <cell r="D6981" t="str">
            <v>OR.3307 2RS</v>
          </cell>
        </row>
        <row r="6982">
          <cell r="C6982">
            <v>301121.5</v>
          </cell>
          <cell r="D6982" t="str">
            <v>NCG. 3307 2RS</v>
          </cell>
        </row>
        <row r="6983">
          <cell r="C6983">
            <v>511237</v>
          </cell>
          <cell r="D6983" t="str">
            <v>BALL 17/32" (IS:2898-1976</v>
          </cell>
        </row>
        <row r="6984">
          <cell r="C6984">
            <v>701121.5</v>
          </cell>
          <cell r="D6984" t="str">
            <v>SEAL. 3307 2RS</v>
          </cell>
        </row>
        <row r="6985">
          <cell r="C6985">
            <v>101122.5</v>
          </cell>
          <cell r="D6985" t="str">
            <v>IR. 3308</v>
          </cell>
        </row>
        <row r="6986">
          <cell r="C6986">
            <v>201122.5</v>
          </cell>
          <cell r="D6986" t="str">
            <v>OR. 3308</v>
          </cell>
        </row>
        <row r="6987">
          <cell r="C6987">
            <v>301122.5</v>
          </cell>
          <cell r="D6987" t="str">
            <v>NCG. 3308</v>
          </cell>
        </row>
        <row r="6988">
          <cell r="C6988">
            <v>501122</v>
          </cell>
          <cell r="D6988" t="str">
            <v>BALL 19/32"(IS:2898-1976)</v>
          </cell>
        </row>
        <row r="6989">
          <cell r="C6989">
            <v>101122.5</v>
          </cell>
          <cell r="D6989" t="str">
            <v>IR. 3308</v>
          </cell>
        </row>
        <row r="6990">
          <cell r="C6990">
            <v>201122.5</v>
          </cell>
          <cell r="D6990" t="str">
            <v>OR. 3308</v>
          </cell>
        </row>
        <row r="6991">
          <cell r="C6991">
            <v>301122.5</v>
          </cell>
          <cell r="D6991" t="str">
            <v>NCG. 3308</v>
          </cell>
        </row>
        <row r="6992">
          <cell r="C6992">
            <v>501122</v>
          </cell>
          <cell r="D6992" t="str">
            <v>BALL 19/32"(IS:2898-1976)</v>
          </cell>
        </row>
        <row r="6993">
          <cell r="C6993">
            <v>701122.5</v>
          </cell>
          <cell r="D6993" t="str">
            <v>SEAL. 3308 2RS</v>
          </cell>
        </row>
        <row r="6994">
          <cell r="C6994">
            <v>101123.5</v>
          </cell>
          <cell r="D6994" t="str">
            <v>IR. 3309</v>
          </cell>
        </row>
        <row r="6995">
          <cell r="C6995">
            <v>201123.5</v>
          </cell>
          <cell r="D6995" t="str">
            <v>OR. 3309</v>
          </cell>
        </row>
        <row r="6996">
          <cell r="C6996">
            <v>301123.5</v>
          </cell>
          <cell r="D6996" t="str">
            <v>NCG. 3309</v>
          </cell>
        </row>
        <row r="6997">
          <cell r="C6997">
            <v>501123</v>
          </cell>
          <cell r="D6997" t="str">
            <v>BALL 21/32"(IS:2898-1976)</v>
          </cell>
        </row>
        <row r="6998">
          <cell r="C6998">
            <v>101123.5</v>
          </cell>
          <cell r="D6998" t="str">
            <v>IR. 3309</v>
          </cell>
        </row>
        <row r="6999">
          <cell r="C6999">
            <v>201123.5</v>
          </cell>
          <cell r="D6999" t="str">
            <v>OR. 3309</v>
          </cell>
        </row>
        <row r="7000">
          <cell r="C7000">
            <v>301123.5</v>
          </cell>
          <cell r="D7000" t="str">
            <v>NCG. 3309</v>
          </cell>
        </row>
        <row r="7001">
          <cell r="C7001">
            <v>501123</v>
          </cell>
          <cell r="D7001" t="str">
            <v>BALL 21/32"(IS:2898-1976)</v>
          </cell>
        </row>
        <row r="7002">
          <cell r="C7002">
            <v>701123.5</v>
          </cell>
          <cell r="D7002" t="str">
            <v>SEAL. 3309 2RS</v>
          </cell>
        </row>
        <row r="7003">
          <cell r="C7003">
            <v>101124.5</v>
          </cell>
          <cell r="D7003" t="str">
            <v>IR. 3310</v>
          </cell>
        </row>
        <row r="7004">
          <cell r="C7004">
            <v>201124.5</v>
          </cell>
          <cell r="D7004" t="str">
            <v>OR. 3310</v>
          </cell>
        </row>
        <row r="7005">
          <cell r="C7005">
            <v>301124.5</v>
          </cell>
          <cell r="D7005" t="str">
            <v>NCG. 3310</v>
          </cell>
        </row>
        <row r="7006">
          <cell r="C7006">
            <v>501124.5</v>
          </cell>
          <cell r="D7006" t="str">
            <v>BALL 3/4"(IS:2898-1976)</v>
          </cell>
        </row>
        <row r="7007">
          <cell r="C7007">
            <v>101124.5</v>
          </cell>
          <cell r="D7007" t="str">
            <v>IR. 3310</v>
          </cell>
        </row>
        <row r="7008">
          <cell r="C7008">
            <v>201124.5</v>
          </cell>
          <cell r="D7008" t="str">
            <v>OR. 3310</v>
          </cell>
        </row>
        <row r="7009">
          <cell r="C7009">
            <v>301124.5</v>
          </cell>
          <cell r="D7009" t="str">
            <v>NCG. 3310</v>
          </cell>
        </row>
        <row r="7010">
          <cell r="C7010">
            <v>501124.5</v>
          </cell>
          <cell r="D7010" t="str">
            <v>BALL 3/4"(IS:2898-1976)</v>
          </cell>
        </row>
        <row r="7011">
          <cell r="C7011">
            <v>701124.5</v>
          </cell>
          <cell r="D7011" t="str">
            <v>SEAL. 3310 2RS</v>
          </cell>
        </row>
        <row r="7012">
          <cell r="C7012">
            <v>101125.5</v>
          </cell>
          <cell r="D7012" t="str">
            <v>IR. 3311</v>
          </cell>
        </row>
        <row r="7013">
          <cell r="C7013">
            <v>201125.5</v>
          </cell>
          <cell r="D7013" t="str">
            <v>OR. 3311</v>
          </cell>
        </row>
        <row r="7014">
          <cell r="C7014">
            <v>301125.5</v>
          </cell>
          <cell r="D7014" t="str">
            <v>NCG. 3311</v>
          </cell>
        </row>
        <row r="7015">
          <cell r="C7015">
            <v>501154</v>
          </cell>
          <cell r="D7015" t="str">
            <v>BALL 25/32"(IS:2898-1976)</v>
          </cell>
        </row>
        <row r="7016">
          <cell r="C7016">
            <v>101125.5</v>
          </cell>
          <cell r="D7016" t="str">
            <v>IR. 3311</v>
          </cell>
        </row>
        <row r="7017">
          <cell r="C7017">
            <v>201125.5</v>
          </cell>
          <cell r="D7017" t="str">
            <v>OR. 3311</v>
          </cell>
        </row>
        <row r="7018">
          <cell r="C7018">
            <v>301125.5</v>
          </cell>
          <cell r="D7018" t="str">
            <v>NCG. 3311</v>
          </cell>
        </row>
        <row r="7019">
          <cell r="C7019">
            <v>701125.5</v>
          </cell>
          <cell r="D7019" t="str">
            <v>SEAL. 3311 2RS</v>
          </cell>
        </row>
        <row r="7020">
          <cell r="C7020">
            <v>101126.5</v>
          </cell>
          <cell r="D7020" t="str">
            <v>IR. 3312</v>
          </cell>
        </row>
        <row r="7021">
          <cell r="C7021">
            <v>201126.5</v>
          </cell>
          <cell r="D7021" t="str">
            <v>OR. 3312</v>
          </cell>
        </row>
        <row r="7022">
          <cell r="C7022">
            <v>301126.5</v>
          </cell>
          <cell r="D7022" t="str">
            <v>NCG. 3312</v>
          </cell>
        </row>
        <row r="7023">
          <cell r="C7023">
            <v>101126.5</v>
          </cell>
          <cell r="D7023" t="str">
            <v>IR. 3312</v>
          </cell>
        </row>
        <row r="7024">
          <cell r="C7024">
            <v>201126.5</v>
          </cell>
          <cell r="D7024" t="str">
            <v>OR. 3312</v>
          </cell>
        </row>
        <row r="7025">
          <cell r="C7025">
            <v>301126.5</v>
          </cell>
          <cell r="D7025" t="str">
            <v>NCG. 3312</v>
          </cell>
        </row>
        <row r="7026">
          <cell r="C7026">
            <v>701126.5</v>
          </cell>
          <cell r="D7026" t="str">
            <v>SEAL. 3312 2RS</v>
          </cell>
        </row>
        <row r="7027">
          <cell r="C7027">
            <v>101127.5</v>
          </cell>
          <cell r="D7027" t="str">
            <v>IR. 3313</v>
          </cell>
        </row>
        <row r="7028">
          <cell r="C7028">
            <v>201127.5</v>
          </cell>
          <cell r="D7028" t="str">
            <v>OR. 3313</v>
          </cell>
        </row>
        <row r="7029">
          <cell r="C7029">
            <v>301127.5</v>
          </cell>
          <cell r="D7029" t="str">
            <v>NCG. 3313</v>
          </cell>
        </row>
        <row r="7030">
          <cell r="C7030">
            <v>101128.5</v>
          </cell>
          <cell r="D7030" t="str">
            <v>IR. 3314</v>
          </cell>
        </row>
        <row r="7031">
          <cell r="C7031">
            <v>201128.5</v>
          </cell>
          <cell r="D7031" t="str">
            <v>OR. 3314</v>
          </cell>
        </row>
        <row r="7032">
          <cell r="C7032">
            <v>301128.5</v>
          </cell>
          <cell r="D7032" t="str">
            <v>NCG. 3314</v>
          </cell>
        </row>
        <row r="7033">
          <cell r="C7033">
            <v>101129</v>
          </cell>
          <cell r="D7033" t="str">
            <v>IR. 7200</v>
          </cell>
        </row>
        <row r="7034">
          <cell r="C7034">
            <v>201129</v>
          </cell>
          <cell r="D7034" t="str">
            <v>OR. 7200</v>
          </cell>
        </row>
        <row r="7035">
          <cell r="C7035">
            <v>301129</v>
          </cell>
          <cell r="D7035" t="str">
            <v>NCG. 7200</v>
          </cell>
        </row>
        <row r="7036">
          <cell r="C7036">
            <v>101130</v>
          </cell>
          <cell r="D7036" t="str">
            <v>IR. 7201</v>
          </cell>
        </row>
        <row r="7037">
          <cell r="C7037">
            <v>201130</v>
          </cell>
          <cell r="D7037" t="str">
            <v>OR. 7201</v>
          </cell>
        </row>
        <row r="7038">
          <cell r="C7038">
            <v>301130</v>
          </cell>
          <cell r="D7038" t="str">
            <v>NCG. 7201</v>
          </cell>
        </row>
        <row r="7039">
          <cell r="C7039">
            <v>101131</v>
          </cell>
          <cell r="D7039" t="str">
            <v>IR. 7202</v>
          </cell>
        </row>
        <row r="7040">
          <cell r="C7040">
            <v>201131</v>
          </cell>
          <cell r="D7040" t="str">
            <v>OR. 7202</v>
          </cell>
        </row>
        <row r="7041">
          <cell r="C7041">
            <v>301131</v>
          </cell>
          <cell r="D7041" t="str">
            <v>NCG. 7202</v>
          </cell>
        </row>
        <row r="7042">
          <cell r="C7042">
            <v>511182</v>
          </cell>
          <cell r="D7042" t="str">
            <v>BALL 1/4" (IS:2898-1976)</v>
          </cell>
        </row>
        <row r="7043">
          <cell r="C7043">
            <v>101132</v>
          </cell>
          <cell r="D7043" t="str">
            <v>IR. 7203</v>
          </cell>
        </row>
        <row r="7044">
          <cell r="C7044">
            <v>201132</v>
          </cell>
          <cell r="D7044" t="str">
            <v>OR. 7203</v>
          </cell>
        </row>
        <row r="7045">
          <cell r="C7045">
            <v>301132</v>
          </cell>
          <cell r="D7045" t="str">
            <v>NCG. 7203</v>
          </cell>
        </row>
        <row r="7046">
          <cell r="C7046">
            <v>501103.5</v>
          </cell>
          <cell r="D7046" t="str">
            <v>BALL 17/64"(IS:2898-1976)</v>
          </cell>
        </row>
        <row r="7047">
          <cell r="C7047">
            <v>101133</v>
          </cell>
          <cell r="D7047" t="str">
            <v>IR. 7204</v>
          </cell>
        </row>
        <row r="7048">
          <cell r="C7048">
            <v>201133</v>
          </cell>
          <cell r="D7048" t="str">
            <v>OR. 7204</v>
          </cell>
        </row>
        <row r="7049">
          <cell r="C7049">
            <v>301133</v>
          </cell>
          <cell r="D7049" t="str">
            <v>NCG. 7204</v>
          </cell>
        </row>
        <row r="7050">
          <cell r="C7050">
            <v>511993</v>
          </cell>
          <cell r="D7050" t="str">
            <v>BALL 5/16"(IS:2898-1976)</v>
          </cell>
        </row>
        <row r="7051">
          <cell r="C7051">
            <v>101134</v>
          </cell>
          <cell r="D7051" t="str">
            <v>IR. 7205</v>
          </cell>
        </row>
        <row r="7052">
          <cell r="C7052">
            <v>201134</v>
          </cell>
          <cell r="D7052" t="str">
            <v>OR. 7205</v>
          </cell>
        </row>
        <row r="7053">
          <cell r="C7053">
            <v>301134</v>
          </cell>
          <cell r="D7053" t="str">
            <v>NCG. 7205</v>
          </cell>
        </row>
        <row r="7054">
          <cell r="C7054">
            <v>511993</v>
          </cell>
          <cell r="D7054" t="str">
            <v>BALL 5/16"(IS:2898-1976)</v>
          </cell>
        </row>
        <row r="7055">
          <cell r="C7055">
            <v>101135</v>
          </cell>
          <cell r="D7055" t="str">
            <v>IR. 7206</v>
          </cell>
        </row>
        <row r="7056">
          <cell r="C7056">
            <v>201135</v>
          </cell>
          <cell r="D7056" t="str">
            <v>OR. 7206</v>
          </cell>
        </row>
        <row r="7057">
          <cell r="C7057">
            <v>301135</v>
          </cell>
          <cell r="D7057" t="str">
            <v>NCG. 7206</v>
          </cell>
        </row>
        <row r="7058">
          <cell r="C7058">
            <v>511180</v>
          </cell>
          <cell r="D7058" t="str">
            <v>BALL 3/8"(IS:2898-1976)</v>
          </cell>
        </row>
        <row r="7059">
          <cell r="C7059">
            <v>101136</v>
          </cell>
          <cell r="D7059" t="str">
            <v>IR. 7207</v>
          </cell>
        </row>
        <row r="7060">
          <cell r="C7060">
            <v>201136</v>
          </cell>
          <cell r="D7060" t="str">
            <v>OR. 7207</v>
          </cell>
        </row>
        <row r="7061">
          <cell r="C7061">
            <v>301136</v>
          </cell>
          <cell r="D7061" t="str">
            <v>NCG. 7207</v>
          </cell>
        </row>
        <row r="7062">
          <cell r="C7062">
            <v>511181</v>
          </cell>
          <cell r="D7062" t="str">
            <v>BALL 15/32"(IS:2898-1976)</v>
          </cell>
        </row>
        <row r="7063">
          <cell r="C7063">
            <v>101137</v>
          </cell>
          <cell r="D7063" t="str">
            <v>IR. 7208</v>
          </cell>
        </row>
        <row r="7064">
          <cell r="C7064">
            <v>201137</v>
          </cell>
          <cell r="D7064" t="str">
            <v>OR. 7208</v>
          </cell>
        </row>
        <row r="7065">
          <cell r="C7065">
            <v>301137</v>
          </cell>
          <cell r="D7065" t="str">
            <v>NCG. 7208</v>
          </cell>
        </row>
        <row r="7066">
          <cell r="C7066">
            <v>511192</v>
          </cell>
          <cell r="D7066" t="str">
            <v>BALL 1/2" (IS:2898-1976)</v>
          </cell>
        </row>
        <row r="7067">
          <cell r="C7067">
            <v>101138</v>
          </cell>
          <cell r="D7067" t="str">
            <v>IR. 7209</v>
          </cell>
        </row>
        <row r="7068">
          <cell r="C7068">
            <v>201138</v>
          </cell>
          <cell r="D7068" t="str">
            <v>OR. 7209</v>
          </cell>
        </row>
        <row r="7069">
          <cell r="C7069">
            <v>301138</v>
          </cell>
          <cell r="D7069" t="str">
            <v>NCG. 7209</v>
          </cell>
        </row>
        <row r="7070">
          <cell r="C7070">
            <v>511192</v>
          </cell>
          <cell r="D7070" t="str">
            <v>BALL 1/2" (IS:2898-1976)</v>
          </cell>
        </row>
        <row r="7071">
          <cell r="C7071">
            <v>101139</v>
          </cell>
          <cell r="D7071" t="str">
            <v>IR. 7210</v>
          </cell>
        </row>
        <row r="7072">
          <cell r="C7072">
            <v>201139</v>
          </cell>
          <cell r="D7072" t="str">
            <v>OR. 7210</v>
          </cell>
        </row>
        <row r="7073">
          <cell r="C7073">
            <v>301139</v>
          </cell>
          <cell r="D7073" t="str">
            <v>NCG. 7210</v>
          </cell>
        </row>
        <row r="7074">
          <cell r="C7074">
            <v>511192</v>
          </cell>
          <cell r="D7074" t="str">
            <v>BALL 1/2" (IS:2898-1976)</v>
          </cell>
        </row>
        <row r="7075">
          <cell r="C7075">
            <v>101140</v>
          </cell>
          <cell r="D7075" t="str">
            <v>IR. 7211</v>
          </cell>
        </row>
        <row r="7076">
          <cell r="C7076">
            <v>201140</v>
          </cell>
          <cell r="D7076" t="str">
            <v>OR. 7211</v>
          </cell>
        </row>
        <row r="7077">
          <cell r="C7077">
            <v>301140</v>
          </cell>
          <cell r="D7077" t="str">
            <v>NCG. 7211</v>
          </cell>
        </row>
        <row r="7078">
          <cell r="C7078">
            <v>511357</v>
          </cell>
          <cell r="D7078" t="str">
            <v>BALL 9/16" (IS:2898-1976)</v>
          </cell>
        </row>
        <row r="7079">
          <cell r="C7079">
            <v>101141</v>
          </cell>
          <cell r="D7079" t="str">
            <v>IR. 7212</v>
          </cell>
        </row>
        <row r="7080">
          <cell r="C7080">
            <v>201141</v>
          </cell>
          <cell r="D7080" t="str">
            <v>OR. 7212</v>
          </cell>
        </row>
        <row r="7081">
          <cell r="C7081">
            <v>301141</v>
          </cell>
          <cell r="D7081" t="str">
            <v>NCG. 7212</v>
          </cell>
        </row>
        <row r="7082">
          <cell r="C7082">
            <v>511296</v>
          </cell>
          <cell r="D7082" t="str">
            <v>BALL 5/8"</v>
          </cell>
        </row>
        <row r="7083">
          <cell r="C7083">
            <v>101142</v>
          </cell>
          <cell r="D7083" t="str">
            <v>IR. 7213</v>
          </cell>
        </row>
        <row r="7084">
          <cell r="C7084">
            <v>201142</v>
          </cell>
          <cell r="D7084" t="str">
            <v>OR. 7213</v>
          </cell>
        </row>
        <row r="7085">
          <cell r="C7085">
            <v>301142</v>
          </cell>
          <cell r="D7085" t="str">
            <v>NCG. 7213</v>
          </cell>
        </row>
        <row r="7086">
          <cell r="C7086">
            <v>501142</v>
          </cell>
          <cell r="D7086" t="str">
            <v>BALL 11/16"(IS:2898-1976)</v>
          </cell>
        </row>
        <row r="7087">
          <cell r="C7087">
            <v>101143</v>
          </cell>
          <cell r="D7087" t="str">
            <v>IR. 7214</v>
          </cell>
        </row>
        <row r="7088">
          <cell r="C7088">
            <v>201143</v>
          </cell>
          <cell r="D7088" t="str">
            <v>OR. 7214</v>
          </cell>
        </row>
        <row r="7089">
          <cell r="C7089">
            <v>301143</v>
          </cell>
          <cell r="D7089" t="str">
            <v>NCG. 7214</v>
          </cell>
        </row>
        <row r="7090">
          <cell r="C7090">
            <v>501142</v>
          </cell>
          <cell r="D7090" t="str">
            <v>BALL 11/16"(IS:2898-1976)</v>
          </cell>
        </row>
        <row r="7091">
          <cell r="C7091">
            <v>101144</v>
          </cell>
          <cell r="D7091" t="str">
            <v>IR. 7215</v>
          </cell>
        </row>
        <row r="7092">
          <cell r="C7092">
            <v>201144</v>
          </cell>
          <cell r="D7092" t="str">
            <v>OR. 7215</v>
          </cell>
        </row>
        <row r="7093">
          <cell r="C7093">
            <v>301144</v>
          </cell>
          <cell r="D7093" t="str">
            <v>NCG. 7215</v>
          </cell>
        </row>
        <row r="7094">
          <cell r="C7094">
            <v>501142</v>
          </cell>
          <cell r="D7094" t="str">
            <v>BALL 11/16"(IS:2898-1976)</v>
          </cell>
        </row>
        <row r="7095">
          <cell r="C7095">
            <v>101145</v>
          </cell>
          <cell r="D7095" t="str">
            <v>IR. 7301</v>
          </cell>
        </row>
        <row r="7096">
          <cell r="C7096">
            <v>201145</v>
          </cell>
          <cell r="D7096" t="str">
            <v>OR. 7301</v>
          </cell>
        </row>
        <row r="7097">
          <cell r="C7097">
            <v>301145</v>
          </cell>
          <cell r="D7097" t="str">
            <v>NCG. 7301</v>
          </cell>
        </row>
        <row r="7098">
          <cell r="C7098">
            <v>101146</v>
          </cell>
          <cell r="D7098" t="str">
            <v>IR. 7302</v>
          </cell>
        </row>
        <row r="7099">
          <cell r="C7099">
            <v>201146</v>
          </cell>
          <cell r="D7099" t="str">
            <v>OR. 7302</v>
          </cell>
        </row>
        <row r="7100">
          <cell r="C7100">
            <v>301146</v>
          </cell>
          <cell r="D7100" t="str">
            <v>NCG. 7302</v>
          </cell>
        </row>
        <row r="7101">
          <cell r="C7101">
            <v>511993</v>
          </cell>
          <cell r="D7101" t="str">
            <v>BALL 5/16"(IS:2898-1976)</v>
          </cell>
        </row>
        <row r="7102">
          <cell r="C7102">
            <v>101147</v>
          </cell>
          <cell r="D7102" t="str">
            <v>IR. 7303</v>
          </cell>
        </row>
        <row r="7103">
          <cell r="C7103">
            <v>201147</v>
          </cell>
          <cell r="D7103" t="str">
            <v>OR. 7303</v>
          </cell>
        </row>
        <row r="7104">
          <cell r="C7104">
            <v>301147</v>
          </cell>
          <cell r="D7104" t="str">
            <v>NCG. 7303</v>
          </cell>
        </row>
        <row r="7105">
          <cell r="C7105">
            <v>511180</v>
          </cell>
          <cell r="D7105" t="str">
            <v>BALL 3/8"(IS:2898-1976)</v>
          </cell>
        </row>
        <row r="7106">
          <cell r="C7106">
            <v>101148</v>
          </cell>
          <cell r="D7106" t="str">
            <v>IR. 7304</v>
          </cell>
        </row>
        <row r="7107">
          <cell r="C7107">
            <v>201148</v>
          </cell>
          <cell r="D7107" t="str">
            <v>OR. 7304</v>
          </cell>
        </row>
        <row r="7108">
          <cell r="C7108">
            <v>301148</v>
          </cell>
          <cell r="D7108" t="str">
            <v>NCG. 7304</v>
          </cell>
        </row>
        <row r="7109">
          <cell r="C7109">
            <v>511257</v>
          </cell>
          <cell r="D7109" t="str">
            <v>BALL 13/32"(IS:2898-1976)</v>
          </cell>
        </row>
        <row r="7110">
          <cell r="C7110">
            <v>101149</v>
          </cell>
          <cell r="D7110" t="str">
            <v>IR. 7305</v>
          </cell>
        </row>
        <row r="7111">
          <cell r="C7111">
            <v>201149</v>
          </cell>
          <cell r="D7111" t="str">
            <v>OR. 7305</v>
          </cell>
        </row>
        <row r="7112">
          <cell r="C7112">
            <v>301149</v>
          </cell>
          <cell r="D7112" t="str">
            <v>NCG. 7305</v>
          </cell>
        </row>
        <row r="7113">
          <cell r="C7113">
            <v>500355.1</v>
          </cell>
          <cell r="D7113" t="str">
            <v>BALL 29/64"(IS:2898-1976)</v>
          </cell>
        </row>
        <row r="7114">
          <cell r="C7114">
            <v>101150</v>
          </cell>
          <cell r="D7114" t="str">
            <v>IR. 7306</v>
          </cell>
        </row>
        <row r="7115">
          <cell r="C7115">
            <v>201150</v>
          </cell>
          <cell r="D7115" t="str">
            <v>OR. 7306</v>
          </cell>
        </row>
        <row r="7116">
          <cell r="C7116">
            <v>301150</v>
          </cell>
          <cell r="D7116" t="str">
            <v>NCG. 7306</v>
          </cell>
        </row>
        <row r="7117">
          <cell r="C7117">
            <v>511237</v>
          </cell>
          <cell r="D7117" t="str">
            <v>BALL 17/32" (IS:2898-1976</v>
          </cell>
        </row>
        <row r="7118">
          <cell r="C7118">
            <v>101151</v>
          </cell>
          <cell r="D7118" t="str">
            <v>IR. 7307</v>
          </cell>
        </row>
        <row r="7119">
          <cell r="C7119">
            <v>201151</v>
          </cell>
          <cell r="D7119" t="str">
            <v>OR. 7307</v>
          </cell>
        </row>
        <row r="7120">
          <cell r="C7120">
            <v>301151</v>
          </cell>
          <cell r="D7120" t="str">
            <v>NCG. 7307</v>
          </cell>
        </row>
        <row r="7121">
          <cell r="C7121">
            <v>511357</v>
          </cell>
          <cell r="D7121" t="str">
            <v>BALL 9/16" (IS:2898-1976)</v>
          </cell>
        </row>
        <row r="7122">
          <cell r="C7122">
            <v>101152</v>
          </cell>
          <cell r="D7122" t="str">
            <v>IR. 7308</v>
          </cell>
        </row>
        <row r="7123">
          <cell r="C7123">
            <v>201152</v>
          </cell>
          <cell r="D7123" t="str">
            <v>OR. 7308</v>
          </cell>
        </row>
        <row r="7124">
          <cell r="C7124">
            <v>301152</v>
          </cell>
          <cell r="D7124" t="str">
            <v>NCG. 7308</v>
          </cell>
        </row>
        <row r="7125">
          <cell r="C7125">
            <v>511296</v>
          </cell>
          <cell r="D7125" t="str">
            <v>BALL 5/8"</v>
          </cell>
        </row>
        <row r="7126">
          <cell r="C7126">
            <v>101153</v>
          </cell>
          <cell r="D7126" t="str">
            <v>IR. 7309</v>
          </cell>
        </row>
        <row r="7127">
          <cell r="C7127">
            <v>201153</v>
          </cell>
          <cell r="D7127" t="str">
            <v>OR. 7309</v>
          </cell>
        </row>
        <row r="7128">
          <cell r="C7128">
            <v>301153</v>
          </cell>
          <cell r="D7128" t="str">
            <v>NCG. 7309</v>
          </cell>
        </row>
        <row r="7129">
          <cell r="C7129">
            <v>501142</v>
          </cell>
          <cell r="D7129" t="str">
            <v>BALL 11/16"(IS:2898-1976)</v>
          </cell>
        </row>
        <row r="7130">
          <cell r="C7130">
            <v>101154</v>
          </cell>
          <cell r="D7130" t="str">
            <v>IR. 7310</v>
          </cell>
        </row>
        <row r="7131">
          <cell r="C7131">
            <v>201154</v>
          </cell>
          <cell r="D7131" t="str">
            <v>OR. 7310</v>
          </cell>
        </row>
        <row r="7132">
          <cell r="C7132">
            <v>301154</v>
          </cell>
          <cell r="D7132" t="str">
            <v>NCG.7310</v>
          </cell>
        </row>
        <row r="7133">
          <cell r="C7133">
            <v>501154</v>
          </cell>
          <cell r="D7133" t="str">
            <v>BALL 25/32"(IS:2898-1976)</v>
          </cell>
        </row>
        <row r="7134">
          <cell r="C7134">
            <v>101155</v>
          </cell>
          <cell r="D7134" t="str">
            <v>IR. 7311</v>
          </cell>
        </row>
        <row r="7135">
          <cell r="C7135">
            <v>201155</v>
          </cell>
          <cell r="D7135" t="str">
            <v>OR. 7311</v>
          </cell>
        </row>
        <row r="7136">
          <cell r="C7136">
            <v>301155</v>
          </cell>
          <cell r="D7136" t="str">
            <v>NCG. 7311</v>
          </cell>
        </row>
        <row r="7137">
          <cell r="C7137">
            <v>501155</v>
          </cell>
          <cell r="D7137" t="str">
            <v>BALL 27/32"(IS:2898-1976)</v>
          </cell>
        </row>
        <row r="7138">
          <cell r="C7138">
            <v>101156</v>
          </cell>
          <cell r="D7138" t="str">
            <v>IR. 7312</v>
          </cell>
        </row>
        <row r="7139">
          <cell r="C7139">
            <v>201156</v>
          </cell>
          <cell r="D7139" t="str">
            <v>OR. 7312</v>
          </cell>
        </row>
        <row r="7140">
          <cell r="C7140">
            <v>301156</v>
          </cell>
          <cell r="D7140" t="str">
            <v>NCG. 7312</v>
          </cell>
        </row>
        <row r="7141">
          <cell r="C7141">
            <v>501156</v>
          </cell>
          <cell r="D7141" t="str">
            <v>BALL 15/16"(IS:2898-1976)</v>
          </cell>
        </row>
        <row r="7142">
          <cell r="C7142">
            <v>101157</v>
          </cell>
          <cell r="D7142" t="str">
            <v>IR. 7313</v>
          </cell>
        </row>
        <row r="7143">
          <cell r="C7143">
            <v>201157</v>
          </cell>
          <cell r="D7143" t="str">
            <v>OR. 7313</v>
          </cell>
        </row>
        <row r="7144">
          <cell r="C7144">
            <v>301157</v>
          </cell>
          <cell r="D7144" t="str">
            <v>NCG. 7313</v>
          </cell>
        </row>
        <row r="7145">
          <cell r="C7145">
            <v>501157</v>
          </cell>
          <cell r="D7145" t="str">
            <v>BALL 1"(IS:2898-1976)</v>
          </cell>
        </row>
        <row r="7146">
          <cell r="C7146">
            <v>101158</v>
          </cell>
          <cell r="D7146" t="str">
            <v>IR.62206 2RS</v>
          </cell>
        </row>
        <row r="7147">
          <cell r="C7147">
            <v>201158</v>
          </cell>
          <cell r="D7147" t="str">
            <v>OR.62206 2RS</v>
          </cell>
        </row>
        <row r="7148">
          <cell r="C7148">
            <v>301158</v>
          </cell>
          <cell r="D7148" t="str">
            <v>NCG.62206 2RS</v>
          </cell>
        </row>
        <row r="7149">
          <cell r="C7149">
            <v>511180</v>
          </cell>
          <cell r="D7149" t="str">
            <v>BALL 3/8"(IS:2898-1976)</v>
          </cell>
        </row>
        <row r="7150">
          <cell r="C7150">
            <v>5221247</v>
          </cell>
          <cell r="D7150" t="str">
            <v>O G SHELL GADUS S2 V100 3</v>
          </cell>
        </row>
        <row r="7151">
          <cell r="C7151">
            <v>701158</v>
          </cell>
          <cell r="D7151" t="str">
            <v>SEAL.62206 2RS</v>
          </cell>
        </row>
        <row r="7152">
          <cell r="C7152">
            <v>101159</v>
          </cell>
          <cell r="D7152" t="str">
            <v>IR.62205 2RS</v>
          </cell>
        </row>
        <row r="7153">
          <cell r="C7153">
            <v>201159</v>
          </cell>
          <cell r="D7153" t="str">
            <v>OR.62205 2RS</v>
          </cell>
        </row>
        <row r="7154">
          <cell r="C7154">
            <v>301105.5</v>
          </cell>
          <cell r="D7154" t="str">
            <v>NCG. 3205 2RS</v>
          </cell>
        </row>
        <row r="7155">
          <cell r="C7155">
            <v>511993</v>
          </cell>
          <cell r="D7155" t="str">
            <v>BALL 5/16"(IS:2898-1976)</v>
          </cell>
        </row>
        <row r="7156">
          <cell r="C7156">
            <v>5221247</v>
          </cell>
          <cell r="D7156" t="str">
            <v>O G SHELL GADUS S2 V100 3</v>
          </cell>
        </row>
        <row r="7157">
          <cell r="C7157">
            <v>701159</v>
          </cell>
          <cell r="D7157" t="str">
            <v>SEAL.62205 2RS</v>
          </cell>
        </row>
        <row r="7158">
          <cell r="C7158">
            <v>101160</v>
          </cell>
          <cell r="D7158" t="str">
            <v>IR.6205 2RS</v>
          </cell>
        </row>
        <row r="7159">
          <cell r="C7159">
            <v>201160</v>
          </cell>
          <cell r="D7159" t="str">
            <v>OR.6205 2RS</v>
          </cell>
        </row>
        <row r="7160">
          <cell r="C7160">
            <v>301105.5</v>
          </cell>
          <cell r="D7160" t="str">
            <v>NCG. 3205 2RS</v>
          </cell>
        </row>
        <row r="7161">
          <cell r="C7161">
            <v>511993</v>
          </cell>
          <cell r="D7161" t="str">
            <v>BALL 5/16"(IS:2898-1976)</v>
          </cell>
        </row>
        <row r="7162">
          <cell r="C7162">
            <v>5221247</v>
          </cell>
          <cell r="D7162" t="str">
            <v>O G SHELL GADUS S2 V100 3</v>
          </cell>
        </row>
        <row r="7163">
          <cell r="C7163">
            <v>701159</v>
          </cell>
          <cell r="D7163" t="str">
            <v>SEAL.62205 2RS</v>
          </cell>
        </row>
        <row r="7164">
          <cell r="C7164">
            <v>101161</v>
          </cell>
          <cell r="D7164" t="str">
            <v>IR.63005 2RS</v>
          </cell>
        </row>
        <row r="7165">
          <cell r="C7165">
            <v>201161</v>
          </cell>
          <cell r="D7165" t="str">
            <v>OR.63005 2RS</v>
          </cell>
        </row>
        <row r="7166">
          <cell r="C7166">
            <v>301161</v>
          </cell>
          <cell r="D7166" t="str">
            <v>NCG.63005 2RS</v>
          </cell>
        </row>
        <row r="7167">
          <cell r="C7167">
            <v>501103.5</v>
          </cell>
          <cell r="D7167" t="str">
            <v>BALL 17/64"(IS:2898-1976)</v>
          </cell>
        </row>
        <row r="7168">
          <cell r="C7168">
            <v>5221247</v>
          </cell>
          <cell r="D7168" t="str">
            <v>O G SHELL GADUS S2 V100 3</v>
          </cell>
        </row>
        <row r="7169">
          <cell r="C7169">
            <v>701161</v>
          </cell>
          <cell r="D7169" t="str">
            <v>SEAL.63005 2RS</v>
          </cell>
        </row>
        <row r="7170">
          <cell r="C7170">
            <v>101162</v>
          </cell>
          <cell r="D7170" t="str">
            <v>IR.2205E 2RS</v>
          </cell>
        </row>
        <row r="7171">
          <cell r="C7171">
            <v>201162</v>
          </cell>
          <cell r="D7171" t="str">
            <v>OR.2205E 2RS</v>
          </cell>
        </row>
        <row r="7172">
          <cell r="C7172">
            <v>301162</v>
          </cell>
          <cell r="D7172" t="str">
            <v>NCG.2205E 2RS</v>
          </cell>
        </row>
        <row r="7173">
          <cell r="C7173">
            <v>501162</v>
          </cell>
          <cell r="D7173" t="str">
            <v>BALL 7.50MM</v>
          </cell>
        </row>
        <row r="7174">
          <cell r="C7174">
            <v>5221247</v>
          </cell>
          <cell r="D7174" t="str">
            <v>O G SHELL GADUS S2 V100 3</v>
          </cell>
        </row>
        <row r="7175">
          <cell r="C7175">
            <v>701162</v>
          </cell>
          <cell r="D7175" t="str">
            <v>SEAL.2205E 2RS</v>
          </cell>
        </row>
        <row r="7176">
          <cell r="C7176">
            <v>101163</v>
          </cell>
          <cell r="D7176" t="str">
            <v>IR. 7314B TN9</v>
          </cell>
        </row>
        <row r="7177">
          <cell r="C7177">
            <v>201163</v>
          </cell>
          <cell r="D7177" t="str">
            <v>OR. 7314B TN9</v>
          </cell>
        </row>
        <row r="7178">
          <cell r="C7178">
            <v>301163</v>
          </cell>
          <cell r="D7178" t="str">
            <v>NCG. 7314B TN9</v>
          </cell>
        </row>
        <row r="7179">
          <cell r="C7179">
            <v>501163</v>
          </cell>
          <cell r="D7179" t="str">
            <v>BALL 26.800MM</v>
          </cell>
        </row>
        <row r="7180">
          <cell r="C7180">
            <v>101164</v>
          </cell>
          <cell r="D7180" t="str">
            <v>IR. 7315B TN9</v>
          </cell>
        </row>
        <row r="7181">
          <cell r="C7181">
            <v>201164</v>
          </cell>
          <cell r="D7181" t="str">
            <v>OR. 7315B TN9</v>
          </cell>
        </row>
        <row r="7182">
          <cell r="C7182">
            <v>301164</v>
          </cell>
          <cell r="D7182" t="str">
            <v>NCG. 7315B TN9</v>
          </cell>
        </row>
        <row r="7183">
          <cell r="C7183">
            <v>501164</v>
          </cell>
          <cell r="D7183" t="str">
            <v>BALL 1" 1/16"</v>
          </cell>
        </row>
        <row r="7184">
          <cell r="C7184">
            <v>101165</v>
          </cell>
          <cell r="D7184" t="str">
            <v>MCA.IR 4420</v>
          </cell>
        </row>
        <row r="7185">
          <cell r="C7185">
            <v>511405</v>
          </cell>
          <cell r="D7185" t="str">
            <v>RO 6X10 (BPM)</v>
          </cell>
        </row>
        <row r="7186">
          <cell r="C7186">
            <v>911165</v>
          </cell>
          <cell r="D7186" t="str">
            <v>MCA.SLEEVE 4420</v>
          </cell>
        </row>
        <row r="7187">
          <cell r="C7187">
            <v>201168</v>
          </cell>
          <cell r="D7187" t="str">
            <v>MSA.OR 4290</v>
          </cell>
        </row>
        <row r="7188">
          <cell r="C7188">
            <v>301169</v>
          </cell>
          <cell r="D7188" t="str">
            <v>MSA.NCG 4290</v>
          </cell>
        </row>
        <row r="7189">
          <cell r="C7189">
            <v>511993</v>
          </cell>
          <cell r="D7189" t="str">
            <v>BALL 5/16"(IS:2898-1976)</v>
          </cell>
        </row>
        <row r="7190">
          <cell r="C7190">
            <v>501170</v>
          </cell>
          <cell r="D7190" t="str">
            <v>RO 3X15.8 BR</v>
          </cell>
        </row>
        <row r="7191">
          <cell r="C7191">
            <v>201171</v>
          </cell>
          <cell r="D7191" t="str">
            <v>NKXR.OR 20-Z</v>
          </cell>
        </row>
        <row r="7192">
          <cell r="C7192">
            <v>309579</v>
          </cell>
          <cell r="D7192" t="str">
            <v>NCG 81104</v>
          </cell>
        </row>
        <row r="7193">
          <cell r="C7193">
            <v>309887.01</v>
          </cell>
          <cell r="D7193" t="str">
            <v>NK.MCG 20/20</v>
          </cell>
        </row>
        <row r="7194">
          <cell r="C7194">
            <v>511209.01</v>
          </cell>
          <cell r="D7194" t="str">
            <v>RO 2.5X16.8</v>
          </cell>
        </row>
        <row r="7195">
          <cell r="C7195">
            <v>511579</v>
          </cell>
          <cell r="D7195" t="str">
            <v>RO 4.5X4.5</v>
          </cell>
        </row>
        <row r="7196">
          <cell r="C7196">
            <v>5221208.0199999996</v>
          </cell>
          <cell r="D7196" t="str">
            <v>O Centoplex BE41 103BH</v>
          </cell>
        </row>
        <row r="7197">
          <cell r="C7197">
            <v>601171</v>
          </cell>
          <cell r="D7197" t="str">
            <v>NKXR.W 20-Z</v>
          </cell>
        </row>
        <row r="7198">
          <cell r="C7198">
            <v>701196</v>
          </cell>
          <cell r="D7198" t="str">
            <v>NKX.COVER 20</v>
          </cell>
        </row>
        <row r="7199">
          <cell r="C7199">
            <v>201172</v>
          </cell>
          <cell r="D7199" t="str">
            <v>NKXR.OR 25-Z</v>
          </cell>
        </row>
        <row r="7200">
          <cell r="C7200">
            <v>309580</v>
          </cell>
          <cell r="D7200" t="str">
            <v>NCG 81105</v>
          </cell>
        </row>
        <row r="7201">
          <cell r="C7201">
            <v>309891.01</v>
          </cell>
          <cell r="D7201" t="str">
            <v>NK.MCG 25/20</v>
          </cell>
        </row>
        <row r="7202">
          <cell r="C7202">
            <v>511209.01</v>
          </cell>
          <cell r="D7202" t="str">
            <v>RO 2.5X16.8</v>
          </cell>
        </row>
        <row r="7203">
          <cell r="C7203">
            <v>511410</v>
          </cell>
          <cell r="D7203" t="str">
            <v>RO 5X5 BPM</v>
          </cell>
        </row>
        <row r="7204">
          <cell r="C7204">
            <v>5221208.0199999996</v>
          </cell>
          <cell r="D7204" t="str">
            <v>O Centoplex BE41 103BH</v>
          </cell>
        </row>
        <row r="7205">
          <cell r="C7205">
            <v>601172</v>
          </cell>
          <cell r="D7205" t="str">
            <v>NKXR.W 25-Z</v>
          </cell>
        </row>
        <row r="7206">
          <cell r="C7206">
            <v>701200</v>
          </cell>
          <cell r="D7206" t="str">
            <v>NAX.MCOVER 2530Z</v>
          </cell>
        </row>
        <row r="7207">
          <cell r="C7207">
            <v>201173</v>
          </cell>
          <cell r="D7207" t="str">
            <v>NKXR.OR 30-Z</v>
          </cell>
        </row>
        <row r="7208">
          <cell r="C7208">
            <v>309581</v>
          </cell>
          <cell r="D7208" t="str">
            <v>NCG 81106</v>
          </cell>
        </row>
        <row r="7209">
          <cell r="C7209">
            <v>309913.01</v>
          </cell>
          <cell r="D7209" t="str">
            <v>NK.MCG 30/20</v>
          </cell>
        </row>
        <row r="7210">
          <cell r="C7210">
            <v>511410</v>
          </cell>
          <cell r="D7210" t="str">
            <v>RO 5X5 BPM</v>
          </cell>
        </row>
        <row r="7211">
          <cell r="C7211">
            <v>511819.01</v>
          </cell>
          <cell r="D7211" t="str">
            <v>RO 3X15.8</v>
          </cell>
        </row>
        <row r="7212">
          <cell r="C7212">
            <v>5221208.0199999996</v>
          </cell>
          <cell r="D7212" t="str">
            <v>O Centoplex BE41 103BH</v>
          </cell>
        </row>
        <row r="7213">
          <cell r="C7213">
            <v>601173</v>
          </cell>
          <cell r="D7213" t="str">
            <v>NKXR.W 30-Z</v>
          </cell>
        </row>
        <row r="7214">
          <cell r="C7214">
            <v>701197</v>
          </cell>
          <cell r="D7214" t="str">
            <v>NKX.COVER 30</v>
          </cell>
        </row>
        <row r="7215">
          <cell r="C7215">
            <v>201174</v>
          </cell>
          <cell r="D7215" t="str">
            <v>NKXR.OR 40-Z</v>
          </cell>
        </row>
        <row r="7216">
          <cell r="C7216">
            <v>309583</v>
          </cell>
          <cell r="D7216" t="str">
            <v>NCG 81108</v>
          </cell>
        </row>
        <row r="7217">
          <cell r="C7217">
            <v>309827.01</v>
          </cell>
          <cell r="D7217" t="str">
            <v>NKI.MCG 35/20(NK 40/20)</v>
          </cell>
        </row>
        <row r="7218">
          <cell r="C7218">
            <v>511461</v>
          </cell>
          <cell r="D7218" t="str">
            <v>RO 6X6</v>
          </cell>
        </row>
        <row r="7219">
          <cell r="C7219">
            <v>511819.01</v>
          </cell>
          <cell r="D7219" t="str">
            <v>RO 3X15.8</v>
          </cell>
        </row>
        <row r="7220">
          <cell r="C7220">
            <v>5221208.0199999996</v>
          </cell>
          <cell r="D7220" t="str">
            <v>O Centoplex BE41 103BH</v>
          </cell>
        </row>
        <row r="7221">
          <cell r="C7221">
            <v>601174</v>
          </cell>
          <cell r="D7221" t="str">
            <v>NKXR.W 40-Z</v>
          </cell>
        </row>
        <row r="7222">
          <cell r="C7222">
            <v>701199</v>
          </cell>
          <cell r="D7222" t="str">
            <v>NKX.COVER 40</v>
          </cell>
        </row>
        <row r="7223">
          <cell r="C7223">
            <v>201175</v>
          </cell>
          <cell r="D7223" t="str">
            <v>NKXR.OR 45-Z</v>
          </cell>
        </row>
        <row r="7224">
          <cell r="C7224">
            <v>309584</v>
          </cell>
          <cell r="D7224" t="str">
            <v>NCG 81109</v>
          </cell>
        </row>
        <row r="7225">
          <cell r="C7225">
            <v>309831.01</v>
          </cell>
          <cell r="D7225" t="str">
            <v>NKI.MCG 40/20(NK 45/20)</v>
          </cell>
        </row>
        <row r="7226">
          <cell r="C7226">
            <v>511461</v>
          </cell>
          <cell r="D7226" t="str">
            <v>RO 6X6</v>
          </cell>
        </row>
        <row r="7227">
          <cell r="C7227">
            <v>511819.01</v>
          </cell>
          <cell r="D7227" t="str">
            <v>RO 3X15.8</v>
          </cell>
        </row>
        <row r="7228">
          <cell r="C7228">
            <v>5221208.0199999996</v>
          </cell>
          <cell r="D7228" t="str">
            <v>O Centoplex BE41 103BH</v>
          </cell>
        </row>
        <row r="7229">
          <cell r="C7229">
            <v>601175</v>
          </cell>
          <cell r="D7229" t="str">
            <v>NKXR.W 45-Z</v>
          </cell>
        </row>
        <row r="7230">
          <cell r="C7230">
            <v>701175</v>
          </cell>
          <cell r="D7230" t="str">
            <v>NKXR.COVER 45-Z</v>
          </cell>
        </row>
        <row r="7231">
          <cell r="C7231">
            <v>301176</v>
          </cell>
          <cell r="D7231" t="str">
            <v>K.MCG 29X34X17 T</v>
          </cell>
        </row>
        <row r="7232">
          <cell r="C7232">
            <v>511130</v>
          </cell>
          <cell r="D7232" t="str">
            <v>RO 2.5X13.8</v>
          </cell>
        </row>
        <row r="7233">
          <cell r="C7233">
            <v>301177</v>
          </cell>
          <cell r="D7233" t="str">
            <v>K.MCG 20X26X17 T</v>
          </cell>
        </row>
        <row r="7234">
          <cell r="C7234">
            <v>501177</v>
          </cell>
          <cell r="D7234" t="str">
            <v>RO 3X14.8 BPER</v>
          </cell>
        </row>
        <row r="7235">
          <cell r="C7235">
            <v>301178</v>
          </cell>
          <cell r="D7235" t="str">
            <v>K.MCG 16X22X16 T</v>
          </cell>
        </row>
        <row r="7236">
          <cell r="C7236">
            <v>501178</v>
          </cell>
          <cell r="D7236" t="str">
            <v>RO 3X12.8 BPMER</v>
          </cell>
        </row>
        <row r="7237">
          <cell r="C7237">
            <v>301179</v>
          </cell>
          <cell r="D7237" t="str">
            <v>K.MCG 35X40X22 T</v>
          </cell>
        </row>
        <row r="7238">
          <cell r="C7238">
            <v>511325.01</v>
          </cell>
          <cell r="D7238" t="str">
            <v>RO 2.5X17.8</v>
          </cell>
        </row>
        <row r="7239">
          <cell r="C7239">
            <v>301180</v>
          </cell>
          <cell r="D7239" t="str">
            <v>K.MCG 72X80X20 T</v>
          </cell>
        </row>
        <row r="7240">
          <cell r="C7240">
            <v>511436</v>
          </cell>
          <cell r="D7240" t="str">
            <v>RO 4X15.8 (CRA)</v>
          </cell>
        </row>
        <row r="7241">
          <cell r="C7241">
            <v>101181</v>
          </cell>
          <cell r="D7241" t="str">
            <v>MAA.IR 8270</v>
          </cell>
        </row>
        <row r="7242">
          <cell r="C7242">
            <v>201181</v>
          </cell>
          <cell r="D7242" t="str">
            <v>MAA.OR 8270</v>
          </cell>
        </row>
        <row r="7243">
          <cell r="C7243">
            <v>301181</v>
          </cell>
          <cell r="D7243" t="str">
            <v>MAA.NCG 8270</v>
          </cell>
        </row>
        <row r="7244">
          <cell r="C7244">
            <v>511257</v>
          </cell>
          <cell r="D7244" t="str">
            <v>BALL 13/32"(IS:2898-1976)</v>
          </cell>
        </row>
        <row r="7245">
          <cell r="C7245">
            <v>601181</v>
          </cell>
          <cell r="D7245" t="str">
            <v>MAA.COVER 8270</v>
          </cell>
        </row>
        <row r="7246">
          <cell r="C7246">
            <v>601181.01</v>
          </cell>
          <cell r="D7246" t="str">
            <v>MAA.SLEEVE 8270</v>
          </cell>
        </row>
        <row r="7247">
          <cell r="C7247">
            <v>601181.02</v>
          </cell>
          <cell r="D7247" t="str">
            <v>MAA.WAVE WASHER 8270</v>
          </cell>
        </row>
        <row r="7248">
          <cell r="C7248">
            <v>701181</v>
          </cell>
          <cell r="D7248" t="str">
            <v>MAA.BOTTOM SEAL 8270</v>
          </cell>
        </row>
        <row r="7249">
          <cell r="C7249">
            <v>701181.01</v>
          </cell>
          <cell r="D7249" t="str">
            <v>MAA.TOP SEAL 8270</v>
          </cell>
        </row>
        <row r="7250">
          <cell r="C7250">
            <v>301182</v>
          </cell>
          <cell r="D7250" t="str">
            <v>K.MCG 55.562x65.120x19.05</v>
          </cell>
        </row>
        <row r="7251">
          <cell r="C7251">
            <v>501182</v>
          </cell>
          <cell r="D7251" t="str">
            <v>RO 4.779X15.8 BP</v>
          </cell>
        </row>
        <row r="7252">
          <cell r="C7252">
            <v>301183</v>
          </cell>
          <cell r="D7252" t="str">
            <v>K.MCG 55.562x65.120x25.40</v>
          </cell>
        </row>
        <row r="7253">
          <cell r="C7253">
            <v>501183</v>
          </cell>
          <cell r="D7253" t="str">
            <v>RO 4.779X22.20 BP</v>
          </cell>
        </row>
        <row r="7254">
          <cell r="C7254">
            <v>201193</v>
          </cell>
          <cell r="D7254" t="str">
            <v>NKX.OR 12</v>
          </cell>
        </row>
        <row r="7255">
          <cell r="C7255">
            <v>201193.01</v>
          </cell>
          <cell r="D7255" t="str">
            <v>NKX.WASHER 12</v>
          </cell>
        </row>
        <row r="7256">
          <cell r="C7256">
            <v>301070.01</v>
          </cell>
          <cell r="D7256" t="str">
            <v>NCG.NCG 51101</v>
          </cell>
        </row>
        <row r="7257">
          <cell r="C7257">
            <v>309807.01</v>
          </cell>
          <cell r="D7257" t="str">
            <v>NKI.MCG 9/16(NK 12/16)</v>
          </cell>
        </row>
        <row r="7258">
          <cell r="C7258">
            <v>511170</v>
          </cell>
          <cell r="D7258" t="str">
            <v>BALL 3/16" (IS:2898-1976)</v>
          </cell>
        </row>
        <row r="7259">
          <cell r="C7259">
            <v>511807.01</v>
          </cell>
          <cell r="D7259" t="str">
            <v>RO 2X12.8</v>
          </cell>
        </row>
        <row r="7260">
          <cell r="C7260">
            <v>5221208.0199999996</v>
          </cell>
          <cell r="D7260" t="str">
            <v>O Centoplex BE41 103BH</v>
          </cell>
        </row>
        <row r="7261">
          <cell r="C7261">
            <v>701193</v>
          </cell>
          <cell r="D7261" t="str">
            <v>NKX.COVER 12</v>
          </cell>
        </row>
        <row r="7262">
          <cell r="C7262">
            <v>201194</v>
          </cell>
          <cell r="D7262" t="str">
            <v>NKX.OR 15-Z-TV</v>
          </cell>
        </row>
        <row r="7263">
          <cell r="C7263">
            <v>201194.01</v>
          </cell>
          <cell r="D7263" t="str">
            <v>NKX.WASHER 15-Z-TV</v>
          </cell>
        </row>
        <row r="7264">
          <cell r="C7264">
            <v>301070.02</v>
          </cell>
          <cell r="D7264" t="str">
            <v>NCG.NCG 51102</v>
          </cell>
        </row>
        <row r="7265">
          <cell r="C7265">
            <v>309880.01</v>
          </cell>
          <cell r="D7265" t="str">
            <v>NK.MCG 15/16</v>
          </cell>
        </row>
        <row r="7266">
          <cell r="C7266">
            <v>511170</v>
          </cell>
          <cell r="D7266" t="str">
            <v>BALL 3/16" (IS:2898-1976)</v>
          </cell>
        </row>
        <row r="7267">
          <cell r="C7267">
            <v>511270.01</v>
          </cell>
          <cell r="D7267" t="str">
            <v>RO 2.5X12.8</v>
          </cell>
        </row>
        <row r="7268">
          <cell r="C7268">
            <v>5221208.0199999996</v>
          </cell>
          <cell r="D7268" t="str">
            <v>O Centoplex BE41 103BH</v>
          </cell>
        </row>
        <row r="7269">
          <cell r="C7269">
            <v>701194</v>
          </cell>
          <cell r="D7269" t="str">
            <v>NKX.COVER 15-Z-TV</v>
          </cell>
        </row>
        <row r="7270">
          <cell r="C7270">
            <v>201195</v>
          </cell>
          <cell r="D7270" t="str">
            <v>NKX.OR 17</v>
          </cell>
        </row>
        <row r="7271">
          <cell r="C7271">
            <v>201195.01</v>
          </cell>
          <cell r="D7271" t="str">
            <v>NKX.WASHER 17</v>
          </cell>
        </row>
        <row r="7272">
          <cell r="C7272">
            <v>301070.03000000003</v>
          </cell>
          <cell r="D7272" t="str">
            <v>NCG.NCG 51103</v>
          </cell>
        </row>
        <row r="7273">
          <cell r="C7273">
            <v>309882.01</v>
          </cell>
          <cell r="D7273" t="str">
            <v>NK.MCG 17/16</v>
          </cell>
        </row>
        <row r="7274">
          <cell r="C7274">
            <v>511170</v>
          </cell>
          <cell r="D7274" t="str">
            <v>BALL 3/16" (IS:2898-1976)</v>
          </cell>
        </row>
        <row r="7275">
          <cell r="C7275">
            <v>511270.01</v>
          </cell>
          <cell r="D7275" t="str">
            <v>RO 2.5X12.8</v>
          </cell>
        </row>
        <row r="7276">
          <cell r="C7276">
            <v>5221208.0199999996</v>
          </cell>
          <cell r="D7276" t="str">
            <v>O Centoplex BE41 103BH</v>
          </cell>
        </row>
        <row r="7277">
          <cell r="C7277">
            <v>701195</v>
          </cell>
          <cell r="D7277" t="str">
            <v>NKX.COVER 17</v>
          </cell>
        </row>
        <row r="7278">
          <cell r="C7278">
            <v>201196</v>
          </cell>
          <cell r="D7278" t="str">
            <v>NKX.OR 20</v>
          </cell>
        </row>
        <row r="7279">
          <cell r="C7279">
            <v>201196.01</v>
          </cell>
          <cell r="D7279" t="str">
            <v>NKX.WASHER 20</v>
          </cell>
        </row>
        <row r="7280">
          <cell r="C7280">
            <v>301070.03999999998</v>
          </cell>
          <cell r="D7280" t="str">
            <v>NCG.NCG 51104</v>
          </cell>
        </row>
        <row r="7281">
          <cell r="C7281">
            <v>309887.01</v>
          </cell>
          <cell r="D7281" t="str">
            <v>NK.MCG 20/20</v>
          </cell>
        </row>
        <row r="7282">
          <cell r="C7282">
            <v>511209.01</v>
          </cell>
          <cell r="D7282" t="str">
            <v>RO 2.5X16.8</v>
          </cell>
        </row>
        <row r="7283">
          <cell r="C7283">
            <v>511464</v>
          </cell>
          <cell r="D7283" t="str">
            <v>BALL 7/32"(IS:2898-1976)</v>
          </cell>
        </row>
        <row r="7284">
          <cell r="C7284">
            <v>5221208.0199999996</v>
          </cell>
          <cell r="D7284" t="str">
            <v>O Centoplex BE41 103BH</v>
          </cell>
        </row>
        <row r="7285">
          <cell r="C7285">
            <v>701196</v>
          </cell>
          <cell r="D7285" t="str">
            <v>NKX.COVER 20</v>
          </cell>
        </row>
        <row r="7286">
          <cell r="C7286">
            <v>201197</v>
          </cell>
          <cell r="D7286" t="str">
            <v>NKX.OR 30</v>
          </cell>
        </row>
        <row r="7287">
          <cell r="C7287">
            <v>201197.01</v>
          </cell>
          <cell r="D7287" t="str">
            <v>NKX.WASHER 30</v>
          </cell>
        </row>
        <row r="7288">
          <cell r="C7288">
            <v>301070.06</v>
          </cell>
          <cell r="D7288" t="str">
            <v>NCG.NCG 51106</v>
          </cell>
        </row>
        <row r="7289">
          <cell r="C7289">
            <v>309913.01</v>
          </cell>
          <cell r="D7289" t="str">
            <v>NK.MCG 30/20</v>
          </cell>
        </row>
        <row r="7290">
          <cell r="C7290">
            <v>511464</v>
          </cell>
          <cell r="D7290" t="str">
            <v>BALL 7/32"(IS:2898-1976)</v>
          </cell>
        </row>
        <row r="7291">
          <cell r="C7291">
            <v>511819.01</v>
          </cell>
          <cell r="D7291" t="str">
            <v>RO 3X15.8</v>
          </cell>
        </row>
        <row r="7292">
          <cell r="C7292">
            <v>5221208.0199999996</v>
          </cell>
          <cell r="D7292" t="str">
            <v>O Centoplex BE41 103BH</v>
          </cell>
        </row>
        <row r="7293">
          <cell r="C7293">
            <v>701197</v>
          </cell>
          <cell r="D7293" t="str">
            <v>NKX.COVER 30</v>
          </cell>
        </row>
        <row r="7294">
          <cell r="C7294">
            <v>201198</v>
          </cell>
          <cell r="D7294" t="str">
            <v>NKX.OR 35</v>
          </cell>
        </row>
        <row r="7295">
          <cell r="C7295">
            <v>201198.01</v>
          </cell>
          <cell r="D7295" t="str">
            <v>NKX.WASHER 35</v>
          </cell>
        </row>
        <row r="7296">
          <cell r="C7296">
            <v>301070.07</v>
          </cell>
          <cell r="D7296" t="str">
            <v>NCG.NCG 51107</v>
          </cell>
        </row>
        <row r="7297">
          <cell r="C7297">
            <v>309823.01</v>
          </cell>
          <cell r="D7297" t="str">
            <v>NKI.MCG 30/20(NK 35/20)</v>
          </cell>
        </row>
        <row r="7298">
          <cell r="C7298">
            <v>511182</v>
          </cell>
          <cell r="D7298" t="str">
            <v>BALL 1/4" (IS:2898-1976)</v>
          </cell>
        </row>
        <row r="7299">
          <cell r="C7299">
            <v>511819.01</v>
          </cell>
          <cell r="D7299" t="str">
            <v>RO 3X15.8</v>
          </cell>
        </row>
        <row r="7300">
          <cell r="C7300">
            <v>5221208.0199999996</v>
          </cell>
          <cell r="D7300" t="str">
            <v>O Centoplex BE41 103BH</v>
          </cell>
        </row>
        <row r="7301">
          <cell r="C7301">
            <v>701198</v>
          </cell>
          <cell r="D7301" t="str">
            <v>NKX.COVER 35</v>
          </cell>
        </row>
        <row r="7302">
          <cell r="C7302">
            <v>201199</v>
          </cell>
          <cell r="D7302" t="str">
            <v>NKX.OR 40</v>
          </cell>
        </row>
        <row r="7303">
          <cell r="C7303">
            <v>201199.01</v>
          </cell>
          <cell r="D7303" t="str">
            <v>NKX.WASHER 40</v>
          </cell>
        </row>
        <row r="7304">
          <cell r="C7304">
            <v>301070.08000000002</v>
          </cell>
          <cell r="D7304" t="str">
            <v>NCG.NCG 51108</v>
          </cell>
        </row>
        <row r="7305">
          <cell r="C7305">
            <v>309827.01</v>
          </cell>
          <cell r="D7305" t="str">
            <v>NKI.MCG 35/20(NK 40/20)</v>
          </cell>
        </row>
        <row r="7306">
          <cell r="C7306">
            <v>511197</v>
          </cell>
          <cell r="D7306" t="str">
            <v>BALL 9/32"</v>
          </cell>
        </row>
        <row r="7307">
          <cell r="C7307">
            <v>511819.01</v>
          </cell>
          <cell r="D7307" t="str">
            <v>RO 3X15.8</v>
          </cell>
        </row>
        <row r="7308">
          <cell r="C7308">
            <v>5221208.0199999996</v>
          </cell>
          <cell r="D7308" t="str">
            <v>O Centoplex BE41 103BH</v>
          </cell>
        </row>
        <row r="7309">
          <cell r="C7309">
            <v>701199</v>
          </cell>
          <cell r="D7309" t="str">
            <v>NKX.COVER 40</v>
          </cell>
        </row>
        <row r="7310">
          <cell r="C7310">
            <v>201200</v>
          </cell>
          <cell r="D7310" t="str">
            <v>NAX.OR 2530Z</v>
          </cell>
        </row>
        <row r="7311">
          <cell r="C7311">
            <v>201200.01</v>
          </cell>
          <cell r="D7311" t="str">
            <v>NAX.WASHER 2530Z</v>
          </cell>
        </row>
        <row r="7312">
          <cell r="C7312">
            <v>301200.01</v>
          </cell>
          <cell r="D7312" t="str">
            <v>NAX.BCG 2530Z</v>
          </cell>
        </row>
        <row r="7313">
          <cell r="C7313">
            <v>309891.01</v>
          </cell>
          <cell r="D7313" t="str">
            <v>NK.MCG 25/20</v>
          </cell>
        </row>
        <row r="7314">
          <cell r="C7314">
            <v>511182</v>
          </cell>
          <cell r="D7314" t="str">
            <v>BALL 1/4" (IS:2898-1976)</v>
          </cell>
        </row>
        <row r="7315">
          <cell r="C7315">
            <v>511209.01</v>
          </cell>
          <cell r="D7315" t="str">
            <v>RO 2.5X16.8</v>
          </cell>
        </row>
        <row r="7316">
          <cell r="C7316">
            <v>701200</v>
          </cell>
          <cell r="D7316" t="str">
            <v>NAX.MCOVER 2530Z</v>
          </cell>
        </row>
        <row r="7317">
          <cell r="C7317">
            <v>101201</v>
          </cell>
          <cell r="D7317" t="str">
            <v>T.W 51106 WITH COVER</v>
          </cell>
        </row>
        <row r="7318">
          <cell r="C7318">
            <v>201201</v>
          </cell>
          <cell r="D7318" t="str">
            <v>B.W 51106 WITH COVER</v>
          </cell>
        </row>
        <row r="7319">
          <cell r="C7319">
            <v>301201</v>
          </cell>
          <cell r="D7319" t="str">
            <v>MCG.51106 WITH COVER</v>
          </cell>
        </row>
        <row r="7320">
          <cell r="C7320">
            <v>501201</v>
          </cell>
          <cell r="D7320" t="str">
            <v>BALL6.000mm(IS:2898-1976)</v>
          </cell>
        </row>
        <row r="7321">
          <cell r="C7321">
            <v>701201</v>
          </cell>
          <cell r="D7321" t="str">
            <v>COVER.51106 WITH COVER</v>
          </cell>
        </row>
        <row r="7322">
          <cell r="C7322">
            <v>101202</v>
          </cell>
          <cell r="D7322" t="str">
            <v>IR.FIAUJ019.0</v>
          </cell>
        </row>
        <row r="7323">
          <cell r="C7323">
            <v>201202</v>
          </cell>
          <cell r="D7323" t="str">
            <v>GEAR.FIAUJ019.0</v>
          </cell>
        </row>
        <row r="7324">
          <cell r="C7324">
            <v>511212</v>
          </cell>
          <cell r="D7324" t="str">
            <v>RO 4X4</v>
          </cell>
        </row>
        <row r="7325">
          <cell r="C7325">
            <v>511410</v>
          </cell>
          <cell r="D7325" t="str">
            <v>RO 5X5 BPM</v>
          </cell>
        </row>
        <row r="7326">
          <cell r="C7326">
            <v>5221318</v>
          </cell>
          <cell r="D7326" t="str">
            <v>O ISOFLEX LDS18 SPECIAL</v>
          </cell>
        </row>
        <row r="7327">
          <cell r="C7327">
            <v>601202</v>
          </cell>
          <cell r="D7327" t="str">
            <v>RIVET.FIAUJ019.0</v>
          </cell>
        </row>
        <row r="7328">
          <cell r="C7328">
            <v>601202.1</v>
          </cell>
          <cell r="D7328" t="str">
            <v>SPRING.FIAUJ019.0</v>
          </cell>
        </row>
        <row r="7329">
          <cell r="C7329">
            <v>701202</v>
          </cell>
          <cell r="D7329" t="str">
            <v>BEARING COVER.FIAUJ019.0</v>
          </cell>
        </row>
        <row r="7330">
          <cell r="C7330">
            <v>101202</v>
          </cell>
          <cell r="D7330" t="str">
            <v>IR.FIAUJ019.0</v>
          </cell>
        </row>
        <row r="7331">
          <cell r="C7331">
            <v>201202</v>
          </cell>
          <cell r="D7331" t="str">
            <v>GEAR.FIAUJ019.0</v>
          </cell>
        </row>
        <row r="7332">
          <cell r="C7332">
            <v>511212</v>
          </cell>
          <cell r="D7332" t="str">
            <v>RO 4X4</v>
          </cell>
        </row>
        <row r="7333">
          <cell r="C7333">
            <v>511410</v>
          </cell>
          <cell r="D7333" t="str">
            <v>RO 5X5 BPM</v>
          </cell>
        </row>
        <row r="7334">
          <cell r="C7334">
            <v>5221318</v>
          </cell>
          <cell r="D7334" t="str">
            <v>O ISOFLEX LDS18 SPECIAL</v>
          </cell>
        </row>
        <row r="7335">
          <cell r="C7335">
            <v>601202</v>
          </cell>
          <cell r="D7335" t="str">
            <v>RIVET.FIAUJ019.0</v>
          </cell>
        </row>
        <row r="7336">
          <cell r="C7336">
            <v>601202.1</v>
          </cell>
          <cell r="D7336" t="str">
            <v>SPRING.FIAUJ019.0</v>
          </cell>
        </row>
        <row r="7337">
          <cell r="C7337">
            <v>701202</v>
          </cell>
          <cell r="D7337" t="str">
            <v>BEARING COVER.FIAUJ019.0</v>
          </cell>
        </row>
        <row r="7338">
          <cell r="C7338">
            <v>201203.1</v>
          </cell>
          <cell r="D7338" t="str">
            <v>N.OR 1788</v>
          </cell>
        </row>
        <row r="7339">
          <cell r="C7339">
            <v>101203.2</v>
          </cell>
          <cell r="D7339" t="str">
            <v>N.IR 1788</v>
          </cell>
        </row>
        <row r="7340">
          <cell r="C7340">
            <v>201204.1</v>
          </cell>
          <cell r="D7340" t="str">
            <v>N.OR 1766</v>
          </cell>
        </row>
        <row r="7341">
          <cell r="C7341">
            <v>101204.2</v>
          </cell>
          <cell r="D7341" t="str">
            <v>N.IR 1766</v>
          </cell>
        </row>
        <row r="7342">
          <cell r="C7342">
            <v>101205</v>
          </cell>
          <cell r="D7342" t="str">
            <v>IR.4204 BB</v>
          </cell>
        </row>
        <row r="7343">
          <cell r="C7343">
            <v>201205</v>
          </cell>
          <cell r="D7343" t="str">
            <v>OR.4204 BB</v>
          </cell>
        </row>
        <row r="7344">
          <cell r="C7344">
            <v>301104.5</v>
          </cell>
          <cell r="D7344" t="str">
            <v>NCG. 3204 2RS</v>
          </cell>
        </row>
        <row r="7345">
          <cell r="C7345">
            <v>511993</v>
          </cell>
          <cell r="D7345" t="str">
            <v>BALL 5/16"(IS:2898-1976)</v>
          </cell>
        </row>
        <row r="7346">
          <cell r="C7346">
            <v>5221247</v>
          </cell>
          <cell r="D7346" t="str">
            <v>O G SHELL GADUS S2 V100 3</v>
          </cell>
        </row>
        <row r="7347">
          <cell r="C7347">
            <v>701205</v>
          </cell>
          <cell r="D7347" t="str">
            <v>FKM SEAL.4204 BB</v>
          </cell>
        </row>
        <row r="7348">
          <cell r="C7348">
            <v>1421206</v>
          </cell>
          <cell r="D7348" t="str">
            <v>6907 ZZ MATERIAL</v>
          </cell>
        </row>
        <row r="7349">
          <cell r="C7349">
            <v>1421206.01</v>
          </cell>
          <cell r="D7349" t="str">
            <v>6907 2RS MATERIAL</v>
          </cell>
        </row>
        <row r="7350">
          <cell r="C7350">
            <v>1421207</v>
          </cell>
          <cell r="D7350" t="str">
            <v>6908 ZZ MATERIAL</v>
          </cell>
        </row>
        <row r="7351">
          <cell r="C7351">
            <v>1421207.01</v>
          </cell>
          <cell r="D7351" t="str">
            <v>6908 2RS MATERIAL</v>
          </cell>
        </row>
        <row r="7352">
          <cell r="C7352">
            <v>1421208</v>
          </cell>
          <cell r="D7352" t="str">
            <v>30209 MATERIAL</v>
          </cell>
        </row>
        <row r="7353">
          <cell r="C7353">
            <v>101209</v>
          </cell>
          <cell r="D7353" t="str">
            <v>MCT.SHAFT 4100</v>
          </cell>
        </row>
        <row r="7354">
          <cell r="C7354">
            <v>201209</v>
          </cell>
          <cell r="D7354" t="str">
            <v>MCT.OR 4100</v>
          </cell>
        </row>
        <row r="7355">
          <cell r="C7355">
            <v>501209</v>
          </cell>
          <cell r="D7355" t="str">
            <v>RO 8X35.7 BR</v>
          </cell>
        </row>
        <row r="7356">
          <cell r="C7356">
            <v>101210</v>
          </cell>
          <cell r="D7356" t="str">
            <v>IR.6312 TN9</v>
          </cell>
        </row>
        <row r="7357">
          <cell r="C7357">
            <v>201210</v>
          </cell>
          <cell r="D7357" t="str">
            <v>OR.6312 TN9</v>
          </cell>
        </row>
        <row r="7358">
          <cell r="C7358">
            <v>301210</v>
          </cell>
          <cell r="D7358" t="str">
            <v>NCG.6312 TN9</v>
          </cell>
        </row>
        <row r="7359">
          <cell r="C7359">
            <v>501210</v>
          </cell>
          <cell r="D7359" t="str">
            <v>BALL 7/8" (IS:2898-1976)</v>
          </cell>
        </row>
        <row r="7360">
          <cell r="C7360">
            <v>101211</v>
          </cell>
          <cell r="D7360" t="str">
            <v>NU.IR 312 ECP</v>
          </cell>
        </row>
        <row r="7361">
          <cell r="C7361">
            <v>201211</v>
          </cell>
          <cell r="D7361" t="str">
            <v>NU.OR 312 ECP</v>
          </cell>
        </row>
        <row r="7362">
          <cell r="C7362">
            <v>301211</v>
          </cell>
          <cell r="D7362" t="str">
            <v>NU.NCG 312 ECP</v>
          </cell>
        </row>
        <row r="7363">
          <cell r="C7363">
            <v>501211</v>
          </cell>
          <cell r="D7363" t="str">
            <v>RO 19X20 BPM</v>
          </cell>
        </row>
        <row r="7364">
          <cell r="C7364">
            <v>101212</v>
          </cell>
          <cell r="D7364" t="str">
            <v>NU.IR 2206 ECP</v>
          </cell>
        </row>
        <row r="7365">
          <cell r="C7365">
            <v>201212</v>
          </cell>
          <cell r="D7365" t="str">
            <v>NU.OR 2206 ECP</v>
          </cell>
        </row>
        <row r="7366">
          <cell r="C7366">
            <v>301212</v>
          </cell>
          <cell r="D7366" t="str">
            <v>NU.NCG 2206 ECP</v>
          </cell>
        </row>
        <row r="7367">
          <cell r="C7367">
            <v>511615.06</v>
          </cell>
          <cell r="D7367" t="str">
            <v>RO 9X10 BPM</v>
          </cell>
        </row>
        <row r="7368">
          <cell r="C7368">
            <v>101213</v>
          </cell>
          <cell r="D7368" t="str">
            <v>IR.6202 TN9</v>
          </cell>
        </row>
        <row r="7369">
          <cell r="C7369">
            <v>201213</v>
          </cell>
          <cell r="D7369" t="str">
            <v>OR.6202 TN9</v>
          </cell>
        </row>
        <row r="7370">
          <cell r="C7370">
            <v>301213</v>
          </cell>
          <cell r="D7370" t="str">
            <v>NCG.6202 TN9</v>
          </cell>
        </row>
        <row r="7371">
          <cell r="C7371">
            <v>511190</v>
          </cell>
          <cell r="D7371" t="str">
            <v>BALL 15/64"(IS:2898-1976</v>
          </cell>
        </row>
        <row r="7372">
          <cell r="C7372">
            <v>101214</v>
          </cell>
          <cell r="D7372" t="str">
            <v>IR.6203 TN9</v>
          </cell>
        </row>
        <row r="7373">
          <cell r="C7373">
            <v>201214</v>
          </cell>
          <cell r="D7373" t="str">
            <v>OR.6203 TN9</v>
          </cell>
        </row>
        <row r="7374">
          <cell r="C7374">
            <v>301103.5</v>
          </cell>
          <cell r="D7374" t="str">
            <v>NCG. 3203 2RS</v>
          </cell>
        </row>
        <row r="7375">
          <cell r="C7375">
            <v>501103.5</v>
          </cell>
          <cell r="D7375" t="str">
            <v>BALL 17/64"(IS:2898-1976)</v>
          </cell>
        </row>
        <row r="7376">
          <cell r="C7376">
            <v>302001</v>
          </cell>
          <cell r="D7376" t="str">
            <v>CAGE.CAGE 42X46X51.4</v>
          </cell>
        </row>
        <row r="7377">
          <cell r="C7377">
            <v>502001</v>
          </cell>
          <cell r="D7377" t="str">
            <v>RO 2X19.8 BP</v>
          </cell>
        </row>
        <row r="7378">
          <cell r="C7378">
            <v>913092</v>
          </cell>
          <cell r="D7378" t="str">
            <v>BOX SPIRE 48X155</v>
          </cell>
        </row>
        <row r="7379">
          <cell r="C7379">
            <v>913093</v>
          </cell>
          <cell r="D7379" t="str">
            <v>TUBE SPIRE 41X155</v>
          </cell>
        </row>
        <row r="7380">
          <cell r="C7380">
            <v>502001.1</v>
          </cell>
          <cell r="D7380" t="str">
            <v>RO 5X25</v>
          </cell>
        </row>
        <row r="7381">
          <cell r="C7381">
            <v>511283.01</v>
          </cell>
          <cell r="D7381" t="str">
            <v>RO 4X25.4 BR</v>
          </cell>
        </row>
        <row r="7382">
          <cell r="C7382">
            <v>511283.01</v>
          </cell>
          <cell r="D7382" t="str">
            <v>RO 4X25.4 BR</v>
          </cell>
        </row>
        <row r="7383">
          <cell r="C7383">
            <v>302001.3</v>
          </cell>
          <cell r="D7383" t="str">
            <v>CAGE.CAGE 283616</v>
          </cell>
        </row>
        <row r="7384">
          <cell r="C7384">
            <v>511304.01</v>
          </cell>
          <cell r="D7384" t="str">
            <v>RO 4X12.8</v>
          </cell>
        </row>
        <row r="7385">
          <cell r="C7385">
            <v>302001.34999999998</v>
          </cell>
          <cell r="D7385" t="str">
            <v>CAGE.MCG 283617</v>
          </cell>
        </row>
        <row r="7386">
          <cell r="C7386">
            <v>511304.01</v>
          </cell>
          <cell r="D7386" t="str">
            <v>RO 4X12.8</v>
          </cell>
        </row>
        <row r="7387">
          <cell r="C7387">
            <v>302001.40000000002</v>
          </cell>
          <cell r="D7387" t="str">
            <v>CAGE.CAGE 263314</v>
          </cell>
        </row>
        <row r="7388">
          <cell r="C7388">
            <v>511989</v>
          </cell>
          <cell r="D7388" t="str">
            <v>RO 3.5X10.8</v>
          </cell>
        </row>
        <row r="7389">
          <cell r="C7389">
            <v>202002</v>
          </cell>
          <cell r="D7389" t="str">
            <v>OR.OR 25X48X24.1</v>
          </cell>
        </row>
        <row r="7390">
          <cell r="C7390">
            <v>202002.01</v>
          </cell>
          <cell r="D7390" t="str">
            <v>OR.OR 30.35/30.4X48X24.1</v>
          </cell>
        </row>
        <row r="7391">
          <cell r="C7391">
            <v>202002.01</v>
          </cell>
          <cell r="D7391" t="str">
            <v>OR.OR 30.35/30.4X48X24.1</v>
          </cell>
        </row>
        <row r="7392">
          <cell r="C7392">
            <v>202002.03</v>
          </cell>
          <cell r="D7392" t="str">
            <v>OR.OR 30.35/30.4X48X24.1</v>
          </cell>
        </row>
        <row r="7393">
          <cell r="C7393">
            <v>202002.03</v>
          </cell>
          <cell r="D7393" t="str">
            <v>OR.OR 30.35/30.4X48X24.1</v>
          </cell>
        </row>
        <row r="7394">
          <cell r="C7394">
            <v>202002.05</v>
          </cell>
          <cell r="D7394" t="str">
            <v>R.OR 30.35/30.4X48X24.1</v>
          </cell>
        </row>
        <row r="7395">
          <cell r="C7395">
            <v>302003</v>
          </cell>
          <cell r="D7395" t="str">
            <v>CAGE.CAGE (162116)</v>
          </cell>
        </row>
        <row r="7396">
          <cell r="C7396">
            <v>502003</v>
          </cell>
          <cell r="D7396" t="str">
            <v>RO 3.96X22.2 BP</v>
          </cell>
        </row>
        <row r="7397">
          <cell r="C7397">
            <v>302004</v>
          </cell>
          <cell r="D7397" t="str">
            <v>CAGE.CAGE 45X53X28</v>
          </cell>
        </row>
        <row r="7398">
          <cell r="C7398">
            <v>502004</v>
          </cell>
          <cell r="D7398" t="str">
            <v>RO 4X24.8 BP</v>
          </cell>
        </row>
        <row r="7399">
          <cell r="C7399">
            <v>913086</v>
          </cell>
          <cell r="D7399" t="str">
            <v>BOX SPIRE 55X115</v>
          </cell>
        </row>
        <row r="7400">
          <cell r="C7400">
            <v>913087</v>
          </cell>
          <cell r="D7400" t="str">
            <v>TUBE SPIRE 44X115</v>
          </cell>
        </row>
        <row r="7401">
          <cell r="C7401">
            <v>302005</v>
          </cell>
          <cell r="D7401" t="str">
            <v>CAGE.CAGE 25X31X17</v>
          </cell>
        </row>
        <row r="7402">
          <cell r="C7402">
            <v>502005</v>
          </cell>
          <cell r="D7402" t="str">
            <v>RO 3X12.8 BP</v>
          </cell>
        </row>
        <row r="7403">
          <cell r="C7403">
            <v>302006</v>
          </cell>
          <cell r="D7403" t="str">
            <v>CAGE.CAGE 18X24X12</v>
          </cell>
        </row>
        <row r="7404">
          <cell r="C7404">
            <v>511423</v>
          </cell>
          <cell r="D7404" t="str">
            <v>RO 3X8.8</v>
          </cell>
        </row>
        <row r="7405">
          <cell r="C7405">
            <v>302007</v>
          </cell>
          <cell r="D7405" t="str">
            <v>CAGE.CAGE 25X30X20</v>
          </cell>
        </row>
        <row r="7406">
          <cell r="C7406">
            <v>511325.01</v>
          </cell>
          <cell r="D7406" t="str">
            <v>RO 2.5X17.8</v>
          </cell>
        </row>
        <row r="7407">
          <cell r="C7407">
            <v>913088.1</v>
          </cell>
          <cell r="D7407" t="str">
            <v>BOX SPIRE 33X100</v>
          </cell>
        </row>
        <row r="7408">
          <cell r="C7408">
            <v>913089</v>
          </cell>
          <cell r="D7408" t="str">
            <v>TUBE SPIRE 24X100</v>
          </cell>
        </row>
        <row r="7409">
          <cell r="C7409">
            <v>302008</v>
          </cell>
          <cell r="D7409" t="str">
            <v>CAGE.CAGE 40X45X27</v>
          </cell>
        </row>
        <row r="7410">
          <cell r="C7410">
            <v>502008</v>
          </cell>
          <cell r="D7410" t="str">
            <v>RO 2.5X22.8 BP</v>
          </cell>
        </row>
        <row r="7411">
          <cell r="C7411">
            <v>913090</v>
          </cell>
          <cell r="D7411" t="str">
            <v>BOX SPIRE 47X135</v>
          </cell>
        </row>
        <row r="7412">
          <cell r="C7412">
            <v>913091</v>
          </cell>
          <cell r="D7412" t="str">
            <v>TUBE SPIRE 39X135</v>
          </cell>
        </row>
        <row r="7413">
          <cell r="C7413">
            <v>302008</v>
          </cell>
          <cell r="D7413" t="str">
            <v>CAGE.CAGE 40X45X27</v>
          </cell>
        </row>
        <row r="7414">
          <cell r="C7414">
            <v>502008</v>
          </cell>
          <cell r="D7414" t="str">
            <v>RO 2.5X22.8 BP</v>
          </cell>
        </row>
        <row r="7415">
          <cell r="C7415">
            <v>511994</v>
          </cell>
          <cell r="D7415" t="str">
            <v>RO 3X21.8</v>
          </cell>
        </row>
        <row r="7416">
          <cell r="C7416">
            <v>511995</v>
          </cell>
          <cell r="D7416" t="str">
            <v>RO 3X13.8  BR</v>
          </cell>
        </row>
        <row r="7417">
          <cell r="C7417">
            <v>502010.01</v>
          </cell>
          <cell r="D7417" t="str">
            <v>RO 4.5X39.8 BP</v>
          </cell>
        </row>
        <row r="7418">
          <cell r="C7418">
            <v>302010.02</v>
          </cell>
          <cell r="D7418" t="str">
            <v>CAGE.CAGE 25X33X23.8</v>
          </cell>
        </row>
        <row r="7419">
          <cell r="C7419">
            <v>502010.02</v>
          </cell>
          <cell r="D7419" t="str">
            <v>RO 4X21.3</v>
          </cell>
        </row>
        <row r="7420">
          <cell r="C7420">
            <v>913094</v>
          </cell>
          <cell r="D7420" t="str">
            <v>BOX SPIRE 35X120</v>
          </cell>
        </row>
        <row r="7421">
          <cell r="C7421">
            <v>913095</v>
          </cell>
          <cell r="D7421" t="str">
            <v>TUBE SPIRE 24X120</v>
          </cell>
        </row>
        <row r="7422">
          <cell r="C7422">
            <v>302010.03000000003</v>
          </cell>
          <cell r="D7422" t="str">
            <v>CAGE.CAGE 56X61X35</v>
          </cell>
        </row>
        <row r="7423">
          <cell r="C7423">
            <v>511270.01</v>
          </cell>
          <cell r="D7423" t="str">
            <v>RO 2.5X12.8</v>
          </cell>
        </row>
        <row r="7424">
          <cell r="C7424">
            <v>302010.03999999998</v>
          </cell>
          <cell r="D7424" t="str">
            <v>CAGE.CAGE 60X68X25</v>
          </cell>
        </row>
        <row r="7425">
          <cell r="C7425">
            <v>502010.04</v>
          </cell>
          <cell r="D7425" t="str">
            <v>RO 4X20.8</v>
          </cell>
        </row>
        <row r="7426">
          <cell r="C7426">
            <v>913096</v>
          </cell>
          <cell r="D7426" t="str">
            <v>BOX SPIRE 69X100</v>
          </cell>
        </row>
        <row r="7427">
          <cell r="C7427">
            <v>913097</v>
          </cell>
          <cell r="D7427" t="str">
            <v>TUBE SPIRE 59X100</v>
          </cell>
        </row>
        <row r="7428">
          <cell r="C7428">
            <v>502010.05</v>
          </cell>
          <cell r="D7428" t="str">
            <v>RO 7.925X25.4 BPM</v>
          </cell>
        </row>
        <row r="7429">
          <cell r="C7429">
            <v>502010.06</v>
          </cell>
          <cell r="D7429" t="str">
            <v>RO 4X16.9 BR</v>
          </cell>
        </row>
        <row r="7430">
          <cell r="C7430">
            <v>502010.07</v>
          </cell>
          <cell r="D7430" t="str">
            <v>RO 5X26</v>
          </cell>
        </row>
        <row r="7431">
          <cell r="C7431">
            <v>502010.08</v>
          </cell>
          <cell r="D7431" t="str">
            <v>RO 5.558X17.3</v>
          </cell>
        </row>
        <row r="7432">
          <cell r="C7432">
            <v>502010.09</v>
          </cell>
        </row>
        <row r="7433">
          <cell r="C7433">
            <v>302011</v>
          </cell>
          <cell r="D7433" t="str">
            <v>MCG 25X31X33.6</v>
          </cell>
        </row>
        <row r="7434">
          <cell r="C7434">
            <v>511995</v>
          </cell>
          <cell r="D7434" t="str">
            <v>RO 3X13.8  BR</v>
          </cell>
        </row>
        <row r="7435">
          <cell r="C7435">
            <v>913088</v>
          </cell>
          <cell r="D7435" t="str">
            <v>BOX SPIRE 35X100</v>
          </cell>
        </row>
        <row r="7436">
          <cell r="C7436">
            <v>913089</v>
          </cell>
          <cell r="D7436" t="str">
            <v>TUBE SPIRE 24X100</v>
          </cell>
        </row>
        <row r="7437">
          <cell r="C7437">
            <v>302011.09999999998</v>
          </cell>
          <cell r="D7437" t="str">
            <v>MCG.MCG 75X83X22.8</v>
          </cell>
        </row>
        <row r="7438">
          <cell r="C7438">
            <v>511236.01</v>
          </cell>
          <cell r="D7438" t="str">
            <v>RO 4X17.8</v>
          </cell>
        </row>
        <row r="7439">
          <cell r="C7439">
            <v>302011.2</v>
          </cell>
          <cell r="D7439" t="str">
            <v>MCG.MCG 75X83X34.6</v>
          </cell>
        </row>
        <row r="7440">
          <cell r="C7440">
            <v>511304.01</v>
          </cell>
          <cell r="D7440" t="str">
            <v>RO 4X12.8</v>
          </cell>
        </row>
        <row r="7441">
          <cell r="C7441">
            <v>302011.3</v>
          </cell>
          <cell r="D7441" t="str">
            <v>MCG.MCG 75X83X39.6</v>
          </cell>
        </row>
        <row r="7442">
          <cell r="C7442">
            <v>511436</v>
          </cell>
          <cell r="D7442" t="str">
            <v>RO 4X15.8 (CRA)</v>
          </cell>
        </row>
        <row r="7443">
          <cell r="C7443">
            <v>302011.40000000002</v>
          </cell>
          <cell r="D7443" t="str">
            <v>MCG.MCG 96X104X54.6</v>
          </cell>
        </row>
        <row r="7444">
          <cell r="C7444">
            <v>502011.4</v>
          </cell>
          <cell r="D7444" t="str">
            <v>RO 4X21.8 BP</v>
          </cell>
        </row>
        <row r="7445">
          <cell r="C7445">
            <v>302011.5</v>
          </cell>
          <cell r="D7445" t="str">
            <v>MCG.MCG 90X98X41</v>
          </cell>
        </row>
        <row r="7446">
          <cell r="C7446">
            <v>502011.5</v>
          </cell>
          <cell r="D7446" t="str">
            <v>RO 4X31.8 BP</v>
          </cell>
        </row>
        <row r="7447">
          <cell r="C7447">
            <v>302011.59999999998</v>
          </cell>
          <cell r="D7447" t="str">
            <v>CAGE.KT 172220</v>
          </cell>
        </row>
        <row r="7448">
          <cell r="C7448">
            <v>302011.7</v>
          </cell>
          <cell r="D7448" t="str">
            <v>MCG.MCG 42X47X17</v>
          </cell>
        </row>
        <row r="7449">
          <cell r="C7449">
            <v>511130</v>
          </cell>
          <cell r="D7449" t="str">
            <v>RO 2.5X13.8</v>
          </cell>
        </row>
        <row r="7450">
          <cell r="C7450">
            <v>302011.8</v>
          </cell>
          <cell r="D7450" t="str">
            <v>MC.MCG 45X57X20.8</v>
          </cell>
        </row>
        <row r="7451">
          <cell r="C7451">
            <v>502011.8</v>
          </cell>
          <cell r="D7451" t="str">
            <v>RO 6X16.8 BPER</v>
          </cell>
        </row>
        <row r="7452">
          <cell r="C7452">
            <v>302012</v>
          </cell>
          <cell r="D7452" t="str">
            <v>MCG.32X38X26</v>
          </cell>
        </row>
        <row r="7453">
          <cell r="C7453">
            <v>502012</v>
          </cell>
          <cell r="D7453" t="str">
            <v>RO 3X22.8</v>
          </cell>
        </row>
        <row r="7454">
          <cell r="C7454">
            <v>302013</v>
          </cell>
          <cell r="D7454" t="str">
            <v>MCG.18X24X17</v>
          </cell>
        </row>
        <row r="7455">
          <cell r="C7455">
            <v>511995</v>
          </cell>
          <cell r="D7455" t="str">
            <v>RO 3X13.8  BR</v>
          </cell>
        </row>
        <row r="7456">
          <cell r="C7456">
            <v>302014</v>
          </cell>
          <cell r="D7456" t="str">
            <v>MCG.20X28X25</v>
          </cell>
        </row>
        <row r="7457">
          <cell r="C7457">
            <v>502010.02</v>
          </cell>
          <cell r="D7457" t="str">
            <v>RO 4X21.3</v>
          </cell>
        </row>
        <row r="7458">
          <cell r="C7458">
            <v>302015</v>
          </cell>
          <cell r="D7458" t="str">
            <v>CAGE.CAGE 22X30X20 BRASS</v>
          </cell>
        </row>
        <row r="7459">
          <cell r="C7459">
            <v>302015</v>
          </cell>
          <cell r="D7459" t="str">
            <v>CAGE.CAGE 22X30X20 BRASS</v>
          </cell>
        </row>
        <row r="7460">
          <cell r="C7460">
            <v>511436</v>
          </cell>
          <cell r="D7460" t="str">
            <v>RO 4X15.8 (CRA)</v>
          </cell>
        </row>
        <row r="7461">
          <cell r="C7461">
            <v>511436</v>
          </cell>
          <cell r="D7461" t="str">
            <v>RO 4X15.8 (CRA)</v>
          </cell>
        </row>
        <row r="7462">
          <cell r="C7462">
            <v>302015.09999999998</v>
          </cell>
          <cell r="D7462" t="str">
            <v>MCG.CAGE 26X40X26</v>
          </cell>
        </row>
        <row r="7463">
          <cell r="C7463">
            <v>502015.1</v>
          </cell>
          <cell r="D7463" t="str">
            <v>RO 7X21 BP</v>
          </cell>
        </row>
        <row r="7464">
          <cell r="C7464">
            <v>302015.2</v>
          </cell>
          <cell r="D7464" t="str">
            <v>MCG.CAGE 25X33X20</v>
          </cell>
        </row>
        <row r="7465">
          <cell r="C7465">
            <v>511307.01</v>
          </cell>
          <cell r="D7465" t="str">
            <v>RO 4X15.8</v>
          </cell>
        </row>
        <row r="7466">
          <cell r="C7466">
            <v>102017.1</v>
          </cell>
          <cell r="D7466" t="str">
            <v>IR.PIR7316C</v>
          </cell>
        </row>
        <row r="7467">
          <cell r="C7467">
            <v>202017.2</v>
          </cell>
          <cell r="D7467" t="str">
            <v>OR.POR8614R</v>
          </cell>
        </row>
        <row r="7468">
          <cell r="C7468">
            <v>302019</v>
          </cell>
          <cell r="D7468" t="str">
            <v>MCG.MCG 60x68x38.6</v>
          </cell>
        </row>
        <row r="7469">
          <cell r="C7469">
            <v>502019</v>
          </cell>
          <cell r="D7469" t="str">
            <v>RO 4X29.8 BP</v>
          </cell>
        </row>
        <row r="7470">
          <cell r="C7470">
            <v>302020</v>
          </cell>
          <cell r="D7470" t="str">
            <v>MCG.MCG 92x100x52.8 ZW</v>
          </cell>
        </row>
        <row r="7471">
          <cell r="C7471">
            <v>502011.4</v>
          </cell>
          <cell r="D7471" t="str">
            <v>RO 4X21.8 BP</v>
          </cell>
        </row>
        <row r="7472">
          <cell r="C7472">
            <v>302021</v>
          </cell>
          <cell r="D7472" t="str">
            <v>MCG.MCG 40x60x25.8</v>
          </cell>
        </row>
        <row r="7473">
          <cell r="C7473">
            <v>511441</v>
          </cell>
          <cell r="D7473" t="str">
            <v>RO 10X20</v>
          </cell>
        </row>
        <row r="7474">
          <cell r="C7474">
            <v>302022</v>
          </cell>
          <cell r="D7474" t="str">
            <v>MCG.MCG 77x101x29</v>
          </cell>
        </row>
        <row r="7475">
          <cell r="C7475">
            <v>511606.1</v>
          </cell>
          <cell r="D7475" t="str">
            <v>RO 12X20</v>
          </cell>
        </row>
        <row r="7476">
          <cell r="C7476">
            <v>502023</v>
          </cell>
          <cell r="D7476" t="str">
            <v>RO 5X15.3 BP ER</v>
          </cell>
        </row>
        <row r="7477">
          <cell r="C7477">
            <v>302024</v>
          </cell>
          <cell r="D7477" t="str">
            <v>MCG.MCG 103.3x128.4x10</v>
          </cell>
        </row>
        <row r="7478">
          <cell r="C7478">
            <v>502024</v>
          </cell>
          <cell r="D7478" t="str">
            <v>RO 3X6.8 BP</v>
          </cell>
        </row>
        <row r="7479">
          <cell r="C7479">
            <v>702024</v>
          </cell>
          <cell r="D7479" t="str">
            <v>A.W 103.3x128.4x10</v>
          </cell>
        </row>
        <row r="7480">
          <cell r="C7480">
            <v>702024.01</v>
          </cell>
          <cell r="D7480" t="str">
            <v>CUP SPRING 103.3x128.4x10</v>
          </cell>
        </row>
        <row r="7481">
          <cell r="C7481">
            <v>702024.02</v>
          </cell>
          <cell r="D7481" t="str">
            <v>CUP 103.3x128.4x10</v>
          </cell>
        </row>
        <row r="7482">
          <cell r="C7482">
            <v>1422025</v>
          </cell>
          <cell r="D7482" t="str">
            <v>Detent Stop Pin 20x28.1 M</v>
          </cell>
        </row>
        <row r="7483">
          <cell r="C7483">
            <v>501149</v>
          </cell>
          <cell r="D7483" t="str">
            <v>BALL 12 MM (IS:2898-1976)</v>
          </cell>
        </row>
        <row r="7484">
          <cell r="C7484">
            <v>502025</v>
          </cell>
          <cell r="D7484" t="str">
            <v>Ball ø2.0 mm G40</v>
          </cell>
        </row>
        <row r="7485">
          <cell r="C7485">
            <v>1422026</v>
          </cell>
          <cell r="D7485" t="str">
            <v>Detent Bearing 42x36 M</v>
          </cell>
        </row>
        <row r="7486">
          <cell r="C7486">
            <v>501149</v>
          </cell>
          <cell r="D7486" t="str">
            <v>BALL 12 MM (IS:2898-1976)</v>
          </cell>
        </row>
        <row r="7487">
          <cell r="C7487">
            <v>502025</v>
          </cell>
          <cell r="D7487" t="str">
            <v>Ball ø2.0 mm G40</v>
          </cell>
        </row>
        <row r="7488">
          <cell r="C7488">
            <v>1422027</v>
          </cell>
          <cell r="D7488" t="str">
            <v>Detent Ball Roller 17x31M</v>
          </cell>
        </row>
        <row r="7489">
          <cell r="C7489">
            <v>502027</v>
          </cell>
          <cell r="D7489" t="str">
            <v>BALL 1.5MM G40</v>
          </cell>
        </row>
        <row r="7490">
          <cell r="C7490">
            <v>511181</v>
          </cell>
          <cell r="D7490" t="str">
            <v>BALL 15/32"(IS:2898-1976)</v>
          </cell>
        </row>
        <row r="7491">
          <cell r="C7491">
            <v>302028</v>
          </cell>
          <cell r="D7491" t="str">
            <v>K.MCG 15X19X17</v>
          </cell>
        </row>
        <row r="7492">
          <cell r="C7492">
            <v>511404</v>
          </cell>
          <cell r="D7492" t="str">
            <v>RO 2X13.8</v>
          </cell>
        </row>
        <row r="7493">
          <cell r="C7493">
            <v>102030</v>
          </cell>
          <cell r="D7493" t="str">
            <v>PIN.IR 5.0X49.80</v>
          </cell>
        </row>
        <row r="7494">
          <cell r="C7494">
            <v>102031</v>
          </cell>
          <cell r="D7494" t="str">
            <v>PIN.IR 10.0X25.9</v>
          </cell>
        </row>
        <row r="7495">
          <cell r="C7495">
            <v>102032</v>
          </cell>
          <cell r="D7495" t="str">
            <v>PIN.IR 6.322X37.084</v>
          </cell>
        </row>
        <row r="7496">
          <cell r="C7496">
            <v>102033</v>
          </cell>
          <cell r="D7496" t="str">
            <v>PIN.IR 6.0X41.00</v>
          </cell>
        </row>
        <row r="7497">
          <cell r="C7497">
            <v>202034</v>
          </cell>
          <cell r="D7497" t="str">
            <v>F.CUP 120289</v>
          </cell>
        </row>
        <row r="7498">
          <cell r="C7498">
            <v>302034</v>
          </cell>
          <cell r="D7498" t="str">
            <v>F.NCG 120289</v>
          </cell>
        </row>
        <row r="7499">
          <cell r="C7499">
            <v>502034</v>
          </cell>
          <cell r="D7499" t="str">
            <v>RO 2.2X8.8 BP</v>
          </cell>
        </row>
        <row r="7500">
          <cell r="C7500">
            <v>202035</v>
          </cell>
          <cell r="D7500" t="str">
            <v>DB.CUP 600-240</v>
          </cell>
        </row>
        <row r="7501">
          <cell r="C7501">
            <v>302035</v>
          </cell>
          <cell r="D7501" t="str">
            <v>DB.NCG 600-240</v>
          </cell>
        </row>
        <row r="7502">
          <cell r="C7502">
            <v>511212</v>
          </cell>
          <cell r="D7502" t="str">
            <v>RO 4X4</v>
          </cell>
        </row>
        <row r="7503">
          <cell r="C7503">
            <v>102036</v>
          </cell>
          <cell r="D7503" t="str">
            <v>IR.ROLLER 12X20X18</v>
          </cell>
        </row>
        <row r="7504">
          <cell r="C7504">
            <v>102037</v>
          </cell>
          <cell r="D7504" t="str">
            <v>IR.35BD5020DUM26</v>
          </cell>
        </row>
        <row r="7505">
          <cell r="C7505">
            <v>202037</v>
          </cell>
          <cell r="D7505" t="str">
            <v>OR.35BD5020DUM26</v>
          </cell>
        </row>
        <row r="7506">
          <cell r="C7506">
            <v>302037</v>
          </cell>
          <cell r="D7506" t="str">
            <v>NCG.35B5020DUK.46</v>
          </cell>
        </row>
        <row r="7507">
          <cell r="C7507">
            <v>511170</v>
          </cell>
          <cell r="D7507" t="str">
            <v>BALL 3/16" (IS:2898-1976)</v>
          </cell>
        </row>
        <row r="7508">
          <cell r="C7508">
            <v>702037</v>
          </cell>
          <cell r="D7508" t="str">
            <v>SEAL.35BD5020DUM26</v>
          </cell>
        </row>
        <row r="7509">
          <cell r="C7509">
            <v>102039</v>
          </cell>
          <cell r="D7509" t="str">
            <v>IR.BZ159.0 (G)</v>
          </cell>
        </row>
        <row r="7510">
          <cell r="C7510">
            <v>202039</v>
          </cell>
          <cell r="D7510" t="str">
            <v>OR.BZ159.0 (G)</v>
          </cell>
        </row>
        <row r="7511">
          <cell r="C7511">
            <v>302039</v>
          </cell>
          <cell r="D7511" t="str">
            <v>NCG.35BD5520DUK.46</v>
          </cell>
        </row>
        <row r="7512">
          <cell r="C7512">
            <v>511190</v>
          </cell>
          <cell r="D7512" t="str">
            <v>BALL 15/64"(IS:2898-1976</v>
          </cell>
        </row>
        <row r="7513">
          <cell r="C7513">
            <v>702039</v>
          </cell>
          <cell r="D7513" t="str">
            <v>SEAL.BZ159.0</v>
          </cell>
        </row>
        <row r="7514">
          <cell r="C7514">
            <v>102040</v>
          </cell>
          <cell r="D7514" t="str">
            <v>IR.BZ158.0 (G)</v>
          </cell>
        </row>
        <row r="7515">
          <cell r="C7515">
            <v>202040</v>
          </cell>
          <cell r="D7515" t="str">
            <v>OR.BZ158.0 (G)</v>
          </cell>
        </row>
        <row r="7516">
          <cell r="C7516">
            <v>302040</v>
          </cell>
          <cell r="D7516" t="str">
            <v>NCG.35BD5220DUK.46</v>
          </cell>
        </row>
        <row r="7517">
          <cell r="C7517">
            <v>511464</v>
          </cell>
          <cell r="D7517" t="str">
            <v>BALL 7/32"(IS:2898-1976)</v>
          </cell>
        </row>
        <row r="7518">
          <cell r="C7518">
            <v>702040</v>
          </cell>
          <cell r="D7518" t="str">
            <v>SEAL.BZ158.0</v>
          </cell>
        </row>
        <row r="7519">
          <cell r="C7519">
            <v>302041</v>
          </cell>
          <cell r="D7519" t="str">
            <v>K.MCG 15X21X15</v>
          </cell>
        </row>
        <row r="7520">
          <cell r="C7520">
            <v>502037</v>
          </cell>
          <cell r="D7520" t="str">
            <v>RO 3X10.8</v>
          </cell>
        </row>
        <row r="7521">
          <cell r="C7521">
            <v>1422042</v>
          </cell>
          <cell r="D7521" t="str">
            <v>TRA. WASHER 1625</v>
          </cell>
        </row>
        <row r="7522">
          <cell r="C7522">
            <v>102043</v>
          </cell>
          <cell r="D7522" t="str">
            <v>BL.IR 07524-12 W/S</v>
          </cell>
        </row>
        <row r="7523">
          <cell r="C7523">
            <v>202043</v>
          </cell>
          <cell r="D7523" t="str">
            <v>BL.OR 07524-12 W/S</v>
          </cell>
        </row>
        <row r="7524">
          <cell r="C7524">
            <v>502043</v>
          </cell>
          <cell r="D7524" t="str">
            <v>BALL 6.5MM S.S 304</v>
          </cell>
        </row>
        <row r="7525">
          <cell r="C7525">
            <v>602043</v>
          </cell>
          <cell r="D7525" t="str">
            <v>PRE-LOAD SPRING</v>
          </cell>
        </row>
        <row r="7526">
          <cell r="C7526">
            <v>602043.01</v>
          </cell>
          <cell r="D7526" t="str">
            <v>M2X3 (PAN CROSS HEAD)</v>
          </cell>
        </row>
        <row r="7527">
          <cell r="C7527">
            <v>702043</v>
          </cell>
          <cell r="D7527" t="str">
            <v>SPIRAL RETAINING RING</v>
          </cell>
        </row>
        <row r="7528">
          <cell r="C7528">
            <v>102044.01</v>
          </cell>
          <cell r="D7528" t="str">
            <v>NKIS.IR 60</v>
          </cell>
        </row>
        <row r="7529">
          <cell r="C7529">
            <v>202044.01</v>
          </cell>
          <cell r="D7529" t="str">
            <v>NKIS.OR 60</v>
          </cell>
        </row>
        <row r="7530">
          <cell r="C7530">
            <v>302044.01</v>
          </cell>
          <cell r="D7530" t="str">
            <v>NKIS.MCG 60</v>
          </cell>
        </row>
        <row r="7531">
          <cell r="C7531">
            <v>511339.01</v>
          </cell>
          <cell r="D7531" t="str">
            <v>RO 6.5X20.8</v>
          </cell>
        </row>
        <row r="7532">
          <cell r="C7532">
            <v>202044.01</v>
          </cell>
          <cell r="D7532" t="str">
            <v>NKIS.OR 60</v>
          </cell>
        </row>
        <row r="7533">
          <cell r="C7533">
            <v>302044.01</v>
          </cell>
          <cell r="D7533" t="str">
            <v>NKIS.MCG 60</v>
          </cell>
        </row>
        <row r="7534">
          <cell r="C7534">
            <v>511339.01</v>
          </cell>
          <cell r="D7534" t="str">
            <v>RO 6.5X20.8</v>
          </cell>
        </row>
        <row r="7535">
          <cell r="C7535">
            <v>102044.01</v>
          </cell>
          <cell r="D7535" t="str">
            <v>NKIS.IR 60</v>
          </cell>
        </row>
        <row r="7536">
          <cell r="C7536">
            <v>102045.01</v>
          </cell>
          <cell r="D7536" t="str">
            <v>NKIS.IR 70</v>
          </cell>
        </row>
        <row r="7537">
          <cell r="C7537">
            <v>202045.01</v>
          </cell>
          <cell r="D7537" t="str">
            <v>NKIS.OR 70</v>
          </cell>
        </row>
        <row r="7538">
          <cell r="C7538">
            <v>302045.01</v>
          </cell>
          <cell r="D7538" t="str">
            <v>NKIS.MCG 70</v>
          </cell>
        </row>
        <row r="7539">
          <cell r="C7539">
            <v>511339.01</v>
          </cell>
          <cell r="D7539" t="str">
            <v>RO 6.5X20.8</v>
          </cell>
        </row>
        <row r="7540">
          <cell r="C7540">
            <v>202045.01</v>
          </cell>
          <cell r="D7540" t="str">
            <v>NKIS.OR 70</v>
          </cell>
        </row>
        <row r="7541">
          <cell r="C7541">
            <v>302045.01</v>
          </cell>
          <cell r="D7541" t="str">
            <v>NKIS.MCG 70</v>
          </cell>
        </row>
        <row r="7542">
          <cell r="C7542">
            <v>511339.01</v>
          </cell>
          <cell r="D7542" t="str">
            <v>RO 6.5X20.8</v>
          </cell>
        </row>
        <row r="7543">
          <cell r="C7543">
            <v>102045.01</v>
          </cell>
          <cell r="D7543" t="str">
            <v>NKIS.IR 70</v>
          </cell>
        </row>
        <row r="7544">
          <cell r="C7544">
            <v>102046</v>
          </cell>
          <cell r="D7544" t="str">
            <v>IR.DZ072.0 (G)</v>
          </cell>
        </row>
        <row r="7545">
          <cell r="C7545">
            <v>202046</v>
          </cell>
          <cell r="D7545" t="str">
            <v>OR.DZ072.0 (G)</v>
          </cell>
        </row>
        <row r="7546">
          <cell r="C7546">
            <v>202046.01</v>
          </cell>
          <cell r="D7546" t="str">
            <v>WA.DZ072.0 (G)</v>
          </cell>
        </row>
        <row r="7547">
          <cell r="C7547">
            <v>511613.06</v>
          </cell>
          <cell r="D7547" t="str">
            <v>RO 12X14 BPM</v>
          </cell>
        </row>
        <row r="7548">
          <cell r="C7548">
            <v>1422047</v>
          </cell>
          <cell r="D7548" t="str">
            <v>UCFC 211 MATERIAL</v>
          </cell>
        </row>
        <row r="7549">
          <cell r="C7549">
            <v>1422047.5</v>
          </cell>
          <cell r="D7549" t="str">
            <v>UCFC 206 MATERIAL</v>
          </cell>
        </row>
        <row r="7550">
          <cell r="C7550">
            <v>1422048</v>
          </cell>
          <cell r="D7550" t="str">
            <v>UCFC 207 MATERIAL</v>
          </cell>
        </row>
        <row r="7551">
          <cell r="C7551">
            <v>102049</v>
          </cell>
          <cell r="D7551" t="str">
            <v>NECK RING 28.8X1.5X21</v>
          </cell>
        </row>
        <row r="7552">
          <cell r="C7552">
            <v>1422050</v>
          </cell>
          <cell r="D7552" t="str">
            <v>UCFL 206 MATERIAL</v>
          </cell>
        </row>
        <row r="7553">
          <cell r="C7553">
            <v>1422051</v>
          </cell>
          <cell r="D7553" t="str">
            <v>UCFL 207 MATERIAL</v>
          </cell>
        </row>
        <row r="7554">
          <cell r="C7554">
            <v>102052</v>
          </cell>
          <cell r="D7554" t="str">
            <v>IR.BZ160.0 (G)</v>
          </cell>
        </row>
        <row r="7555">
          <cell r="C7555">
            <v>202052</v>
          </cell>
          <cell r="D7555" t="str">
            <v>OR.BZ160.0 (G)</v>
          </cell>
        </row>
        <row r="7556">
          <cell r="C7556">
            <v>511170</v>
          </cell>
          <cell r="D7556" t="str">
            <v>BALL 3/16" (IS:2898-1976)</v>
          </cell>
        </row>
        <row r="7557">
          <cell r="C7557">
            <v>5221247</v>
          </cell>
          <cell r="D7557" t="str">
            <v>O G SHELL GADUS S2 V100 3</v>
          </cell>
        </row>
        <row r="7558">
          <cell r="C7558">
            <v>702052</v>
          </cell>
          <cell r="D7558" t="str">
            <v>COVER.BZ160.0</v>
          </cell>
        </row>
        <row r="7559">
          <cell r="C7559">
            <v>102052.5</v>
          </cell>
          <cell r="D7559" t="str">
            <v>MAA.IR 2443</v>
          </cell>
        </row>
        <row r="7560">
          <cell r="C7560">
            <v>202052.5</v>
          </cell>
          <cell r="D7560" t="str">
            <v>MAA.OR 2443</v>
          </cell>
        </row>
        <row r="7561">
          <cell r="C7561">
            <v>511170</v>
          </cell>
          <cell r="D7561" t="str">
            <v>BALL 3/16" (IS:2898-1976)</v>
          </cell>
        </row>
        <row r="7562">
          <cell r="C7562">
            <v>702052.5</v>
          </cell>
          <cell r="D7562" t="str">
            <v>MAA.COVER 2443</v>
          </cell>
        </row>
        <row r="7563">
          <cell r="C7563">
            <v>702052.51</v>
          </cell>
          <cell r="D7563" t="str">
            <v>MAA.SEAL 2443</v>
          </cell>
        </row>
        <row r="7564">
          <cell r="C7564">
            <v>102053</v>
          </cell>
          <cell r="D7564" t="str">
            <v>IR.GZ001.0 (G)</v>
          </cell>
        </row>
        <row r="7565">
          <cell r="C7565">
            <v>202053</v>
          </cell>
          <cell r="D7565" t="str">
            <v>OR.GZ001.0 (G)</v>
          </cell>
        </row>
        <row r="7566">
          <cell r="C7566">
            <v>302053</v>
          </cell>
          <cell r="D7566" t="str">
            <v>MCA.MF003.0</v>
          </cell>
        </row>
        <row r="7567">
          <cell r="C7567">
            <v>302053.01</v>
          </cell>
          <cell r="D7567" t="str">
            <v>NCA.BZ001.0</v>
          </cell>
        </row>
        <row r="7568">
          <cell r="C7568">
            <v>511182</v>
          </cell>
          <cell r="D7568" t="str">
            <v>BALL 1/4" (IS:2898-1976)</v>
          </cell>
        </row>
        <row r="7569">
          <cell r="C7569">
            <v>511434</v>
          </cell>
          <cell r="D7569" t="str">
            <v>RO 3.5X11.8</v>
          </cell>
        </row>
        <row r="7570">
          <cell r="C7570">
            <v>5221247</v>
          </cell>
          <cell r="D7570" t="str">
            <v>O G SHELL GADUS S2 V100 3</v>
          </cell>
        </row>
        <row r="7571">
          <cell r="C7571">
            <v>602053</v>
          </cell>
          <cell r="D7571" t="str">
            <v>SNAP RING.GZ001.0</v>
          </cell>
        </row>
        <row r="7572">
          <cell r="C7572">
            <v>702053</v>
          </cell>
          <cell r="D7572" t="str">
            <v>SEAL.GZ001.0</v>
          </cell>
        </row>
        <row r="7573">
          <cell r="C7573">
            <v>102055</v>
          </cell>
          <cell r="D7573" t="str">
            <v>MRS-0032-006</v>
          </cell>
        </row>
        <row r="7574">
          <cell r="C7574">
            <v>102056</v>
          </cell>
          <cell r="D7574" t="str">
            <v>MRS-0032-008</v>
          </cell>
        </row>
        <row r="7575">
          <cell r="C7575">
            <v>102057</v>
          </cell>
          <cell r="D7575" t="str">
            <v>MRS-0032-010</v>
          </cell>
        </row>
        <row r="7576">
          <cell r="C7576">
            <v>102058</v>
          </cell>
          <cell r="D7576" t="str">
            <v>MRS-0032-012</v>
          </cell>
        </row>
        <row r="7577">
          <cell r="C7577">
            <v>102059</v>
          </cell>
          <cell r="D7577" t="str">
            <v>MRS-0032-016</v>
          </cell>
        </row>
        <row r="7578">
          <cell r="C7578">
            <v>102060</v>
          </cell>
          <cell r="D7578" t="str">
            <v>MRS-0032-020</v>
          </cell>
        </row>
        <row r="7579">
          <cell r="C7579">
            <v>102061</v>
          </cell>
          <cell r="D7579" t="str">
            <v>MRS-0032-025</v>
          </cell>
        </row>
        <row r="7580">
          <cell r="C7580">
            <v>102062</v>
          </cell>
          <cell r="D7580" t="str">
            <v>MRS-0032-032</v>
          </cell>
        </row>
        <row r="7581">
          <cell r="C7581">
            <v>102063</v>
          </cell>
          <cell r="D7581" t="str">
            <v>MRS-0032-040</v>
          </cell>
        </row>
        <row r="7582">
          <cell r="C7582">
            <v>102064</v>
          </cell>
          <cell r="D7582" t="str">
            <v>MRS-0032-050</v>
          </cell>
        </row>
        <row r="7583">
          <cell r="C7583">
            <v>1422065</v>
          </cell>
          <cell r="D7583" t="str">
            <v>UCHA 209 MATERIAL</v>
          </cell>
        </row>
        <row r="7584">
          <cell r="C7584">
            <v>102066</v>
          </cell>
          <cell r="D7584" t="str">
            <v>IR.IR 14.09x17.12x13.74</v>
          </cell>
        </row>
        <row r="7585">
          <cell r="C7585">
            <v>102067</v>
          </cell>
          <cell r="D7585" t="str">
            <v>IR.IR 13.70x17.20x13.72</v>
          </cell>
        </row>
        <row r="7586">
          <cell r="C7586">
            <v>302068</v>
          </cell>
          <cell r="D7586" t="str">
            <v>MCA.HA250.0</v>
          </cell>
        </row>
        <row r="7587">
          <cell r="C7587">
            <v>511141</v>
          </cell>
          <cell r="D7587" t="str">
            <v>RO 3.5X12.8</v>
          </cell>
        </row>
        <row r="7588">
          <cell r="C7588">
            <v>302069</v>
          </cell>
          <cell r="D7588" t="str">
            <v>K.MCG 25X35X30</v>
          </cell>
        </row>
        <row r="7589">
          <cell r="C7589">
            <v>502069</v>
          </cell>
          <cell r="D7589" t="str">
            <v>RO 5X25 BP</v>
          </cell>
        </row>
        <row r="7590">
          <cell r="C7590">
            <v>302070</v>
          </cell>
          <cell r="D7590" t="str">
            <v>K.MCG 28X33X17</v>
          </cell>
        </row>
        <row r="7591">
          <cell r="C7591">
            <v>511130</v>
          </cell>
          <cell r="D7591" t="str">
            <v>RO 2.5X13.8</v>
          </cell>
        </row>
        <row r="7592">
          <cell r="C7592">
            <v>302071</v>
          </cell>
          <cell r="D7592" t="str">
            <v>K.MCG 45X56X52 T3C(F)</v>
          </cell>
        </row>
        <row r="7593">
          <cell r="C7593">
            <v>502071</v>
          </cell>
          <cell r="D7593" t="str">
            <v>RO 5.494X20.3 BP</v>
          </cell>
        </row>
        <row r="7594">
          <cell r="C7594">
            <v>502071.01</v>
          </cell>
          <cell r="D7594" t="str">
            <v>RO 5.494X10.8 BP</v>
          </cell>
        </row>
        <row r="7595">
          <cell r="C7595">
            <v>202072</v>
          </cell>
          <cell r="D7595" t="str">
            <v>OR.SC 205</v>
          </cell>
        </row>
        <row r="7596">
          <cell r="C7596">
            <v>702072</v>
          </cell>
          <cell r="D7596" t="str">
            <v>RIVET.SC 205</v>
          </cell>
        </row>
        <row r="7597">
          <cell r="C7597">
            <v>102073</v>
          </cell>
          <cell r="D7597" t="str">
            <v>IR.Roller Assembly 42x368</v>
          </cell>
        </row>
        <row r="7598">
          <cell r="C7598">
            <v>1422351.02</v>
          </cell>
          <cell r="D7598" t="str">
            <v>6002 ZZ MATERIAL</v>
          </cell>
        </row>
        <row r="7599">
          <cell r="C7599">
            <v>202073</v>
          </cell>
          <cell r="D7599" t="str">
            <v>OR.Roller Assembly 42x368</v>
          </cell>
        </row>
        <row r="7600">
          <cell r="C7600">
            <v>702073</v>
          </cell>
          <cell r="D7600" t="str">
            <v>CIRCLIP.Roller Assembly 4</v>
          </cell>
        </row>
        <row r="7601">
          <cell r="C7601">
            <v>302074</v>
          </cell>
          <cell r="D7601" t="str">
            <v>K.MCG 45X57X25 T</v>
          </cell>
        </row>
        <row r="7602">
          <cell r="C7602">
            <v>502074</v>
          </cell>
          <cell r="D7602" t="str">
            <v>RO 6X20.8 BPER</v>
          </cell>
        </row>
        <row r="7603">
          <cell r="C7603">
            <v>302075</v>
          </cell>
          <cell r="D7603" t="str">
            <v>K.MCG 96X104X71.6</v>
          </cell>
        </row>
        <row r="7604">
          <cell r="C7604">
            <v>502011.4</v>
          </cell>
          <cell r="D7604" t="str">
            <v>RO 4X21.8 BP</v>
          </cell>
        </row>
        <row r="7605">
          <cell r="C7605">
            <v>302076</v>
          </cell>
          <cell r="D7605" t="str">
            <v>K.MCG 90X98X49.8</v>
          </cell>
        </row>
        <row r="7606">
          <cell r="C7606">
            <v>502075</v>
          </cell>
          <cell r="D7606" t="str">
            <v>RO 4X39.8 BP</v>
          </cell>
        </row>
        <row r="7607">
          <cell r="C7607">
            <v>302077</v>
          </cell>
          <cell r="D7607" t="str">
            <v>K.MCG 92X100X62.8 ZW-T</v>
          </cell>
        </row>
        <row r="7608">
          <cell r="C7608">
            <v>502077</v>
          </cell>
          <cell r="D7608" t="str">
            <v>RO 4X26.3 BP</v>
          </cell>
        </row>
        <row r="7609">
          <cell r="C7609">
            <v>1402078</v>
          </cell>
          <cell r="D7609" t="str">
            <v>ASPFL 205 MATERIAL</v>
          </cell>
        </row>
        <row r="7610">
          <cell r="C7610">
            <v>1402078.02</v>
          </cell>
          <cell r="D7610" t="str">
            <v>HCN308_HSG PAS210 MATERIL</v>
          </cell>
        </row>
        <row r="7611">
          <cell r="C7611">
            <v>1402078.03</v>
          </cell>
          <cell r="D7611" t="str">
            <v>AELPF 206 MATERIAL</v>
          </cell>
        </row>
        <row r="7612">
          <cell r="C7612">
            <v>1402078.04</v>
          </cell>
          <cell r="D7612" t="str">
            <v>AELPF 207 MATERIAL</v>
          </cell>
        </row>
        <row r="7613">
          <cell r="C7613">
            <v>1402078.05</v>
          </cell>
          <cell r="D7613" t="str">
            <v>AELPF 208 MATERIAL</v>
          </cell>
        </row>
        <row r="7614">
          <cell r="C7614">
            <v>102078.06</v>
          </cell>
          <cell r="D7614" t="str">
            <v>IR.203KRR3</v>
          </cell>
        </row>
        <row r="7615">
          <cell r="C7615">
            <v>202078.06</v>
          </cell>
          <cell r="D7615" t="str">
            <v>OR.203KRR3</v>
          </cell>
        </row>
        <row r="7616">
          <cell r="C7616">
            <v>301103.5</v>
          </cell>
          <cell r="D7616" t="str">
            <v>NCG. 3203 2RS</v>
          </cell>
        </row>
        <row r="7617">
          <cell r="C7617">
            <v>501103.5</v>
          </cell>
          <cell r="D7617" t="str">
            <v>BALL 17/64"(IS:2898-1976)</v>
          </cell>
        </row>
        <row r="7618">
          <cell r="C7618">
            <v>702078.06</v>
          </cell>
          <cell r="D7618" t="str">
            <v>SEAL.203KRR3</v>
          </cell>
        </row>
        <row r="7619">
          <cell r="C7619">
            <v>102078.07</v>
          </cell>
          <cell r="D7619" t="str">
            <v>IR.CF5002-ASSY</v>
          </cell>
        </row>
        <row r="7620">
          <cell r="C7620">
            <v>102078.08</v>
          </cell>
          <cell r="D7620" t="str">
            <v>SHAFT.CF5002-ASSY</v>
          </cell>
        </row>
        <row r="7621">
          <cell r="C7621">
            <v>202078.07</v>
          </cell>
          <cell r="D7621" t="str">
            <v>OR.CF5002-ASSY</v>
          </cell>
        </row>
        <row r="7622">
          <cell r="C7622">
            <v>302078.07</v>
          </cell>
          <cell r="D7622" t="str">
            <v>NCG.CF5002-ASSY</v>
          </cell>
        </row>
        <row r="7623">
          <cell r="C7623">
            <v>511170</v>
          </cell>
          <cell r="D7623" t="str">
            <v>BALL 3/16" (IS:2898-1976)</v>
          </cell>
        </row>
        <row r="7624">
          <cell r="C7624">
            <v>5221247</v>
          </cell>
          <cell r="D7624" t="str">
            <v>O G SHELL GADUS S2 V100 3</v>
          </cell>
        </row>
        <row r="7625">
          <cell r="C7625">
            <v>702078.07</v>
          </cell>
          <cell r="D7625" t="str">
            <v>SEAL.CF5002-ASSY</v>
          </cell>
        </row>
        <row r="7626">
          <cell r="C7626">
            <v>102078.07</v>
          </cell>
          <cell r="D7626" t="str">
            <v>IR.CF5002-ASSY</v>
          </cell>
        </row>
        <row r="7627">
          <cell r="C7627">
            <v>202078.07</v>
          </cell>
          <cell r="D7627" t="str">
            <v>OR.CF5002-ASSY</v>
          </cell>
        </row>
        <row r="7628">
          <cell r="C7628">
            <v>302078.07</v>
          </cell>
          <cell r="D7628" t="str">
            <v>NCG.CF5002-ASSY</v>
          </cell>
        </row>
        <row r="7629">
          <cell r="C7629">
            <v>511170</v>
          </cell>
          <cell r="D7629" t="str">
            <v>BALL 3/16" (IS:2898-1976)</v>
          </cell>
        </row>
        <row r="7630">
          <cell r="C7630">
            <v>5221247</v>
          </cell>
          <cell r="D7630" t="str">
            <v>O G SHELL GADUS S2 V100 3</v>
          </cell>
        </row>
        <row r="7631">
          <cell r="C7631">
            <v>702078.07</v>
          </cell>
          <cell r="D7631" t="str">
            <v>SEAL.CF5002-ASSY</v>
          </cell>
        </row>
        <row r="7632">
          <cell r="C7632">
            <v>102078.08</v>
          </cell>
          <cell r="D7632" t="str">
            <v>SHAFT.CF5002-ASSY</v>
          </cell>
        </row>
        <row r="7633">
          <cell r="C7633">
            <v>1402079.01</v>
          </cell>
          <cell r="D7633" t="str">
            <v>UC 205 MATERIAL</v>
          </cell>
        </row>
        <row r="7634">
          <cell r="C7634">
            <v>1402079.02</v>
          </cell>
          <cell r="D7634" t="str">
            <v>UC 207 MATERIAL</v>
          </cell>
        </row>
        <row r="7635">
          <cell r="C7635">
            <v>1422080</v>
          </cell>
          <cell r="D7635" t="str">
            <v>UCT 205 MATERIAL</v>
          </cell>
        </row>
        <row r="7636">
          <cell r="C7636">
            <v>602080</v>
          </cell>
          <cell r="D7636" t="str">
            <v>G.SCREW M6X7</v>
          </cell>
        </row>
        <row r="7637">
          <cell r="C7637">
            <v>1422082</v>
          </cell>
          <cell r="D7637" t="str">
            <v>100158 MATERIAL</v>
          </cell>
        </row>
        <row r="7638">
          <cell r="C7638">
            <v>1422083</v>
          </cell>
          <cell r="D7638" t="str">
            <v>PHS 25 MATERIAL</v>
          </cell>
        </row>
        <row r="7639">
          <cell r="C7639">
            <v>1422084</v>
          </cell>
          <cell r="D7639" t="str">
            <v>PHS 8 MATERIAL</v>
          </cell>
        </row>
        <row r="7640">
          <cell r="C7640">
            <v>102085</v>
          </cell>
          <cell r="D7640" t="str">
            <v>P.IR 8635C</v>
          </cell>
        </row>
        <row r="7641">
          <cell r="C7641">
            <v>102086</v>
          </cell>
          <cell r="D7641" t="str">
            <v>P.IR 7330C</v>
          </cell>
        </row>
        <row r="7642">
          <cell r="C7642">
            <v>102087</v>
          </cell>
          <cell r="D7642" t="str">
            <v>P.IR 8641C</v>
          </cell>
        </row>
        <row r="7643">
          <cell r="C7643">
            <v>102088</v>
          </cell>
          <cell r="D7643" t="str">
            <v>P.IR 7616-1C</v>
          </cell>
        </row>
        <row r="7644">
          <cell r="C7644">
            <v>202089</v>
          </cell>
          <cell r="D7644" t="str">
            <v>P. OR 8633R</v>
          </cell>
        </row>
        <row r="7645">
          <cell r="C7645">
            <v>202090</v>
          </cell>
          <cell r="D7645" t="str">
            <v>P.OR 8638R</v>
          </cell>
        </row>
        <row r="7646">
          <cell r="C7646">
            <v>102091</v>
          </cell>
          <cell r="D7646" t="str">
            <v>MCA.IR 5025</v>
          </cell>
        </row>
        <row r="7647">
          <cell r="C7647">
            <v>502091</v>
          </cell>
          <cell r="D7647" t="str">
            <v>RO 8.25X25.2 BPM</v>
          </cell>
        </row>
        <row r="7648">
          <cell r="C7648">
            <v>702091</v>
          </cell>
          <cell r="D7648" t="str">
            <v>SLEEVE.MCA 5025</v>
          </cell>
        </row>
        <row r="7649">
          <cell r="C7649">
            <v>302092</v>
          </cell>
          <cell r="D7649" t="str">
            <v>K.MCG 45X53X20 T</v>
          </cell>
        </row>
        <row r="7650">
          <cell r="C7650">
            <v>511436</v>
          </cell>
          <cell r="D7650" t="str">
            <v>RO 4X15.8 (CRA)</v>
          </cell>
        </row>
        <row r="7651">
          <cell r="C7651">
            <v>302093</v>
          </cell>
          <cell r="D7651" t="str">
            <v>K.MCG 45X53X28 T</v>
          </cell>
        </row>
        <row r="7652">
          <cell r="C7652">
            <v>502004</v>
          </cell>
          <cell r="D7652" t="str">
            <v>RO 4X24.8 BP</v>
          </cell>
        </row>
        <row r="7653">
          <cell r="C7653">
            <v>302094</v>
          </cell>
          <cell r="D7653" t="str">
            <v>K.MCG 25X31X20 T</v>
          </cell>
        </row>
        <row r="7654">
          <cell r="C7654">
            <v>511819.01</v>
          </cell>
          <cell r="D7654" t="str">
            <v>RO 3X15.8</v>
          </cell>
        </row>
        <row r="7655">
          <cell r="C7655">
            <v>302095</v>
          </cell>
          <cell r="D7655" t="str">
            <v>K.BRASS 31X46X27.2 NW</v>
          </cell>
        </row>
        <row r="7656">
          <cell r="C7656">
            <v>502095</v>
          </cell>
          <cell r="D7656" t="str">
            <v>RO 7.5X23.00 BPM</v>
          </cell>
        </row>
        <row r="7657">
          <cell r="C7657">
            <v>102096</v>
          </cell>
          <cell r="D7657" t="str">
            <v>NUP.IR 212</v>
          </cell>
        </row>
        <row r="7658">
          <cell r="C7658">
            <v>102096.01</v>
          </cell>
          <cell r="D7658" t="str">
            <v>NUP.W 212</v>
          </cell>
        </row>
        <row r="7659">
          <cell r="C7659">
            <v>208610.05</v>
          </cell>
          <cell r="D7659" t="str">
            <v>NU.OR 212               F</v>
          </cell>
        </row>
        <row r="7660">
          <cell r="C7660">
            <v>309610.05</v>
          </cell>
          <cell r="D7660" t="str">
            <v>NU.MCG 212</v>
          </cell>
        </row>
        <row r="7661">
          <cell r="C7661">
            <v>511610.01</v>
          </cell>
          <cell r="D7661" t="str">
            <v>RO 12X12</v>
          </cell>
        </row>
        <row r="7662">
          <cell r="C7662">
            <v>102097</v>
          </cell>
          <cell r="D7662" t="str">
            <v>NUP.IR 304</v>
          </cell>
        </row>
        <row r="7663">
          <cell r="C7663">
            <v>102097.01</v>
          </cell>
          <cell r="D7663" t="str">
            <v>NUP.W 304</v>
          </cell>
        </row>
        <row r="7664">
          <cell r="C7664">
            <v>208602.06</v>
          </cell>
          <cell r="D7664" t="str">
            <v>NU.OR 304               F</v>
          </cell>
        </row>
        <row r="7665">
          <cell r="C7665">
            <v>309602.06</v>
          </cell>
          <cell r="D7665" t="str">
            <v>NU/NJ.MCG 304</v>
          </cell>
        </row>
        <row r="7666">
          <cell r="C7666">
            <v>511439</v>
          </cell>
          <cell r="D7666" t="str">
            <v>RO 8X8</v>
          </cell>
        </row>
        <row r="7667">
          <cell r="C7667">
            <v>102098</v>
          </cell>
          <cell r="D7667" t="str">
            <v>NUP.IR 308</v>
          </cell>
        </row>
        <row r="7668">
          <cell r="C7668">
            <v>102098.01</v>
          </cell>
          <cell r="D7668" t="str">
            <v>NUP.W 308</v>
          </cell>
        </row>
        <row r="7669">
          <cell r="C7669">
            <v>208606.06</v>
          </cell>
          <cell r="D7669" t="str">
            <v>NU.OR 308               F</v>
          </cell>
        </row>
        <row r="7670">
          <cell r="C7670">
            <v>309606.06</v>
          </cell>
          <cell r="D7670" t="str">
            <v>NU/NJ.MCG 308</v>
          </cell>
        </row>
        <row r="7671">
          <cell r="C7671">
            <v>511606.02</v>
          </cell>
          <cell r="D7671" t="str">
            <v>RO 12X13 BPM</v>
          </cell>
        </row>
        <row r="7672">
          <cell r="C7672">
            <v>102099</v>
          </cell>
          <cell r="D7672" t="str">
            <v>NUP.IR 309</v>
          </cell>
        </row>
        <row r="7673">
          <cell r="C7673">
            <v>102099.01</v>
          </cell>
          <cell r="D7673" t="str">
            <v>NUP.W 309</v>
          </cell>
        </row>
        <row r="7674">
          <cell r="C7674">
            <v>208489</v>
          </cell>
          <cell r="D7674" t="str">
            <v>NU.OR 309</v>
          </cell>
        </row>
        <row r="7675">
          <cell r="C7675">
            <v>309489</v>
          </cell>
          <cell r="D7675" t="str">
            <v>NU.MCG 309</v>
          </cell>
        </row>
        <row r="7676">
          <cell r="C7676">
            <v>511998</v>
          </cell>
          <cell r="D7676" t="str">
            <v>RO 14X14</v>
          </cell>
        </row>
        <row r="7677">
          <cell r="C7677">
            <v>202100</v>
          </cell>
          <cell r="D7677" t="str">
            <v>MNA.OR 2690</v>
          </cell>
        </row>
        <row r="7678">
          <cell r="C7678">
            <v>202101</v>
          </cell>
          <cell r="D7678" t="str">
            <v>MNA.OR 1930</v>
          </cell>
        </row>
        <row r="7679">
          <cell r="C7679">
            <v>102102</v>
          </cell>
          <cell r="D7679" t="str">
            <v>MCT.IR 8400</v>
          </cell>
        </row>
        <row r="7680">
          <cell r="C7680">
            <v>202102</v>
          </cell>
          <cell r="D7680" t="str">
            <v>MCT.OR 8400</v>
          </cell>
        </row>
        <row r="7681">
          <cell r="C7681">
            <v>511611.01</v>
          </cell>
          <cell r="D7681" t="str">
            <v>RO 13X13</v>
          </cell>
        </row>
        <row r="7682">
          <cell r="C7682">
            <v>702102</v>
          </cell>
          <cell r="D7682" t="str">
            <v>MCT.WASHER 8400</v>
          </cell>
        </row>
        <row r="7683">
          <cell r="C7683">
            <v>102103</v>
          </cell>
          <cell r="D7683" t="str">
            <v>MCT.IR 2700</v>
          </cell>
        </row>
        <row r="7684">
          <cell r="C7684">
            <v>202103</v>
          </cell>
          <cell r="D7684" t="str">
            <v>MCT.OR 2700</v>
          </cell>
        </row>
        <row r="7685">
          <cell r="C7685">
            <v>511212</v>
          </cell>
          <cell r="D7685" t="str">
            <v>RO 4X4</v>
          </cell>
        </row>
        <row r="7686">
          <cell r="C7686">
            <v>602103</v>
          </cell>
          <cell r="D7686" t="str">
            <v>MCT.WASHER 2700</v>
          </cell>
        </row>
        <row r="7687">
          <cell r="C7687">
            <v>103000</v>
          </cell>
          <cell r="D7687" t="str">
            <v>NUP.IR 2209</v>
          </cell>
        </row>
        <row r="7688">
          <cell r="C7688">
            <v>103000.01</v>
          </cell>
          <cell r="D7688" t="str">
            <v>NUP.W 2209</v>
          </cell>
        </row>
        <row r="7689">
          <cell r="C7689">
            <v>208607.07</v>
          </cell>
          <cell r="D7689" t="str">
            <v>NJ.OR 2209              F</v>
          </cell>
        </row>
        <row r="7690">
          <cell r="C7690">
            <v>309607.07</v>
          </cell>
          <cell r="D7690" t="str">
            <v>NU/NJ.MCG 2209</v>
          </cell>
        </row>
        <row r="7691">
          <cell r="C7691">
            <v>511607.07</v>
          </cell>
          <cell r="D7691" t="str">
            <v>RO 10X15 BPM</v>
          </cell>
        </row>
        <row r="7692">
          <cell r="C7692">
            <v>103001</v>
          </cell>
          <cell r="D7692" t="str">
            <v>940041334 MATERIAL</v>
          </cell>
        </row>
        <row r="7693">
          <cell r="C7693">
            <v>103002</v>
          </cell>
          <cell r="D7693" t="str">
            <v>940041550 MATERIAL</v>
          </cell>
        </row>
        <row r="7694">
          <cell r="C7694">
            <v>103003</v>
          </cell>
          <cell r="D7694" t="str">
            <v>940041552 MATERIAL</v>
          </cell>
        </row>
        <row r="7695">
          <cell r="C7695">
            <v>103004</v>
          </cell>
          <cell r="D7695" t="str">
            <v>940041664 MATERIAL</v>
          </cell>
        </row>
        <row r="7696">
          <cell r="C7696">
            <v>103004.01</v>
          </cell>
          <cell r="D7696" t="str">
            <v>940041664 Rev 05 MATERIAL</v>
          </cell>
        </row>
        <row r="7697">
          <cell r="C7697">
            <v>103005</v>
          </cell>
          <cell r="D7697" t="str">
            <v>940041677 MATERIAL</v>
          </cell>
        </row>
        <row r="7698">
          <cell r="C7698">
            <v>103006</v>
          </cell>
          <cell r="D7698" t="str">
            <v>940041822 MATERIAL</v>
          </cell>
        </row>
        <row r="7699">
          <cell r="C7699">
            <v>103007</v>
          </cell>
          <cell r="D7699" t="str">
            <v>940041539  MATERIAL</v>
          </cell>
        </row>
        <row r="7700">
          <cell r="C7700">
            <v>103008</v>
          </cell>
          <cell r="D7700" t="str">
            <v>940123203 MATERIAL</v>
          </cell>
        </row>
        <row r="7701">
          <cell r="C7701">
            <v>303009</v>
          </cell>
          <cell r="D7701" t="str">
            <v>K.MCA 20x26x17 T SPL</v>
          </cell>
        </row>
        <row r="7702">
          <cell r="C7702">
            <v>502005</v>
          </cell>
          <cell r="D7702" t="str">
            <v>RO 3X12.8 BP</v>
          </cell>
        </row>
        <row r="7703">
          <cell r="C7703">
            <v>303010</v>
          </cell>
          <cell r="D7703" t="str">
            <v>K.MCG 25x30x17 T</v>
          </cell>
        </row>
        <row r="7704">
          <cell r="C7704">
            <v>511130</v>
          </cell>
          <cell r="D7704" t="str">
            <v>RO 2.5X13.8</v>
          </cell>
        </row>
        <row r="7705">
          <cell r="C7705">
            <v>303011</v>
          </cell>
          <cell r="D7705" t="str">
            <v>K.MCG 30x35x17 T</v>
          </cell>
        </row>
        <row r="7706">
          <cell r="C7706">
            <v>503011</v>
          </cell>
          <cell r="D7706" t="str">
            <v>RO 2.5X14.3 BP</v>
          </cell>
        </row>
        <row r="7707">
          <cell r="C7707">
            <v>303012</v>
          </cell>
          <cell r="D7707" t="str">
            <v>TCG.TCG 32X38X17 T</v>
          </cell>
        </row>
        <row r="7708">
          <cell r="C7708">
            <v>502005</v>
          </cell>
          <cell r="D7708" t="str">
            <v>RO 3X12.8 BP</v>
          </cell>
        </row>
        <row r="7709">
          <cell r="C7709">
            <v>103013</v>
          </cell>
          <cell r="D7709" t="str">
            <v>IR.HF3QUAL</v>
          </cell>
        </row>
        <row r="7710">
          <cell r="C7710">
            <v>203013</v>
          </cell>
          <cell r="D7710" t="str">
            <v>OR.HF3QUAL</v>
          </cell>
        </row>
        <row r="7711">
          <cell r="C7711">
            <v>703013</v>
          </cell>
          <cell r="D7711" t="str">
            <v>WASHER.HF3QUAL BRASS</v>
          </cell>
        </row>
        <row r="7712">
          <cell r="C7712">
            <v>103014</v>
          </cell>
          <cell r="D7712" t="str">
            <v>IR.F5CRQUAL</v>
          </cell>
        </row>
        <row r="7713">
          <cell r="C7713">
            <v>203014</v>
          </cell>
          <cell r="D7713" t="str">
            <v>OR.F5CRQUAL</v>
          </cell>
        </row>
        <row r="7714">
          <cell r="C7714">
            <v>703014</v>
          </cell>
          <cell r="D7714" t="str">
            <v>WASHER.F5CRQUAL BRASS</v>
          </cell>
        </row>
        <row r="7715">
          <cell r="C7715">
            <v>103015</v>
          </cell>
          <cell r="D7715" t="str">
            <v>IR.HM12QUAL</v>
          </cell>
        </row>
        <row r="7716">
          <cell r="C7716">
            <v>203015</v>
          </cell>
          <cell r="D7716" t="str">
            <v>OR.HM12QUAL</v>
          </cell>
        </row>
        <row r="7717">
          <cell r="C7717">
            <v>703015</v>
          </cell>
          <cell r="D7717" t="str">
            <v>WASHER.HM12QUAL BRASS</v>
          </cell>
        </row>
        <row r="7718">
          <cell r="C7718">
            <v>1423016</v>
          </cell>
          <cell r="D7718" t="str">
            <v>UCF 207 MATERIAL</v>
          </cell>
        </row>
        <row r="7719">
          <cell r="C7719">
            <v>303017</v>
          </cell>
          <cell r="D7719" t="str">
            <v>K.MCG 12X16X13</v>
          </cell>
        </row>
        <row r="7720">
          <cell r="C7720">
            <v>103018</v>
          </cell>
          <cell r="D7720" t="str">
            <v>IR.DS-251144</v>
          </cell>
        </row>
        <row r="7721">
          <cell r="C7721">
            <v>203018</v>
          </cell>
          <cell r="D7721" t="str">
            <v>OR.DS-251144</v>
          </cell>
        </row>
        <row r="7722">
          <cell r="C7722">
            <v>303019</v>
          </cell>
          <cell r="D7722" t="str">
            <v>K.MCG 35X40X17 T</v>
          </cell>
        </row>
        <row r="7723">
          <cell r="C7723">
            <v>511130</v>
          </cell>
          <cell r="D7723" t="str">
            <v>RO 2.5X13.8</v>
          </cell>
        </row>
        <row r="7724">
          <cell r="C7724">
            <v>303020</v>
          </cell>
          <cell r="D7724" t="str">
            <v>K.MCG 50X55X25 T</v>
          </cell>
        </row>
        <row r="7725">
          <cell r="C7725">
            <v>550011</v>
          </cell>
          <cell r="D7725" t="str">
            <v>RO 2.5X20.8 BP</v>
          </cell>
        </row>
        <row r="7726">
          <cell r="C7726">
            <v>1423100</v>
          </cell>
          <cell r="D7726" t="str">
            <v>HK 2520 MATERIAL</v>
          </cell>
        </row>
        <row r="7727">
          <cell r="C7727">
            <v>203100</v>
          </cell>
          <cell r="D7727" t="str">
            <v>HK.CUP 2520</v>
          </cell>
        </row>
        <row r="7728">
          <cell r="C7728">
            <v>300954</v>
          </cell>
          <cell r="D7728" t="str">
            <v>HK.MCG 2520</v>
          </cell>
        </row>
        <row r="7729">
          <cell r="C7729">
            <v>503103</v>
          </cell>
          <cell r="D7729" t="str">
            <v>RO 2.5X15.2 BP</v>
          </cell>
        </row>
        <row r="7730">
          <cell r="C7730">
            <v>1423100.2</v>
          </cell>
          <cell r="D7730" t="str">
            <v>HK 2520 OH MATERIAL</v>
          </cell>
        </row>
        <row r="7731">
          <cell r="C7731">
            <v>203100.3</v>
          </cell>
          <cell r="D7731" t="str">
            <v>HK.CUP 2512</v>
          </cell>
        </row>
        <row r="7732">
          <cell r="C7732">
            <v>300968</v>
          </cell>
          <cell r="D7732" t="str">
            <v>HK.MCG 2512</v>
          </cell>
        </row>
        <row r="7733">
          <cell r="C7733">
            <v>511406</v>
          </cell>
          <cell r="D7733" t="str">
            <v>RO 2.5X6.8 BP</v>
          </cell>
        </row>
        <row r="7734">
          <cell r="C7734">
            <v>1423101</v>
          </cell>
          <cell r="D7734" t="str">
            <v>HK 1010 MATERIAL</v>
          </cell>
        </row>
        <row r="7735">
          <cell r="C7735">
            <v>203101</v>
          </cell>
          <cell r="D7735" t="str">
            <v>HK.CUP 1010</v>
          </cell>
        </row>
        <row r="7736">
          <cell r="C7736">
            <v>300960</v>
          </cell>
          <cell r="D7736" t="str">
            <v>HK.MCG 1010</v>
          </cell>
        </row>
        <row r="7737">
          <cell r="C7737">
            <v>550006</v>
          </cell>
          <cell r="D7737" t="str">
            <v>RO 1.5X6 BP</v>
          </cell>
        </row>
        <row r="7738">
          <cell r="C7738">
            <v>1423101.21</v>
          </cell>
          <cell r="D7738" t="str">
            <v>HK 1010  OH MATERIAL</v>
          </cell>
        </row>
        <row r="7739">
          <cell r="C7739">
            <v>703101.4</v>
          </cell>
          <cell r="D7739" t="str">
            <v>HK.SEAL 1010 2RS</v>
          </cell>
        </row>
        <row r="7740">
          <cell r="C7740">
            <v>1423102</v>
          </cell>
          <cell r="D7740" t="str">
            <v>HK 810 MATERIAL</v>
          </cell>
        </row>
        <row r="7741">
          <cell r="C7741">
            <v>203117.6</v>
          </cell>
          <cell r="D7741" t="str">
            <v>HK.CUP 0810</v>
          </cell>
        </row>
        <row r="7742">
          <cell r="C7742">
            <v>300962</v>
          </cell>
          <cell r="D7742" t="str">
            <v>HK.MCG 0810</v>
          </cell>
        </row>
        <row r="7743">
          <cell r="C7743">
            <v>550006</v>
          </cell>
          <cell r="D7743" t="str">
            <v>RO 1.5X6 BP</v>
          </cell>
        </row>
        <row r="7744">
          <cell r="C7744">
            <v>1423103</v>
          </cell>
          <cell r="D7744" t="str">
            <v>HK 4520 MATERIAL</v>
          </cell>
        </row>
        <row r="7745">
          <cell r="C7745">
            <v>213103</v>
          </cell>
          <cell r="D7745" t="str">
            <v>HK.CUP 4520</v>
          </cell>
        </row>
        <row r="7746">
          <cell r="C7746">
            <v>300970</v>
          </cell>
          <cell r="D7746" t="str">
            <v>HK.MCG 4520</v>
          </cell>
        </row>
        <row r="7747">
          <cell r="C7747">
            <v>503103</v>
          </cell>
          <cell r="D7747" t="str">
            <v>RO 2.5X15.2 BP</v>
          </cell>
        </row>
        <row r="7748">
          <cell r="C7748">
            <v>1423104</v>
          </cell>
          <cell r="D7748" t="str">
            <v>HK 2526 MATERIAL</v>
          </cell>
        </row>
        <row r="7749">
          <cell r="C7749">
            <v>1423105</v>
          </cell>
          <cell r="D7749" t="str">
            <v>HK 1616 MATERIAL</v>
          </cell>
        </row>
        <row r="7750">
          <cell r="C7750">
            <v>1423105.21</v>
          </cell>
          <cell r="D7750" t="str">
            <v>HK 1616 OH MATERIAL</v>
          </cell>
        </row>
        <row r="7751">
          <cell r="C7751">
            <v>203105</v>
          </cell>
          <cell r="D7751" t="str">
            <v>HK.CUP 1616</v>
          </cell>
        </row>
        <row r="7752">
          <cell r="C7752">
            <v>300964</v>
          </cell>
          <cell r="D7752" t="str">
            <v>HK.MCG 1616</v>
          </cell>
        </row>
        <row r="7753">
          <cell r="C7753">
            <v>550002</v>
          </cell>
          <cell r="D7753" t="str">
            <v>RO 2X11.2 BP</v>
          </cell>
        </row>
        <row r="7754">
          <cell r="C7754">
            <v>1423106</v>
          </cell>
          <cell r="D7754" t="str">
            <v>HK 1015 MATEIRAL</v>
          </cell>
        </row>
        <row r="7755">
          <cell r="C7755">
            <v>1423106</v>
          </cell>
          <cell r="D7755" t="str">
            <v>HK 1015 MATEIRAL</v>
          </cell>
        </row>
        <row r="7756">
          <cell r="C7756">
            <v>1423106</v>
          </cell>
          <cell r="D7756" t="str">
            <v>HK 1015 MATEIRAL</v>
          </cell>
        </row>
        <row r="7757">
          <cell r="C7757">
            <v>203106.11</v>
          </cell>
          <cell r="D7757" t="str">
            <v>HK.CUP 1015</v>
          </cell>
        </row>
        <row r="7758">
          <cell r="C7758">
            <v>300961</v>
          </cell>
          <cell r="D7758" t="str">
            <v>HK.MCG 1015</v>
          </cell>
        </row>
        <row r="7759">
          <cell r="C7759">
            <v>550007</v>
          </cell>
          <cell r="D7759" t="str">
            <v>RO 1.5X10.8 BP</v>
          </cell>
        </row>
        <row r="7760">
          <cell r="C7760">
            <v>142306.21</v>
          </cell>
          <cell r="D7760" t="str">
            <v>HK 1015 HO MATERIAL</v>
          </cell>
        </row>
        <row r="7761">
          <cell r="C7761">
            <v>1423107</v>
          </cell>
          <cell r="D7761" t="str">
            <v>HK 1210 MATERIAL</v>
          </cell>
        </row>
        <row r="7762">
          <cell r="C7762">
            <v>203107.11</v>
          </cell>
          <cell r="D7762" t="str">
            <v>HK.CUP 1210</v>
          </cell>
        </row>
        <row r="7763">
          <cell r="C7763">
            <v>203107.11</v>
          </cell>
          <cell r="D7763" t="str">
            <v>HK.CUP 1210</v>
          </cell>
        </row>
        <row r="7764">
          <cell r="C7764">
            <v>300951</v>
          </cell>
          <cell r="D7764" t="str">
            <v>HK.MCG 1210</v>
          </cell>
        </row>
        <row r="7765">
          <cell r="C7765">
            <v>300951</v>
          </cell>
          <cell r="D7765" t="str">
            <v>HK.MCG 1210</v>
          </cell>
        </row>
        <row r="7766">
          <cell r="C7766">
            <v>550004</v>
          </cell>
          <cell r="D7766" t="str">
            <v>RO 1.5X6.2 BP</v>
          </cell>
        </row>
        <row r="7767">
          <cell r="C7767">
            <v>550004</v>
          </cell>
          <cell r="D7767" t="str">
            <v>RO 1.5X6.2 BP</v>
          </cell>
        </row>
        <row r="7768">
          <cell r="C7768">
            <v>1423107.21</v>
          </cell>
          <cell r="D7768" t="str">
            <v>HK 1210 OH MATERIAL</v>
          </cell>
        </row>
        <row r="7769">
          <cell r="C7769">
            <v>203107.3</v>
          </cell>
          <cell r="D7769" t="str">
            <v>HK.CUP 1212</v>
          </cell>
        </row>
        <row r="7770">
          <cell r="C7770">
            <v>303107.3</v>
          </cell>
          <cell r="D7770" t="str">
            <v>HK.MCG 1212</v>
          </cell>
        </row>
        <row r="7771">
          <cell r="C7771">
            <v>503107.3</v>
          </cell>
          <cell r="D7771" t="str">
            <v>RO 2X7.3 BP</v>
          </cell>
        </row>
        <row r="7772">
          <cell r="C7772">
            <v>1423108</v>
          </cell>
          <cell r="D7772" t="str">
            <v>KT 81110 C3 MATERIAL</v>
          </cell>
        </row>
        <row r="7773">
          <cell r="C7773">
            <v>203109</v>
          </cell>
          <cell r="D7773" t="str">
            <v>HK.CUP 1412</v>
          </cell>
        </row>
        <row r="7774">
          <cell r="C7774">
            <v>203109</v>
          </cell>
          <cell r="D7774" t="str">
            <v>HK.CUP 1412</v>
          </cell>
        </row>
        <row r="7775">
          <cell r="C7775">
            <v>300967</v>
          </cell>
          <cell r="D7775" t="str">
            <v>HK.MCG 1412</v>
          </cell>
        </row>
        <row r="7776">
          <cell r="C7776">
            <v>300967</v>
          </cell>
          <cell r="D7776" t="str">
            <v>HK.MCG 1412</v>
          </cell>
        </row>
        <row r="7777">
          <cell r="C7777">
            <v>503109</v>
          </cell>
          <cell r="D7777" t="str">
            <v>RO 2X7.2</v>
          </cell>
        </row>
        <row r="7778">
          <cell r="C7778">
            <v>1423109</v>
          </cell>
          <cell r="D7778" t="str">
            <v>HK 1412 MATERIAL</v>
          </cell>
        </row>
        <row r="7779">
          <cell r="C7779">
            <v>203109</v>
          </cell>
          <cell r="D7779" t="str">
            <v>HK.CUP 1412</v>
          </cell>
        </row>
        <row r="7780">
          <cell r="C7780">
            <v>300967</v>
          </cell>
          <cell r="D7780" t="str">
            <v>HK.MCG 1412</v>
          </cell>
        </row>
        <row r="7781">
          <cell r="C7781">
            <v>503109</v>
          </cell>
          <cell r="D7781" t="str">
            <v>RO 2X7.2</v>
          </cell>
        </row>
        <row r="7782">
          <cell r="C7782">
            <v>1423109.21</v>
          </cell>
          <cell r="D7782" t="str">
            <v>HK 1412 OH MATERIAL</v>
          </cell>
        </row>
        <row r="7783">
          <cell r="C7783">
            <v>203109.5</v>
          </cell>
          <cell r="D7783" t="str">
            <v>BA.CUP 1412</v>
          </cell>
        </row>
        <row r="7784">
          <cell r="C7784">
            <v>303109.5</v>
          </cell>
          <cell r="D7784" t="str">
            <v>BA.MCG 1412</v>
          </cell>
        </row>
        <row r="7785">
          <cell r="C7785">
            <v>550003</v>
          </cell>
          <cell r="D7785" t="str">
            <v>RO 2.379X14.8 BP</v>
          </cell>
        </row>
        <row r="7786">
          <cell r="C7786">
            <v>1423110</v>
          </cell>
          <cell r="D7786" t="str">
            <v>HK 1512 MATERIAL</v>
          </cell>
        </row>
        <row r="7787">
          <cell r="C7787">
            <v>1423110.21</v>
          </cell>
          <cell r="D7787" t="str">
            <v>HK 1512 OH MATERIAL</v>
          </cell>
        </row>
        <row r="7788">
          <cell r="C7788">
            <v>203110</v>
          </cell>
          <cell r="D7788" t="str">
            <v>HK.CUP 1512</v>
          </cell>
        </row>
        <row r="7789">
          <cell r="C7789">
            <v>300958</v>
          </cell>
          <cell r="D7789" t="str">
            <v>HK.MCG 1512</v>
          </cell>
        </row>
        <row r="7790">
          <cell r="C7790">
            <v>550013</v>
          </cell>
          <cell r="D7790" t="str">
            <v>RO 2.2X7.8 BP</v>
          </cell>
        </row>
        <row r="7791">
          <cell r="C7791">
            <v>203110.41</v>
          </cell>
          <cell r="D7791" t="str">
            <v>HK.CUP 1518</v>
          </cell>
        </row>
        <row r="7792">
          <cell r="C7792">
            <v>303110.40999999997</v>
          </cell>
          <cell r="D7792" t="str">
            <v>HK.MCG 1518</v>
          </cell>
        </row>
        <row r="7793">
          <cell r="C7793">
            <v>503110.41</v>
          </cell>
          <cell r="D7793" t="str">
            <v>RO 2X12.5 BP</v>
          </cell>
        </row>
        <row r="7794">
          <cell r="C7794">
            <v>1423111</v>
          </cell>
          <cell r="D7794" t="str">
            <v>JV 2016 MATERIAL</v>
          </cell>
        </row>
        <row r="7795">
          <cell r="C7795">
            <v>203111</v>
          </cell>
          <cell r="D7795" t="str">
            <v>JV.CUP 2016</v>
          </cell>
        </row>
        <row r="7796">
          <cell r="C7796">
            <v>300975</v>
          </cell>
          <cell r="D7796" t="str">
            <v>JV.MCG 2016</v>
          </cell>
        </row>
        <row r="7797">
          <cell r="C7797">
            <v>550005</v>
          </cell>
          <cell r="D7797" t="str">
            <v>RO 2.379X20.8 BP</v>
          </cell>
        </row>
        <row r="7798">
          <cell r="C7798">
            <v>203111</v>
          </cell>
          <cell r="D7798" t="str">
            <v>JV.CUP 2016</v>
          </cell>
        </row>
        <row r="7799">
          <cell r="C7799">
            <v>300975</v>
          </cell>
          <cell r="D7799" t="str">
            <v>JV.MCG 2016</v>
          </cell>
        </row>
        <row r="7800">
          <cell r="C7800">
            <v>550005</v>
          </cell>
          <cell r="D7800" t="str">
            <v>RO 2.379X20.8 BP</v>
          </cell>
        </row>
        <row r="7801">
          <cell r="C7801">
            <v>1423112</v>
          </cell>
          <cell r="D7801" t="str">
            <v>JV 126 MATERIAL</v>
          </cell>
        </row>
        <row r="7802">
          <cell r="C7802">
            <v>203112</v>
          </cell>
          <cell r="D7802" t="str">
            <v>JV.CUP 126</v>
          </cell>
        </row>
        <row r="7803">
          <cell r="C7803">
            <v>300974</v>
          </cell>
          <cell r="D7803" t="str">
            <v>JV.MCG 126</v>
          </cell>
        </row>
        <row r="7804">
          <cell r="C7804">
            <v>550009</v>
          </cell>
          <cell r="D7804" t="str">
            <v>RO 2.379X5 BP</v>
          </cell>
        </row>
        <row r="7805">
          <cell r="C7805">
            <v>203112</v>
          </cell>
          <cell r="D7805" t="str">
            <v>JV.CUP 126</v>
          </cell>
        </row>
        <row r="7806">
          <cell r="C7806">
            <v>300974</v>
          </cell>
          <cell r="D7806" t="str">
            <v>JV.MCG 126</v>
          </cell>
        </row>
        <row r="7807">
          <cell r="C7807">
            <v>550009</v>
          </cell>
          <cell r="D7807" t="str">
            <v>RO 2.379X5 BP</v>
          </cell>
        </row>
        <row r="7808">
          <cell r="C7808">
            <v>1423113</v>
          </cell>
          <cell r="D7808" t="str">
            <v>HK 1612 MATERIAL</v>
          </cell>
        </row>
        <row r="7809">
          <cell r="C7809">
            <v>203113</v>
          </cell>
          <cell r="D7809" t="str">
            <v>HK.CUP 1612</v>
          </cell>
        </row>
        <row r="7810">
          <cell r="C7810">
            <v>300956</v>
          </cell>
          <cell r="D7810" t="str">
            <v>HK.MCG 1612</v>
          </cell>
        </row>
        <row r="7811">
          <cell r="C7811">
            <v>503109</v>
          </cell>
          <cell r="D7811" t="str">
            <v>RO 2X7.2</v>
          </cell>
        </row>
        <row r="7812">
          <cell r="C7812">
            <v>1423113.21</v>
          </cell>
          <cell r="D7812" t="str">
            <v>HK 1612 OH MATERIAL</v>
          </cell>
        </row>
        <row r="7813">
          <cell r="C7813">
            <v>1423114</v>
          </cell>
          <cell r="D7813" t="str">
            <v>HK 2016 MATERIAL</v>
          </cell>
        </row>
        <row r="7814">
          <cell r="C7814">
            <v>203114</v>
          </cell>
          <cell r="D7814" t="str">
            <v>HK.CUP 2016</v>
          </cell>
        </row>
        <row r="7815">
          <cell r="C7815">
            <v>303114.5</v>
          </cell>
          <cell r="D7815" t="str">
            <v>HK.MCG 2020</v>
          </cell>
        </row>
        <row r="7816">
          <cell r="C7816">
            <v>511040</v>
          </cell>
          <cell r="D7816" t="str">
            <v>RO 2X11.8</v>
          </cell>
        </row>
        <row r="7817">
          <cell r="C7817">
            <v>203114.21</v>
          </cell>
          <cell r="D7817" t="str">
            <v>HK.CUP 2016 OH</v>
          </cell>
        </row>
        <row r="7818">
          <cell r="C7818">
            <v>300966</v>
          </cell>
          <cell r="D7818" t="str">
            <v>HK.MCG 2016</v>
          </cell>
        </row>
        <row r="7819">
          <cell r="C7819">
            <v>511040</v>
          </cell>
          <cell r="D7819" t="str">
            <v>RO 2X11.8</v>
          </cell>
        </row>
        <row r="7820">
          <cell r="C7820">
            <v>203114.21</v>
          </cell>
          <cell r="D7820" t="str">
            <v>HK.CUP 2016 OH</v>
          </cell>
        </row>
        <row r="7821">
          <cell r="C7821">
            <v>300966</v>
          </cell>
          <cell r="D7821" t="str">
            <v>HK.MCG 2016</v>
          </cell>
        </row>
        <row r="7822">
          <cell r="C7822">
            <v>511221</v>
          </cell>
          <cell r="D7822" t="str">
            <v>RO 2X10.8</v>
          </cell>
        </row>
        <row r="7823">
          <cell r="C7823">
            <v>203114.5</v>
          </cell>
          <cell r="D7823" t="str">
            <v>HK.CUP 2020</v>
          </cell>
        </row>
        <row r="7824">
          <cell r="C7824">
            <v>303114.5</v>
          </cell>
          <cell r="D7824" t="str">
            <v>HK.MCG 2020</v>
          </cell>
        </row>
        <row r="7825">
          <cell r="C7825">
            <v>503114.5</v>
          </cell>
          <cell r="D7825" t="str">
            <v>RO 2X14 BP</v>
          </cell>
        </row>
        <row r="7826">
          <cell r="C7826">
            <v>1423115</v>
          </cell>
          <cell r="D7826" t="str">
            <v>HK 3016 2RS MATERIAL</v>
          </cell>
        </row>
        <row r="7827">
          <cell r="C7827">
            <v>203115</v>
          </cell>
          <cell r="D7827" t="str">
            <v>HK.CUP 3016 2RS</v>
          </cell>
        </row>
        <row r="7828">
          <cell r="C7828">
            <v>300972</v>
          </cell>
          <cell r="D7828" t="str">
            <v>HK.MCG 3016 2RS</v>
          </cell>
        </row>
        <row r="7829">
          <cell r="C7829">
            <v>503115</v>
          </cell>
          <cell r="D7829" t="str">
            <v>RO 2.5X7.2</v>
          </cell>
        </row>
        <row r="7830">
          <cell r="C7830">
            <v>703115</v>
          </cell>
          <cell r="D7830" t="str">
            <v>HK.SEAL 3016 2RS</v>
          </cell>
        </row>
        <row r="7831">
          <cell r="C7831">
            <v>1423116</v>
          </cell>
          <cell r="D7831" t="str">
            <v>HK 3020 MATERIAL</v>
          </cell>
        </row>
        <row r="7832">
          <cell r="C7832">
            <v>203116</v>
          </cell>
          <cell r="D7832" t="str">
            <v>HK.CUP 3020</v>
          </cell>
        </row>
        <row r="7833">
          <cell r="C7833">
            <v>300952</v>
          </cell>
          <cell r="D7833" t="str">
            <v>HK.MCG 3020</v>
          </cell>
        </row>
        <row r="7834">
          <cell r="C7834">
            <v>503103</v>
          </cell>
          <cell r="D7834" t="str">
            <v>RO 2.5X15.2 BP</v>
          </cell>
        </row>
        <row r="7835">
          <cell r="C7835">
            <v>913001</v>
          </cell>
          <cell r="D7835" t="str">
            <v>Box 48x30x40</v>
          </cell>
        </row>
        <row r="7836">
          <cell r="C7836">
            <v>1423116.21</v>
          </cell>
          <cell r="D7836" t="str">
            <v>HK 3020 OH MATERIAL</v>
          </cell>
        </row>
        <row r="7837">
          <cell r="C7837">
            <v>203116</v>
          </cell>
          <cell r="D7837" t="str">
            <v>HK.CUP 3020</v>
          </cell>
        </row>
        <row r="7838">
          <cell r="C7838">
            <v>300952</v>
          </cell>
          <cell r="D7838" t="str">
            <v>HK.MCG 3020</v>
          </cell>
        </row>
        <row r="7839">
          <cell r="C7839">
            <v>503103</v>
          </cell>
          <cell r="D7839" t="str">
            <v>RO 2.5X15.2 BP</v>
          </cell>
        </row>
        <row r="7840">
          <cell r="C7840">
            <v>1423117</v>
          </cell>
          <cell r="D7840" t="str">
            <v>HK 0609 MATERIAL</v>
          </cell>
        </row>
        <row r="7841">
          <cell r="C7841">
            <v>203117</v>
          </cell>
          <cell r="D7841" t="str">
            <v>HK.CUP 0609</v>
          </cell>
        </row>
        <row r="7842">
          <cell r="C7842">
            <v>300953</v>
          </cell>
          <cell r="D7842" t="str">
            <v>HK.MCG 0609</v>
          </cell>
        </row>
        <row r="7843">
          <cell r="C7843">
            <v>503117.5</v>
          </cell>
          <cell r="D7843" t="str">
            <v>RO 1.5X5 BP</v>
          </cell>
        </row>
        <row r="7844">
          <cell r="C7844">
            <v>203117</v>
          </cell>
          <cell r="D7844" t="str">
            <v>HK.CUP 0609</v>
          </cell>
        </row>
        <row r="7845">
          <cell r="C7845">
            <v>303117</v>
          </cell>
          <cell r="D7845" t="str">
            <v>HK.MCG 0609</v>
          </cell>
        </row>
        <row r="7846">
          <cell r="C7846">
            <v>503117.5</v>
          </cell>
          <cell r="D7846" t="str">
            <v>RO 1.5X5 BP</v>
          </cell>
        </row>
        <row r="7847">
          <cell r="C7847">
            <v>203117</v>
          </cell>
          <cell r="D7847" t="str">
            <v>HK.CUP 0609</v>
          </cell>
        </row>
        <row r="7848">
          <cell r="C7848">
            <v>303117.11</v>
          </cell>
          <cell r="D7848" t="str">
            <v>HK.NCG 0609 2RS</v>
          </cell>
        </row>
        <row r="7849">
          <cell r="C7849">
            <v>501041.5</v>
          </cell>
          <cell r="D7849" t="str">
            <v>RO 1.5X3.5</v>
          </cell>
        </row>
        <row r="7850">
          <cell r="C7850">
            <v>703117.11</v>
          </cell>
          <cell r="D7850" t="str">
            <v>HK.SEAL 0609 2RS TN</v>
          </cell>
        </row>
        <row r="7851">
          <cell r="C7851">
            <v>203117.2</v>
          </cell>
          <cell r="D7851" t="str">
            <v>HK.CUP 0608</v>
          </cell>
        </row>
        <row r="7852">
          <cell r="C7852">
            <v>303117.2</v>
          </cell>
          <cell r="D7852" t="str">
            <v>HK.MCG 0608</v>
          </cell>
        </row>
        <row r="7853">
          <cell r="C7853">
            <v>503117.5</v>
          </cell>
          <cell r="D7853" t="str">
            <v>RO 1.5X5 BP</v>
          </cell>
        </row>
        <row r="7854">
          <cell r="C7854">
            <v>203117.5</v>
          </cell>
          <cell r="D7854" t="str">
            <v>HK.CUP 0808</v>
          </cell>
        </row>
        <row r="7855">
          <cell r="C7855">
            <v>300955</v>
          </cell>
          <cell r="D7855" t="str">
            <v>HK.MCG 0808</v>
          </cell>
        </row>
        <row r="7856">
          <cell r="C7856">
            <v>503117.5</v>
          </cell>
          <cell r="D7856" t="str">
            <v>RO 1.5X5 BP</v>
          </cell>
        </row>
        <row r="7857">
          <cell r="C7857">
            <v>203117.5</v>
          </cell>
          <cell r="D7857" t="str">
            <v>HK.CUP 0808</v>
          </cell>
        </row>
        <row r="7858">
          <cell r="C7858">
            <v>300955</v>
          </cell>
          <cell r="D7858" t="str">
            <v>HK.MCG 0808</v>
          </cell>
        </row>
        <row r="7859">
          <cell r="C7859">
            <v>503117.5</v>
          </cell>
          <cell r="D7859" t="str">
            <v>RO 1.5X5 BP</v>
          </cell>
        </row>
        <row r="7860">
          <cell r="C7860">
            <v>203117.7</v>
          </cell>
          <cell r="D7860" t="str">
            <v>BK.CUP 0810</v>
          </cell>
        </row>
        <row r="7861">
          <cell r="C7861">
            <v>300962</v>
          </cell>
          <cell r="D7861" t="str">
            <v>HK.MCG 0810</v>
          </cell>
        </row>
        <row r="7862">
          <cell r="C7862">
            <v>550006</v>
          </cell>
          <cell r="D7862" t="str">
            <v>RO 1.5X6 BP</v>
          </cell>
        </row>
        <row r="7863">
          <cell r="C7863">
            <v>1423118</v>
          </cell>
          <cell r="D7863" t="str">
            <v>HK 1012 MATERIAL</v>
          </cell>
        </row>
        <row r="7864">
          <cell r="C7864">
            <v>203118.11</v>
          </cell>
          <cell r="D7864" t="str">
            <v>HK.CUP 1012</v>
          </cell>
        </row>
        <row r="7865">
          <cell r="C7865">
            <v>300950</v>
          </cell>
          <cell r="D7865" t="str">
            <v>HK.MCG 1012</v>
          </cell>
        </row>
        <row r="7866">
          <cell r="C7866">
            <v>511427</v>
          </cell>
          <cell r="D7866" t="str">
            <v>RO 1.5X7.8 BP</v>
          </cell>
        </row>
        <row r="7867">
          <cell r="C7867">
            <v>1423118.21</v>
          </cell>
          <cell r="D7867" t="str">
            <v>HK 1012 OH MATERIAL</v>
          </cell>
        </row>
        <row r="7868">
          <cell r="C7868">
            <v>1423119</v>
          </cell>
          <cell r="D7868" t="str">
            <v>HK 2216 MATERIAL</v>
          </cell>
        </row>
        <row r="7869">
          <cell r="C7869">
            <v>203119.11</v>
          </cell>
          <cell r="D7869" t="str">
            <v>HK.CUP 2216</v>
          </cell>
        </row>
        <row r="7870">
          <cell r="C7870">
            <v>300959</v>
          </cell>
          <cell r="D7870" t="str">
            <v>HK.MCG 2216</v>
          </cell>
        </row>
        <row r="7871">
          <cell r="C7871">
            <v>511221</v>
          </cell>
          <cell r="D7871" t="str">
            <v>RO 2X10.8</v>
          </cell>
        </row>
        <row r="7872">
          <cell r="C7872">
            <v>1423119.2</v>
          </cell>
          <cell r="D7872" t="str">
            <v>HK 2216 WC MATERIAL</v>
          </cell>
        </row>
        <row r="7873">
          <cell r="C7873">
            <v>1423119.21</v>
          </cell>
          <cell r="D7873" t="str">
            <v>HK 2216 OH MATERIAL</v>
          </cell>
        </row>
        <row r="7874">
          <cell r="C7874">
            <v>203119.11</v>
          </cell>
          <cell r="D7874" t="str">
            <v>HK.CUP 2216</v>
          </cell>
        </row>
        <row r="7875">
          <cell r="C7875">
            <v>300959</v>
          </cell>
          <cell r="D7875" t="str">
            <v>HK.MCG 2216</v>
          </cell>
        </row>
        <row r="7876">
          <cell r="C7876">
            <v>511221</v>
          </cell>
          <cell r="D7876" t="str">
            <v>RO 2X10.8</v>
          </cell>
        </row>
        <row r="7877">
          <cell r="C7877">
            <v>203120</v>
          </cell>
          <cell r="D7877" t="str">
            <v>HK.CUP 1312</v>
          </cell>
        </row>
        <row r="7878">
          <cell r="C7878">
            <v>303120</v>
          </cell>
          <cell r="D7878" t="str">
            <v>HK.MCG 1312</v>
          </cell>
        </row>
        <row r="7879">
          <cell r="C7879">
            <v>500391.22</v>
          </cell>
          <cell r="D7879" t="str">
            <v>RO 2X6.8 BP</v>
          </cell>
        </row>
        <row r="7880">
          <cell r="C7880">
            <v>1423120.21</v>
          </cell>
          <cell r="D7880" t="str">
            <v>HK 1312 OH  MATERIAL</v>
          </cell>
        </row>
        <row r="7881">
          <cell r="C7881">
            <v>203120.31</v>
          </cell>
          <cell r="D7881" t="str">
            <v>BK.CUP 1312</v>
          </cell>
        </row>
        <row r="7882">
          <cell r="C7882">
            <v>303120</v>
          </cell>
          <cell r="D7882" t="str">
            <v>HK.MCG 1312</v>
          </cell>
        </row>
        <row r="7883">
          <cell r="C7883">
            <v>500391.22</v>
          </cell>
          <cell r="D7883" t="str">
            <v>RO 2X6.8 BP</v>
          </cell>
        </row>
        <row r="7884">
          <cell r="C7884">
            <v>203121</v>
          </cell>
          <cell r="D7884" t="str">
            <v>HK.CUP 2212</v>
          </cell>
        </row>
        <row r="7885">
          <cell r="C7885">
            <v>300965</v>
          </cell>
          <cell r="D7885" t="str">
            <v>HK.MCG 2212</v>
          </cell>
        </row>
        <row r="7886">
          <cell r="C7886">
            <v>503109</v>
          </cell>
          <cell r="D7886" t="str">
            <v>RO 2X7.2</v>
          </cell>
        </row>
        <row r="7887">
          <cell r="C7887">
            <v>203121.1</v>
          </cell>
          <cell r="D7887" t="str">
            <v>HK.CUP 2210</v>
          </cell>
        </row>
        <row r="7888">
          <cell r="C7888">
            <v>300963</v>
          </cell>
          <cell r="D7888" t="str">
            <v>HK.MCG 2210</v>
          </cell>
        </row>
        <row r="7889">
          <cell r="C7889">
            <v>511091</v>
          </cell>
          <cell r="D7889" t="str">
            <v>RO 2X5.8</v>
          </cell>
        </row>
        <row r="7890">
          <cell r="C7890">
            <v>203121.3</v>
          </cell>
          <cell r="D7890" t="str">
            <v>HK.CUP 222930</v>
          </cell>
        </row>
        <row r="7891">
          <cell r="C7891">
            <v>303121.3</v>
          </cell>
          <cell r="D7891" t="str">
            <v>HK.MCG 222930</v>
          </cell>
        </row>
        <row r="7892">
          <cell r="C7892">
            <v>511446</v>
          </cell>
          <cell r="D7892" t="str">
            <v>RO 2.5X23.8</v>
          </cell>
        </row>
        <row r="7893">
          <cell r="C7893">
            <v>1423122</v>
          </cell>
          <cell r="D7893" t="str">
            <v>HK 1516 MATERIAL</v>
          </cell>
        </row>
        <row r="7894">
          <cell r="C7894">
            <v>203123</v>
          </cell>
          <cell r="D7894" t="str">
            <v>BK.CUP 1010</v>
          </cell>
        </row>
        <row r="7895">
          <cell r="C7895">
            <v>203123</v>
          </cell>
          <cell r="D7895" t="str">
            <v>BK.CUP 1010</v>
          </cell>
        </row>
        <row r="7896">
          <cell r="C7896">
            <v>303123</v>
          </cell>
          <cell r="D7896" t="str">
            <v>BK.MCG 1010</v>
          </cell>
        </row>
        <row r="7897">
          <cell r="C7897">
            <v>303123</v>
          </cell>
          <cell r="D7897" t="str">
            <v>BK.MCG 1010</v>
          </cell>
        </row>
        <row r="7898">
          <cell r="C7898">
            <v>550004</v>
          </cell>
          <cell r="D7898" t="str">
            <v>RO 1.5X6.2 BP</v>
          </cell>
        </row>
        <row r="7899">
          <cell r="C7899">
            <v>550006</v>
          </cell>
          <cell r="D7899" t="str">
            <v>RO 1.5X6 BP</v>
          </cell>
        </row>
        <row r="7900">
          <cell r="C7900">
            <v>203124</v>
          </cell>
          <cell r="D7900" t="str">
            <v>HK.CUP 0812 2RS</v>
          </cell>
        </row>
        <row r="7901">
          <cell r="C7901">
            <v>300955</v>
          </cell>
          <cell r="D7901" t="str">
            <v>HK.MCG 0808</v>
          </cell>
        </row>
        <row r="7902">
          <cell r="C7902">
            <v>503117.5</v>
          </cell>
          <cell r="D7902" t="str">
            <v>RO 1.5X5 BP</v>
          </cell>
        </row>
        <row r="7903">
          <cell r="C7903">
            <v>703124</v>
          </cell>
          <cell r="D7903" t="str">
            <v>HK.SEAL 0812 2RS FKM</v>
          </cell>
        </row>
        <row r="7904">
          <cell r="C7904">
            <v>203125</v>
          </cell>
          <cell r="D7904" t="str">
            <v>JV.CUP 2012</v>
          </cell>
        </row>
        <row r="7905">
          <cell r="C7905">
            <v>300973</v>
          </cell>
          <cell r="D7905" t="str">
            <v>JV.MCG 2012</v>
          </cell>
        </row>
        <row r="7906">
          <cell r="C7906">
            <v>550003</v>
          </cell>
          <cell r="D7906" t="str">
            <v>RO 2.379X14.8 BP</v>
          </cell>
        </row>
        <row r="7907">
          <cell r="C7907">
            <v>203125</v>
          </cell>
          <cell r="D7907" t="str">
            <v>JV.CUP 2012</v>
          </cell>
        </row>
        <row r="7908">
          <cell r="C7908">
            <v>300973</v>
          </cell>
          <cell r="D7908" t="str">
            <v>JV.MCG 2012</v>
          </cell>
        </row>
        <row r="7909">
          <cell r="C7909">
            <v>550003</v>
          </cell>
          <cell r="D7909" t="str">
            <v>RO 2.379X14.8 BP</v>
          </cell>
        </row>
        <row r="7910">
          <cell r="C7910">
            <v>203128</v>
          </cell>
          <cell r="D7910" t="str">
            <v>HK.CUP 3038</v>
          </cell>
        </row>
        <row r="7911">
          <cell r="C7911">
            <v>303128</v>
          </cell>
          <cell r="D7911" t="str">
            <v>HK.MCG 3038</v>
          </cell>
        </row>
        <row r="7912">
          <cell r="C7912">
            <v>503103</v>
          </cell>
          <cell r="D7912" t="str">
            <v>RO 2.5X15.2 BP</v>
          </cell>
        </row>
        <row r="7913">
          <cell r="C7913">
            <v>203129</v>
          </cell>
          <cell r="D7913" t="str">
            <v>HK.CUP 2012</v>
          </cell>
        </row>
        <row r="7914">
          <cell r="C7914">
            <v>303129</v>
          </cell>
          <cell r="D7914" t="str">
            <v>HK.MCG 2012</v>
          </cell>
        </row>
        <row r="7915">
          <cell r="C7915">
            <v>503109</v>
          </cell>
          <cell r="D7915" t="str">
            <v>RO 2X7.2</v>
          </cell>
        </row>
        <row r="7916">
          <cell r="C7916">
            <v>203129.1</v>
          </cell>
          <cell r="D7916" t="str">
            <v>HK.CUP 2014</v>
          </cell>
        </row>
        <row r="7917">
          <cell r="C7917">
            <v>303129.09999999998</v>
          </cell>
          <cell r="D7917" t="str">
            <v>HK.MCG 2014</v>
          </cell>
        </row>
        <row r="7918">
          <cell r="C7918">
            <v>503129.1</v>
          </cell>
          <cell r="D7918" t="str">
            <v>RO 2X8.8 BP</v>
          </cell>
        </row>
        <row r="7919">
          <cell r="C7919">
            <v>203130</v>
          </cell>
          <cell r="D7919" t="str">
            <v>HK.CUP 3016</v>
          </cell>
        </row>
        <row r="7920">
          <cell r="C7920">
            <v>303130</v>
          </cell>
          <cell r="D7920" t="str">
            <v>HK.MCG 3016</v>
          </cell>
        </row>
        <row r="7921">
          <cell r="C7921">
            <v>503130</v>
          </cell>
          <cell r="D7921" t="str">
            <v>RO 2.5X11.2</v>
          </cell>
        </row>
        <row r="7922">
          <cell r="C7922">
            <v>203131</v>
          </cell>
          <cell r="D7922" t="str">
            <v>HK.CUP 3516</v>
          </cell>
        </row>
        <row r="7923">
          <cell r="C7923">
            <v>303131</v>
          </cell>
          <cell r="D7923" t="str">
            <v>HK.MCG 3516</v>
          </cell>
        </row>
        <row r="7924">
          <cell r="C7924">
            <v>503130</v>
          </cell>
          <cell r="D7924" t="str">
            <v>RO 2.5X11.2</v>
          </cell>
        </row>
        <row r="7925">
          <cell r="C7925">
            <v>203132</v>
          </cell>
          <cell r="D7925" t="str">
            <v>HK.CUP 2030</v>
          </cell>
        </row>
        <row r="7926">
          <cell r="C7926">
            <v>303132</v>
          </cell>
          <cell r="D7926" t="str">
            <v>HK.MCG 2030</v>
          </cell>
        </row>
        <row r="7927">
          <cell r="C7927">
            <v>550001</v>
          </cell>
          <cell r="D7927" t="str">
            <v>RO 2X11.8</v>
          </cell>
        </row>
        <row r="7928">
          <cell r="C7928">
            <v>203133</v>
          </cell>
          <cell r="D7928" t="str">
            <v>JV.CUP 90019</v>
          </cell>
        </row>
        <row r="7929">
          <cell r="C7929">
            <v>303133</v>
          </cell>
          <cell r="D7929" t="str">
            <v>JV.MCG 90019</v>
          </cell>
        </row>
        <row r="7930">
          <cell r="C7930">
            <v>503133.02</v>
          </cell>
          <cell r="D7930" t="str">
            <v>RO 3.15X10.8 BP</v>
          </cell>
        </row>
        <row r="7931">
          <cell r="C7931">
            <v>203134</v>
          </cell>
          <cell r="D7931" t="str">
            <v>SCE.CUP 228</v>
          </cell>
        </row>
        <row r="7932">
          <cell r="C7932">
            <v>303134</v>
          </cell>
          <cell r="D7932" t="str">
            <v>SCE.MCG 228</v>
          </cell>
        </row>
        <row r="7933">
          <cell r="C7933">
            <v>503134.01</v>
          </cell>
          <cell r="D7933" t="str">
            <v>RO 2.286X8.5 BP</v>
          </cell>
        </row>
        <row r="7934">
          <cell r="C7934">
            <v>203135</v>
          </cell>
          <cell r="D7934" t="str">
            <v>SCE.CUP 1212</v>
          </cell>
        </row>
        <row r="7935">
          <cell r="C7935">
            <v>303135</v>
          </cell>
          <cell r="D7935" t="str">
            <v>SCE.MCG 1212</v>
          </cell>
        </row>
        <row r="7936">
          <cell r="C7936">
            <v>550003</v>
          </cell>
          <cell r="D7936" t="str">
            <v>RO 2.379X14.8 BP</v>
          </cell>
        </row>
        <row r="7937">
          <cell r="C7937">
            <v>203135.1</v>
          </cell>
          <cell r="D7937" t="str">
            <v>SCE.CUP 129</v>
          </cell>
        </row>
        <row r="7938">
          <cell r="C7938">
            <v>303135.09999999998</v>
          </cell>
          <cell r="D7938" t="str">
            <v>SCE.MCG 129</v>
          </cell>
        </row>
        <row r="7939">
          <cell r="C7939">
            <v>503135.1</v>
          </cell>
          <cell r="D7939" t="str">
            <v>RO 2.2X9.80 BP</v>
          </cell>
        </row>
        <row r="7940">
          <cell r="C7940">
            <v>203136</v>
          </cell>
          <cell r="D7940" t="str">
            <v>HK.CUP 384510</v>
          </cell>
        </row>
        <row r="7941">
          <cell r="C7941">
            <v>303136</v>
          </cell>
          <cell r="D7941" t="str">
            <v>HK.MCG 384510</v>
          </cell>
        </row>
        <row r="7942">
          <cell r="C7942">
            <v>503136</v>
          </cell>
          <cell r="D7942" t="str">
            <v>RO 2.5X5.6 BP</v>
          </cell>
        </row>
        <row r="7943">
          <cell r="C7943">
            <v>503138</v>
          </cell>
          <cell r="D7943" t="str">
            <v>RO 2.778X11.17 BR</v>
          </cell>
        </row>
        <row r="7944">
          <cell r="C7944">
            <v>503139</v>
          </cell>
          <cell r="D7944" t="str">
            <v>RO 3.20X19.3 BR</v>
          </cell>
        </row>
        <row r="7945">
          <cell r="C7945">
            <v>203140</v>
          </cell>
          <cell r="D7945" t="str">
            <v>RL.CUP 2012</v>
          </cell>
        </row>
        <row r="7946">
          <cell r="C7946">
            <v>503140</v>
          </cell>
          <cell r="D7946" t="str">
            <v>RO 3.70X16.60 T TYPE</v>
          </cell>
        </row>
        <row r="7947">
          <cell r="C7947">
            <v>203141</v>
          </cell>
          <cell r="D7947" t="str">
            <v>HK.CUP 1214 RS</v>
          </cell>
        </row>
        <row r="7948">
          <cell r="C7948">
            <v>303107.3</v>
          </cell>
          <cell r="D7948" t="str">
            <v>HK.MCG 1212</v>
          </cell>
        </row>
        <row r="7949">
          <cell r="C7949">
            <v>503107.3</v>
          </cell>
          <cell r="D7949" t="str">
            <v>RO 2X7.3 BP</v>
          </cell>
        </row>
        <row r="7950">
          <cell r="C7950">
            <v>703141</v>
          </cell>
          <cell r="D7950" t="str">
            <v>HK.SEAL 1214 RS</v>
          </cell>
        </row>
        <row r="7951">
          <cell r="C7951">
            <v>203141</v>
          </cell>
          <cell r="D7951" t="str">
            <v>HK.CUP 1214 RS</v>
          </cell>
        </row>
        <row r="7952">
          <cell r="C7952">
            <v>303107.3</v>
          </cell>
          <cell r="D7952" t="str">
            <v>HK.MCG 1212</v>
          </cell>
        </row>
        <row r="7953">
          <cell r="C7953">
            <v>503107.3</v>
          </cell>
          <cell r="D7953" t="str">
            <v>RO 2X7.3 BP</v>
          </cell>
        </row>
        <row r="7954">
          <cell r="C7954">
            <v>703141.1</v>
          </cell>
          <cell r="D7954" t="str">
            <v>HK.SEAL 1214 RS FKM</v>
          </cell>
        </row>
        <row r="7955">
          <cell r="C7955">
            <v>203141</v>
          </cell>
          <cell r="D7955" t="str">
            <v>HK.CUP 1214 RS</v>
          </cell>
        </row>
        <row r="7956">
          <cell r="C7956">
            <v>303141.2</v>
          </cell>
          <cell r="D7956" t="str">
            <v>HK.NCG 1214 RS</v>
          </cell>
        </row>
        <row r="7957">
          <cell r="C7957">
            <v>503107.3</v>
          </cell>
          <cell r="D7957" t="str">
            <v>RO 2X7.3 BP</v>
          </cell>
        </row>
        <row r="7958">
          <cell r="C7958">
            <v>703141</v>
          </cell>
          <cell r="D7958" t="str">
            <v>HK.SEAL 1214 RS</v>
          </cell>
        </row>
        <row r="7959">
          <cell r="C7959">
            <v>203142</v>
          </cell>
          <cell r="D7959" t="str">
            <v>HK.CUP 1712</v>
          </cell>
        </row>
        <row r="7960">
          <cell r="C7960">
            <v>303142</v>
          </cell>
          <cell r="D7960" t="str">
            <v>HK.MCG 1712</v>
          </cell>
        </row>
        <row r="7961">
          <cell r="C7961">
            <v>503107.3</v>
          </cell>
          <cell r="D7961" t="str">
            <v>RO 2X7.3 BP</v>
          </cell>
        </row>
        <row r="7962">
          <cell r="C7962">
            <v>203142.1</v>
          </cell>
          <cell r="D7962" t="str">
            <v>HK.CUP 1816</v>
          </cell>
        </row>
        <row r="7963">
          <cell r="C7963">
            <v>303142.09999999998</v>
          </cell>
          <cell r="D7963" t="str">
            <v>HK.MCG 1816</v>
          </cell>
        </row>
        <row r="7964">
          <cell r="C7964">
            <v>511001</v>
          </cell>
          <cell r="D7964" t="str">
            <v>RO 2X9.8</v>
          </cell>
        </row>
        <row r="7965">
          <cell r="C7965">
            <v>203142.2</v>
          </cell>
          <cell r="D7965" t="str">
            <v>HK.CUP 1812</v>
          </cell>
        </row>
        <row r="7966">
          <cell r="C7966">
            <v>303142.2</v>
          </cell>
          <cell r="D7966" t="str">
            <v>HK.MCG 1812</v>
          </cell>
        </row>
        <row r="7967">
          <cell r="C7967">
            <v>503109</v>
          </cell>
          <cell r="D7967" t="str">
            <v>RO 2X7.2</v>
          </cell>
        </row>
        <row r="7968">
          <cell r="C7968">
            <v>203143</v>
          </cell>
          <cell r="D7968" t="str">
            <v>DL.CUP 3020</v>
          </cell>
        </row>
        <row r="7969">
          <cell r="C7969">
            <v>503143</v>
          </cell>
          <cell r="D7969" t="str">
            <v>RO 3.148X18.05 M.RO</v>
          </cell>
        </row>
        <row r="7970">
          <cell r="C7970">
            <v>303144</v>
          </cell>
          <cell r="D7970" t="str">
            <v>K.CAGE 08X11X08</v>
          </cell>
        </row>
        <row r="7971">
          <cell r="C7971">
            <v>203145</v>
          </cell>
          <cell r="D7971" t="str">
            <v>HK.CUP 354320</v>
          </cell>
        </row>
        <row r="7972">
          <cell r="C7972">
            <v>303145</v>
          </cell>
          <cell r="D7972" t="str">
            <v>HK.MCG 354320</v>
          </cell>
        </row>
        <row r="7973">
          <cell r="C7973">
            <v>503145</v>
          </cell>
          <cell r="D7973" t="str">
            <v>RO 3.148X14.8 BP</v>
          </cell>
        </row>
        <row r="7974">
          <cell r="C7974">
            <v>203146</v>
          </cell>
          <cell r="D7974" t="str">
            <v>HK.CUP 202918 RS</v>
          </cell>
        </row>
        <row r="7975">
          <cell r="C7975">
            <v>303146</v>
          </cell>
          <cell r="D7975" t="str">
            <v>HK.MCG 202918 RS</v>
          </cell>
        </row>
        <row r="7976">
          <cell r="C7976">
            <v>503146</v>
          </cell>
          <cell r="D7976" t="str">
            <v>RO 3.50X10.3 BP</v>
          </cell>
        </row>
        <row r="7977">
          <cell r="C7977">
            <v>703146</v>
          </cell>
          <cell r="D7977" t="str">
            <v>HK.SEAL 202918 RS</v>
          </cell>
        </row>
        <row r="7978">
          <cell r="C7978">
            <v>203147</v>
          </cell>
          <cell r="D7978" t="str">
            <v>HK.CUP 1314 RS</v>
          </cell>
        </row>
        <row r="7979">
          <cell r="C7979">
            <v>303120</v>
          </cell>
          <cell r="D7979" t="str">
            <v>HK.MCG 1312</v>
          </cell>
        </row>
        <row r="7980">
          <cell r="C7980">
            <v>500391.22</v>
          </cell>
          <cell r="D7980" t="str">
            <v>RO 2X6.8 BP</v>
          </cell>
        </row>
        <row r="7981">
          <cell r="C7981">
            <v>703147</v>
          </cell>
          <cell r="D7981" t="str">
            <v>HK.SEAL 1314 RS</v>
          </cell>
        </row>
        <row r="7982">
          <cell r="C7982">
            <v>204001</v>
          </cell>
          <cell r="D7982" t="str">
            <v>TR.OR 506430</v>
          </cell>
        </row>
        <row r="7983">
          <cell r="C7983">
            <v>304001</v>
          </cell>
          <cell r="D7983" t="str">
            <v>TR.MCG 506430</v>
          </cell>
        </row>
        <row r="7984">
          <cell r="C7984">
            <v>504001</v>
          </cell>
          <cell r="D7984" t="str">
            <v>RO 4.5X23.8</v>
          </cell>
        </row>
        <row r="7985">
          <cell r="C7985">
            <v>204001</v>
          </cell>
          <cell r="D7985" t="str">
            <v>TR.OR 506430</v>
          </cell>
        </row>
        <row r="7986">
          <cell r="C7986">
            <v>304001</v>
          </cell>
          <cell r="D7986" t="str">
            <v>TR.MCG 506430</v>
          </cell>
        </row>
        <row r="7987">
          <cell r="C7987">
            <v>504001</v>
          </cell>
          <cell r="D7987" t="str">
            <v>RO 4.5X23.8</v>
          </cell>
        </row>
        <row r="7988">
          <cell r="C7988">
            <v>104002</v>
          </cell>
          <cell r="D7988" t="str">
            <v>SHAFT 10x23</v>
          </cell>
        </row>
        <row r="7989">
          <cell r="C7989">
            <v>104003</v>
          </cell>
          <cell r="D7989" t="str">
            <v>SHAFT 16x39.3</v>
          </cell>
        </row>
        <row r="7990">
          <cell r="C7990">
            <v>104004</v>
          </cell>
          <cell r="D7990" t="str">
            <v>SHAFT 12X70</v>
          </cell>
        </row>
        <row r="7991">
          <cell r="C7991">
            <v>104005</v>
          </cell>
          <cell r="D7991" t="str">
            <v>SHAFT 8 X 37.5</v>
          </cell>
        </row>
        <row r="7992">
          <cell r="C7992">
            <v>100006</v>
          </cell>
          <cell r="D7992" t="str">
            <v>SHAFT10X74</v>
          </cell>
        </row>
        <row r="7993">
          <cell r="C7993">
            <v>100007</v>
          </cell>
          <cell r="D7993" t="str">
            <v>SHAFT10X42</v>
          </cell>
        </row>
        <row r="7994">
          <cell r="C7994">
            <v>100009</v>
          </cell>
          <cell r="D7994" t="str">
            <v>SHAFT 6X21.8</v>
          </cell>
        </row>
        <row r="7995">
          <cell r="C7995">
            <v>104010</v>
          </cell>
          <cell r="D7995" t="str">
            <v>IR.TS000008 (Ø30x50)</v>
          </cell>
        </row>
        <row r="7996">
          <cell r="C7996">
            <v>204010</v>
          </cell>
          <cell r="D7996" t="str">
            <v>OR.TS000008 (Ø30x50)</v>
          </cell>
        </row>
        <row r="7997">
          <cell r="C7997">
            <v>304010</v>
          </cell>
          <cell r="D7997" t="str">
            <v>NCG.TS000008 (Ø30x50)</v>
          </cell>
        </row>
        <row r="7998">
          <cell r="C7998">
            <v>511187</v>
          </cell>
          <cell r="D7998" t="str">
            <v>BALL 05/32"(IS:2898-1976)</v>
          </cell>
        </row>
        <row r="7999">
          <cell r="C7999">
            <v>5221247</v>
          </cell>
          <cell r="D7999" t="str">
            <v>O G SHELL GADUS S2 V100 3</v>
          </cell>
        </row>
        <row r="8000">
          <cell r="C8000">
            <v>704010</v>
          </cell>
          <cell r="D8000" t="str">
            <v>SEAL.TS000008 (Ø30x50)</v>
          </cell>
        </row>
        <row r="8001">
          <cell r="C8001">
            <v>100011</v>
          </cell>
          <cell r="D8001" t="str">
            <v>IR.TS000045 (Ø23x45)</v>
          </cell>
        </row>
        <row r="8002">
          <cell r="C8002">
            <v>204011</v>
          </cell>
          <cell r="D8002" t="str">
            <v>OR.TS000045 (Ø23x45)</v>
          </cell>
        </row>
        <row r="8003">
          <cell r="C8003">
            <v>304011</v>
          </cell>
          <cell r="D8003" t="str">
            <v>NCG.TS000045 (Ø23x45)</v>
          </cell>
        </row>
        <row r="8004">
          <cell r="C8004">
            <v>511187</v>
          </cell>
          <cell r="D8004" t="str">
            <v>BALL 05/32"(IS:2898-1976)</v>
          </cell>
        </row>
        <row r="8005">
          <cell r="C8005">
            <v>5221247</v>
          </cell>
          <cell r="D8005" t="str">
            <v>O G SHELL GADUS S2 V100 3</v>
          </cell>
        </row>
        <row r="8006">
          <cell r="C8006">
            <v>704011</v>
          </cell>
          <cell r="D8006" t="str">
            <v>SEAL.TS000045 (Ø23x45)</v>
          </cell>
        </row>
        <row r="8007">
          <cell r="C8007">
            <v>104012</v>
          </cell>
          <cell r="D8007" t="str">
            <v>IR.TS000001-1 (Ø30x16)</v>
          </cell>
        </row>
        <row r="8008">
          <cell r="C8008">
            <v>104012.01</v>
          </cell>
          <cell r="D8008" t="str">
            <v>SHAFT.TS000001-1 (Ø30x16)</v>
          </cell>
        </row>
        <row r="8009">
          <cell r="C8009">
            <v>204012</v>
          </cell>
          <cell r="D8009" t="str">
            <v>OR.TS000001-1 (Ø30x16)</v>
          </cell>
        </row>
        <row r="8010">
          <cell r="C8010">
            <v>304012</v>
          </cell>
          <cell r="D8010" t="str">
            <v>NCG.TS000001-1 (Ø30x16)</v>
          </cell>
        </row>
        <row r="8011">
          <cell r="C8011">
            <v>511170</v>
          </cell>
          <cell r="D8011" t="str">
            <v>BALL 3/16" (IS:2898-1976)</v>
          </cell>
        </row>
        <row r="8012">
          <cell r="C8012">
            <v>5221247</v>
          </cell>
          <cell r="D8012" t="str">
            <v>O G SHELL GADUS S2 V100 3</v>
          </cell>
        </row>
        <row r="8013">
          <cell r="C8013">
            <v>704012</v>
          </cell>
          <cell r="D8013" t="str">
            <v>SEAL.TS000001-1 (Ø30x16)</v>
          </cell>
        </row>
        <row r="8014">
          <cell r="C8014">
            <v>704012.01</v>
          </cell>
          <cell r="D8014" t="str">
            <v>PULLY.TS000001-1 (Ø30x16)</v>
          </cell>
        </row>
        <row r="8015">
          <cell r="C8015">
            <v>704012.02</v>
          </cell>
          <cell r="D8015" t="str">
            <v>SANP.RTS000001-1 (Ø30x16)</v>
          </cell>
        </row>
        <row r="8016">
          <cell r="C8016">
            <v>1424013</v>
          </cell>
          <cell r="D8016" t="str">
            <v>TB03 MATERIAL</v>
          </cell>
        </row>
        <row r="8017">
          <cell r="C8017">
            <v>1424014</v>
          </cell>
          <cell r="D8017" t="str">
            <v>TB04 MATERIAL</v>
          </cell>
        </row>
        <row r="8018">
          <cell r="C8018">
            <v>1424015</v>
          </cell>
          <cell r="D8018" t="str">
            <v>TB05 MATERIAL</v>
          </cell>
        </row>
        <row r="8019">
          <cell r="C8019">
            <v>1424016</v>
          </cell>
          <cell r="D8019" t="str">
            <v>TOP ROLLER-Ø13x91 MAT</v>
          </cell>
        </row>
        <row r="8020">
          <cell r="C8020">
            <v>304016</v>
          </cell>
          <cell r="D8020" t="str">
            <v>NCG.Ø13x91</v>
          </cell>
        </row>
        <row r="8021">
          <cell r="C8021">
            <v>704016</v>
          </cell>
          <cell r="D8021" t="str">
            <v>SIDE CAP RC L RED</v>
          </cell>
        </row>
        <row r="8022">
          <cell r="C8022">
            <v>704016.01</v>
          </cell>
          <cell r="D8022" t="str">
            <v>SIDE CAP RC L BLACK</v>
          </cell>
        </row>
        <row r="8023">
          <cell r="C8023">
            <v>104017</v>
          </cell>
          <cell r="D8023" t="str">
            <v>SHAFT.6.00X34.7</v>
          </cell>
        </row>
        <row r="8024">
          <cell r="C8024">
            <v>104018</v>
          </cell>
          <cell r="D8024" t="str">
            <v>SHAFT.6.00X26.00</v>
          </cell>
        </row>
        <row r="8025">
          <cell r="C8025">
            <v>505001</v>
          </cell>
          <cell r="D8025" t="str">
            <v>RO 4X39.8 BR</v>
          </cell>
        </row>
        <row r="8026">
          <cell r="C8026">
            <v>105100.1</v>
          </cell>
          <cell r="D8026" t="str">
            <v>GE.IR 4E</v>
          </cell>
        </row>
        <row r="8027">
          <cell r="C8027">
            <v>205100.1</v>
          </cell>
          <cell r="D8027" t="str">
            <v>GE.OR 4E</v>
          </cell>
        </row>
        <row r="8028">
          <cell r="C8028">
            <v>105100.2</v>
          </cell>
          <cell r="D8028" t="str">
            <v>GE.IR 5E</v>
          </cell>
        </row>
        <row r="8029">
          <cell r="C8029">
            <v>205100.2</v>
          </cell>
          <cell r="D8029" t="str">
            <v>GE.OR 5E</v>
          </cell>
        </row>
        <row r="8030">
          <cell r="C8030">
            <v>105100.25</v>
          </cell>
          <cell r="D8030" t="str">
            <v>GE.IR 5X13X8</v>
          </cell>
        </row>
        <row r="8031">
          <cell r="C8031">
            <v>205100.25</v>
          </cell>
          <cell r="D8031" t="str">
            <v>GE.OR 5X13X8</v>
          </cell>
        </row>
        <row r="8032">
          <cell r="C8032">
            <v>105100.3</v>
          </cell>
          <cell r="D8032" t="str">
            <v>GE.IR 12</v>
          </cell>
        </row>
        <row r="8033">
          <cell r="C8033">
            <v>205100.3</v>
          </cell>
          <cell r="D8033" t="str">
            <v>GE.OR 12</v>
          </cell>
        </row>
        <row r="8034">
          <cell r="C8034">
            <v>105100.6</v>
          </cell>
          <cell r="D8034" t="str">
            <v>GE.IR 6E</v>
          </cell>
        </row>
        <row r="8035">
          <cell r="C8035">
            <v>205100.2</v>
          </cell>
          <cell r="D8035" t="str">
            <v>GE.OR 5E</v>
          </cell>
        </row>
        <row r="8036">
          <cell r="C8036">
            <v>105100.7</v>
          </cell>
          <cell r="D8036" t="str">
            <v>GE.IR 8E</v>
          </cell>
        </row>
        <row r="8037">
          <cell r="C8037">
            <v>205100.7</v>
          </cell>
          <cell r="D8037" t="str">
            <v>GE. OR 8E</v>
          </cell>
        </row>
        <row r="8038">
          <cell r="C8038">
            <v>105100.8</v>
          </cell>
          <cell r="D8038" t="str">
            <v>GE.IR 10E</v>
          </cell>
        </row>
        <row r="8039">
          <cell r="C8039">
            <v>205100.79999999999</v>
          </cell>
          <cell r="D8039" t="str">
            <v>GE. OR 10E</v>
          </cell>
        </row>
        <row r="8040">
          <cell r="C8040">
            <v>105100.95</v>
          </cell>
          <cell r="D8040" t="str">
            <v>GE.IR 15ES-2RS</v>
          </cell>
        </row>
        <row r="8041">
          <cell r="C8041">
            <v>205100.95</v>
          </cell>
          <cell r="D8041" t="str">
            <v>GE. OR 15ES-2RS</v>
          </cell>
        </row>
        <row r="8042">
          <cell r="C8042">
            <v>105100.95</v>
          </cell>
          <cell r="D8042" t="str">
            <v>GE.IR 15ES-2RS</v>
          </cell>
        </row>
        <row r="8043">
          <cell r="C8043">
            <v>205100.95</v>
          </cell>
          <cell r="D8043" t="str">
            <v>GE. OR 15ES-2RS</v>
          </cell>
        </row>
        <row r="8044">
          <cell r="C8044">
            <v>705100.95</v>
          </cell>
          <cell r="D8044" t="str">
            <v>GE.SEAL 15ES-2RS</v>
          </cell>
        </row>
        <row r="8045">
          <cell r="C8045">
            <v>105100.96</v>
          </cell>
          <cell r="D8045" t="str">
            <v>GE.IR 152513</v>
          </cell>
        </row>
        <row r="8046">
          <cell r="C8046">
            <v>205100.96</v>
          </cell>
          <cell r="D8046" t="str">
            <v>GE.OR 152513</v>
          </cell>
        </row>
        <row r="8047">
          <cell r="C8047">
            <v>205101</v>
          </cell>
          <cell r="D8047" t="str">
            <v>T.W 88</v>
          </cell>
        </row>
        <row r="8048">
          <cell r="C8048">
            <v>305101</v>
          </cell>
          <cell r="D8048" t="str">
            <v>T.CAGE 88</v>
          </cell>
        </row>
        <row r="8049">
          <cell r="C8049">
            <v>505101</v>
          </cell>
          <cell r="D8049" t="str">
            <v>RO 7.85X6.34 TR</v>
          </cell>
        </row>
        <row r="8050">
          <cell r="C8050">
            <v>705101</v>
          </cell>
          <cell r="D8050" t="str">
            <v>T.COVER 88</v>
          </cell>
        </row>
        <row r="8051">
          <cell r="C8051">
            <v>105102.15</v>
          </cell>
          <cell r="D8051" t="str">
            <v>GE.IR 17ES-2RS</v>
          </cell>
        </row>
        <row r="8052">
          <cell r="C8052">
            <v>205102.15</v>
          </cell>
          <cell r="D8052" t="str">
            <v>GE.OR 17ES-2RS</v>
          </cell>
        </row>
        <row r="8053">
          <cell r="C8053">
            <v>105102.15</v>
          </cell>
          <cell r="D8053" t="str">
            <v>GE.IR 17ES-2RS</v>
          </cell>
        </row>
        <row r="8054">
          <cell r="C8054">
            <v>205102.15</v>
          </cell>
          <cell r="D8054" t="str">
            <v>GE.OR 17ES-2RS</v>
          </cell>
        </row>
        <row r="8055">
          <cell r="C8055">
            <v>705102.15</v>
          </cell>
          <cell r="D8055" t="str">
            <v>GE.SEAL 17ES-2RS</v>
          </cell>
        </row>
        <row r="8056">
          <cell r="C8056">
            <v>105102.25</v>
          </cell>
          <cell r="D8056" t="str">
            <v>GE.IR 20ES-2RS</v>
          </cell>
        </row>
        <row r="8057">
          <cell r="C8057">
            <v>205102.25</v>
          </cell>
          <cell r="D8057" t="str">
            <v>GE.OR 20ES-2RS</v>
          </cell>
        </row>
        <row r="8058">
          <cell r="C8058">
            <v>105102.21</v>
          </cell>
          <cell r="D8058" t="str">
            <v>GE.IR 20ES</v>
          </cell>
        </row>
        <row r="8059">
          <cell r="C8059">
            <v>205102.21</v>
          </cell>
          <cell r="D8059" t="str">
            <v>GE.OR 20ES</v>
          </cell>
        </row>
        <row r="8060">
          <cell r="C8060">
            <v>105102.25</v>
          </cell>
          <cell r="D8060" t="str">
            <v>GE.IR 20ES-2RS</v>
          </cell>
        </row>
        <row r="8061">
          <cell r="C8061">
            <v>205102.25</v>
          </cell>
          <cell r="D8061" t="str">
            <v>GE.OR 20ES-2RS</v>
          </cell>
        </row>
        <row r="8062">
          <cell r="C8062">
            <v>705102.25</v>
          </cell>
          <cell r="D8062" t="str">
            <v>GE.SEAL 20ES-2RS</v>
          </cell>
        </row>
        <row r="8063">
          <cell r="C8063">
            <v>105102.35</v>
          </cell>
          <cell r="D8063" t="str">
            <v>GE.IR 25ES-2RS</v>
          </cell>
        </row>
        <row r="8064">
          <cell r="C8064">
            <v>205102.35</v>
          </cell>
          <cell r="D8064" t="str">
            <v>GE.OR 25ES-2RS</v>
          </cell>
        </row>
        <row r="8065">
          <cell r="C8065">
            <v>105102.31</v>
          </cell>
          <cell r="D8065" t="str">
            <v>GE.IR 25ES</v>
          </cell>
        </row>
        <row r="8066">
          <cell r="C8066">
            <v>205102.31</v>
          </cell>
          <cell r="D8066" t="str">
            <v>GE.OR 25ES</v>
          </cell>
        </row>
        <row r="8067">
          <cell r="C8067">
            <v>105102.35</v>
          </cell>
          <cell r="D8067" t="str">
            <v>GE.IR 25ES-2RS</v>
          </cell>
        </row>
        <row r="8068">
          <cell r="C8068">
            <v>205102.35</v>
          </cell>
          <cell r="D8068" t="str">
            <v>GE.OR 25ES-2RS</v>
          </cell>
        </row>
        <row r="8069">
          <cell r="C8069">
            <v>705102.35</v>
          </cell>
          <cell r="D8069" t="str">
            <v>GE.SEAL 25ES-2RS</v>
          </cell>
        </row>
        <row r="8070">
          <cell r="C8070">
            <v>105102.36</v>
          </cell>
          <cell r="D8070" t="str">
            <v>GE.IR 25 (PTFE + 2RS)</v>
          </cell>
        </row>
        <row r="8071">
          <cell r="C8071">
            <v>205102.36</v>
          </cell>
          <cell r="D8071" t="str">
            <v>GE.OR 25 (PTFE + 2RS)</v>
          </cell>
        </row>
        <row r="8072">
          <cell r="C8072">
            <v>705102.36</v>
          </cell>
          <cell r="D8072" t="str">
            <v>GE.SEAL 25 (PTFE + 2RS)</v>
          </cell>
        </row>
        <row r="8073">
          <cell r="C8073">
            <v>705102.37</v>
          </cell>
          <cell r="D8073" t="str">
            <v>GE.PTFE LINER 25</v>
          </cell>
        </row>
        <row r="8074">
          <cell r="C8074">
            <v>105102.45</v>
          </cell>
          <cell r="D8074" t="str">
            <v>GE.IR 30ES-2RS</v>
          </cell>
        </row>
        <row r="8075">
          <cell r="C8075">
            <v>205102.45</v>
          </cell>
          <cell r="D8075" t="str">
            <v>GE.OR 30ES-2RS</v>
          </cell>
        </row>
        <row r="8076">
          <cell r="C8076">
            <v>105102.45</v>
          </cell>
          <cell r="D8076" t="str">
            <v>GE.IR 30ES-2RS</v>
          </cell>
        </row>
        <row r="8077">
          <cell r="C8077">
            <v>205102.45</v>
          </cell>
          <cell r="D8077" t="str">
            <v>GE.OR 30ES-2RS</v>
          </cell>
        </row>
        <row r="8078">
          <cell r="C8078">
            <v>705102.45</v>
          </cell>
          <cell r="D8078" t="str">
            <v>GE.SEAL 30ES-2RS</v>
          </cell>
        </row>
        <row r="8079">
          <cell r="C8079">
            <v>105102.55</v>
          </cell>
          <cell r="D8079" t="str">
            <v>GE.IR 35ES-2RS</v>
          </cell>
        </row>
        <row r="8080">
          <cell r="C8080">
            <v>205102.55</v>
          </cell>
          <cell r="D8080" t="str">
            <v>GE.OR 35ES-2RS</v>
          </cell>
        </row>
        <row r="8081">
          <cell r="C8081">
            <v>105102.55</v>
          </cell>
          <cell r="D8081" t="str">
            <v>GE.IR 35ES-2RS</v>
          </cell>
        </row>
        <row r="8082">
          <cell r="C8082">
            <v>205102.55</v>
          </cell>
          <cell r="D8082" t="str">
            <v>GE.OR 35ES-2RS</v>
          </cell>
        </row>
        <row r="8083">
          <cell r="C8083">
            <v>705102.55</v>
          </cell>
          <cell r="D8083" t="str">
            <v>GE.SEAL 35ES-2RS</v>
          </cell>
        </row>
        <row r="8084">
          <cell r="C8084">
            <v>105102.65</v>
          </cell>
          <cell r="D8084" t="str">
            <v>GE.IR 40ES-2RS</v>
          </cell>
        </row>
        <row r="8085">
          <cell r="C8085">
            <v>205102.65</v>
          </cell>
          <cell r="D8085" t="str">
            <v>GE.OR 40ES-2RS</v>
          </cell>
        </row>
        <row r="8086">
          <cell r="C8086">
            <v>105102.65</v>
          </cell>
          <cell r="D8086" t="str">
            <v>GE.IR 40ES-2RS</v>
          </cell>
        </row>
        <row r="8087">
          <cell r="C8087">
            <v>205102.65</v>
          </cell>
          <cell r="D8087" t="str">
            <v>GE.OR 40ES-2RS</v>
          </cell>
        </row>
        <row r="8088">
          <cell r="C8088">
            <v>705102.65</v>
          </cell>
          <cell r="D8088" t="str">
            <v>GE.SEAL 40ES-2RS</v>
          </cell>
        </row>
        <row r="8089">
          <cell r="C8089">
            <v>105102.75</v>
          </cell>
          <cell r="D8089" t="str">
            <v>GE.IR 45ES-2RS</v>
          </cell>
        </row>
        <row r="8090">
          <cell r="C8090">
            <v>205102.75</v>
          </cell>
          <cell r="D8090" t="str">
            <v>GE.OR 45ES-2RS</v>
          </cell>
        </row>
        <row r="8091">
          <cell r="C8091">
            <v>105102.75</v>
          </cell>
          <cell r="D8091" t="str">
            <v>GE.IR 45ES-2RS</v>
          </cell>
        </row>
        <row r="8092">
          <cell r="C8092">
            <v>205102.75</v>
          </cell>
          <cell r="D8092" t="str">
            <v>GE.OR 45ES-2RS</v>
          </cell>
        </row>
        <row r="8093">
          <cell r="C8093">
            <v>705102.75</v>
          </cell>
          <cell r="D8093" t="str">
            <v>GE.SEAL 45ES-2RS</v>
          </cell>
        </row>
        <row r="8094">
          <cell r="C8094">
            <v>105102.85</v>
          </cell>
          <cell r="D8094" t="str">
            <v>GE.IR 50ES-2RS</v>
          </cell>
        </row>
        <row r="8095">
          <cell r="C8095">
            <v>205102.85</v>
          </cell>
          <cell r="D8095" t="str">
            <v>GE.OR 50ES-2RS</v>
          </cell>
        </row>
        <row r="8096">
          <cell r="C8096">
            <v>105102.85</v>
          </cell>
          <cell r="D8096" t="str">
            <v>GE.IR 50ES-2RS</v>
          </cell>
        </row>
        <row r="8097">
          <cell r="C8097">
            <v>205102.85</v>
          </cell>
          <cell r="D8097" t="str">
            <v>GE.OR 50ES-2RS</v>
          </cell>
        </row>
        <row r="8098">
          <cell r="C8098">
            <v>705102.85</v>
          </cell>
          <cell r="D8098" t="str">
            <v>GE.SEAL 50ES-2RS</v>
          </cell>
        </row>
        <row r="8099">
          <cell r="C8099">
            <v>105102.95</v>
          </cell>
          <cell r="D8099" t="str">
            <v>GE.IR 60ES-2RS</v>
          </cell>
        </row>
        <row r="8100">
          <cell r="C8100">
            <v>205102.95</v>
          </cell>
          <cell r="D8100" t="str">
            <v>GE.OR 60ES-2RS</v>
          </cell>
        </row>
        <row r="8101">
          <cell r="C8101">
            <v>105102.95</v>
          </cell>
          <cell r="D8101" t="str">
            <v>GE.IR 60ES-2RS</v>
          </cell>
        </row>
        <row r="8102">
          <cell r="C8102">
            <v>205102.95</v>
          </cell>
          <cell r="D8102" t="str">
            <v>GE.OR 60ES-2RS</v>
          </cell>
        </row>
        <row r="8103">
          <cell r="C8103">
            <v>705102.95</v>
          </cell>
          <cell r="D8103" t="str">
            <v>GE.SEAL 60ES-2RS</v>
          </cell>
        </row>
        <row r="8104">
          <cell r="C8104">
            <v>104247</v>
          </cell>
          <cell r="D8104" t="str">
            <v>IR.209 YY2              F</v>
          </cell>
        </row>
        <row r="8105">
          <cell r="C8105">
            <v>208247</v>
          </cell>
          <cell r="D8105" t="str">
            <v>OR.209 YY2              F</v>
          </cell>
        </row>
        <row r="8106">
          <cell r="C8106">
            <v>309247</v>
          </cell>
          <cell r="D8106" t="str">
            <v>NCG 209 YY</v>
          </cell>
        </row>
        <row r="8107">
          <cell r="C8107">
            <v>511192</v>
          </cell>
          <cell r="D8107" t="str">
            <v>BALL 1/2" (IS:2898-1976)</v>
          </cell>
        </row>
        <row r="8108">
          <cell r="C8108">
            <v>5221247</v>
          </cell>
          <cell r="D8108" t="str">
            <v>O G SHELL GADUS S2 V100 3</v>
          </cell>
        </row>
        <row r="8109">
          <cell r="C8109">
            <v>717247</v>
          </cell>
          <cell r="D8109" t="str">
            <v>SEAL.209 YY2</v>
          </cell>
        </row>
        <row r="8110">
          <cell r="C8110">
            <v>208417</v>
          </cell>
          <cell r="D8110" t="str">
            <v>JC.OR 8008</v>
          </cell>
        </row>
        <row r="8111">
          <cell r="C8111">
            <v>511448</v>
          </cell>
          <cell r="D8111" t="str">
            <v>RO 11X15 BPM</v>
          </cell>
        </row>
        <row r="8112">
          <cell r="C8112">
            <v>717417</v>
          </cell>
          <cell r="D8112" t="str">
            <v>NYLON INSERT(JC 8046)25%</v>
          </cell>
        </row>
        <row r="8113">
          <cell r="C8113">
            <v>208442</v>
          </cell>
          <cell r="D8113" t="str">
            <v>R.OR 442(JC 8015)</v>
          </cell>
        </row>
        <row r="8114">
          <cell r="C8114">
            <v>309442</v>
          </cell>
          <cell r="D8114" t="str">
            <v>R.NCG 442(JC 8015)</v>
          </cell>
        </row>
        <row r="8115">
          <cell r="C8115">
            <v>511442</v>
          </cell>
          <cell r="D8115" t="str">
            <v>RO 8X9</v>
          </cell>
        </row>
        <row r="8116">
          <cell r="C8116">
            <v>208448</v>
          </cell>
          <cell r="D8116" t="str">
            <v>R.OR 448(JC 8007)</v>
          </cell>
        </row>
        <row r="8117">
          <cell r="C8117">
            <v>511448</v>
          </cell>
          <cell r="D8117" t="str">
            <v>RO 11X15 BPM</v>
          </cell>
        </row>
        <row r="8118">
          <cell r="C8118">
            <v>717448</v>
          </cell>
          <cell r="D8118" t="str">
            <v>NYLON INSAERT(JC 8007)25%</v>
          </cell>
        </row>
        <row r="8119">
          <cell r="C8119">
            <v>208497</v>
          </cell>
          <cell r="D8119" t="str">
            <v>NB.OR 95076             F</v>
          </cell>
        </row>
        <row r="8120">
          <cell r="C8120">
            <v>309497</v>
          </cell>
          <cell r="D8120" t="str">
            <v>NB.MCG 95076</v>
          </cell>
        </row>
        <row r="8121">
          <cell r="C8121">
            <v>511436</v>
          </cell>
          <cell r="D8121" t="str">
            <v>RO 4X15.8 (CRA)</v>
          </cell>
        </row>
        <row r="8122">
          <cell r="C8122">
            <v>5221247.0199999996</v>
          </cell>
          <cell r="D8122" t="str">
            <v>O G VEEDOL SPICLE VB GRE.</v>
          </cell>
        </row>
        <row r="8123">
          <cell r="C8123">
            <v>106001</v>
          </cell>
          <cell r="D8123" t="str">
            <v>IR.IR 25X29X12.6</v>
          </cell>
        </row>
        <row r="8124">
          <cell r="C8124">
            <v>106002</v>
          </cell>
          <cell r="D8124" t="str">
            <v>IR.IR  35X40X14.1</v>
          </cell>
        </row>
        <row r="8125">
          <cell r="C8125">
            <v>106003</v>
          </cell>
          <cell r="D8125" t="str">
            <v>IR.IR 35X40X34.1</v>
          </cell>
        </row>
        <row r="8126">
          <cell r="C8126">
            <v>106004</v>
          </cell>
          <cell r="D8126" t="str">
            <v>IR.IR 40X45X17.6</v>
          </cell>
        </row>
        <row r="8127">
          <cell r="C8127">
            <v>106005</v>
          </cell>
          <cell r="D8127" t="str">
            <v>IR.IR 40X45X47.6</v>
          </cell>
        </row>
        <row r="8128">
          <cell r="C8128">
            <v>106006</v>
          </cell>
          <cell r="D8128" t="str">
            <v>IR.IR 17X21X18.1</v>
          </cell>
        </row>
        <row r="8129">
          <cell r="C8129">
            <v>106007</v>
          </cell>
          <cell r="D8129" t="str">
            <v>IR.IR 17X21X29.1</v>
          </cell>
        </row>
        <row r="8130">
          <cell r="C8130">
            <v>106008</v>
          </cell>
          <cell r="D8130" t="str">
            <v>IR.IR 25X29X22.6</v>
          </cell>
        </row>
        <row r="8131">
          <cell r="C8131">
            <v>106008</v>
          </cell>
          <cell r="D8131" t="str">
            <v>IR.IR 25X29X22.6</v>
          </cell>
        </row>
        <row r="8132">
          <cell r="C8132">
            <v>106009</v>
          </cell>
          <cell r="D8132" t="str">
            <v>IR.IR 35X40X24.1</v>
          </cell>
        </row>
        <row r="8133">
          <cell r="C8133">
            <v>106010</v>
          </cell>
          <cell r="D8133" t="str">
            <v>IR.IR 40X45X40.1</v>
          </cell>
        </row>
        <row r="8134">
          <cell r="C8134">
            <v>106011</v>
          </cell>
          <cell r="D8134" t="str">
            <v>IR.IR 17X21X10.1</v>
          </cell>
        </row>
        <row r="8135">
          <cell r="C8135">
            <v>106012</v>
          </cell>
          <cell r="D8135" t="str">
            <v>IR.IR 25X29X27.6</v>
          </cell>
        </row>
        <row r="8136">
          <cell r="C8136">
            <v>106013</v>
          </cell>
          <cell r="D8136" t="str">
            <v>IR.IR 50X55X90</v>
          </cell>
        </row>
        <row r="8137">
          <cell r="C8137">
            <v>511212</v>
          </cell>
          <cell r="D8137" t="str">
            <v>RO 4X4</v>
          </cell>
        </row>
        <row r="8138">
          <cell r="C8138">
            <v>1330264.04</v>
          </cell>
          <cell r="D8138" t="str">
            <v>NYLON RADILON A BF 990 GY</v>
          </cell>
        </row>
        <row r="8139">
          <cell r="C8139">
            <v>104610.01</v>
          </cell>
          <cell r="D8139" t="str">
            <v>N.IR 212                F</v>
          </cell>
        </row>
        <row r="8140">
          <cell r="C8140">
            <v>309426</v>
          </cell>
          <cell r="D8140" t="str">
            <v>R.NCG 426</v>
          </cell>
        </row>
        <row r="8141">
          <cell r="C8141">
            <v>511439</v>
          </cell>
          <cell r="D8141" t="str">
            <v>RO 8X8</v>
          </cell>
        </row>
        <row r="8142">
          <cell r="C8142">
            <v>1526007.01</v>
          </cell>
          <cell r="D8142" t="str">
            <v>081A25SHGROUT</v>
          </cell>
        </row>
        <row r="8143">
          <cell r="C8143">
            <v>1526008.01</v>
          </cell>
          <cell r="D8143" t="str">
            <v>061519SHGROUT (SHAFT)</v>
          </cell>
        </row>
        <row r="8144">
          <cell r="C8144">
            <v>1526011.01</v>
          </cell>
          <cell r="D8144" t="str">
            <v>K02604432SF10 PIN MAT.</v>
          </cell>
        </row>
        <row r="8145">
          <cell r="C8145">
            <v>1526012.01</v>
          </cell>
          <cell r="D8145" t="str">
            <v>K02594433SF20 ROLLER MAT.</v>
          </cell>
        </row>
        <row r="8146">
          <cell r="C8146">
            <v>100544.01</v>
          </cell>
          <cell r="D8146" t="str">
            <v>HD-63003 CONE</v>
          </cell>
        </row>
        <row r="8147">
          <cell r="C8147">
            <v>1526015.01</v>
          </cell>
          <cell r="D8147" t="str">
            <v>VKWY 74000 JB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5">
          <cell r="C5">
            <v>104001</v>
          </cell>
          <cell r="D5" t="str">
            <v>BR.IR 2822</v>
          </cell>
        </row>
        <row r="6">
          <cell r="C6">
            <v>208001</v>
          </cell>
          <cell r="D6" t="str">
            <v>BR.OR 2822</v>
          </cell>
        </row>
        <row r="7">
          <cell r="C7">
            <v>309001</v>
          </cell>
          <cell r="D7" t="str">
            <v>BR.NCG 2822</v>
          </cell>
        </row>
        <row r="8">
          <cell r="C8">
            <v>410001</v>
          </cell>
          <cell r="D8" t="str">
            <v>BR.K 2800          WITH R</v>
          </cell>
        </row>
        <row r="9">
          <cell r="C9">
            <v>511001</v>
          </cell>
          <cell r="D9" t="str">
            <v>RO 2X9.8</v>
          </cell>
        </row>
        <row r="10">
          <cell r="C10">
            <v>612001</v>
          </cell>
          <cell r="D10" t="str">
            <v>BR.N 2822</v>
          </cell>
        </row>
        <row r="11">
          <cell r="C11">
            <v>913016</v>
          </cell>
          <cell r="D11" t="str">
            <v>Box 250x40x50</v>
          </cell>
        </row>
        <row r="12">
          <cell r="C12">
            <v>410001</v>
          </cell>
          <cell r="D12" t="str">
            <v>BR.K 2800          WITH R</v>
          </cell>
        </row>
        <row r="13">
          <cell r="C13">
            <v>309001</v>
          </cell>
          <cell r="D13" t="str">
            <v>BR.NCG 2822</v>
          </cell>
        </row>
        <row r="14">
          <cell r="C14">
            <v>511001</v>
          </cell>
          <cell r="D14" t="str">
            <v>RO 2X9.8</v>
          </cell>
        </row>
        <row r="15">
          <cell r="C15">
            <v>913010</v>
          </cell>
          <cell r="D15" t="str">
            <v>Box 150x40x50</v>
          </cell>
        </row>
        <row r="16">
          <cell r="C16">
            <v>104001</v>
          </cell>
          <cell r="D16" t="str">
            <v>BR.IR 2822</v>
          </cell>
        </row>
        <row r="17">
          <cell r="C17">
            <v>208001</v>
          </cell>
          <cell r="D17" t="str">
            <v>BR.OR 2822</v>
          </cell>
        </row>
        <row r="18">
          <cell r="C18">
            <v>309001</v>
          </cell>
          <cell r="D18" t="str">
            <v>BR.NCG 2822</v>
          </cell>
        </row>
        <row r="19">
          <cell r="C19">
            <v>410002</v>
          </cell>
          <cell r="D19" t="str">
            <v>BR.K 2820          WITH R</v>
          </cell>
        </row>
        <row r="20">
          <cell r="C20">
            <v>511001</v>
          </cell>
          <cell r="D20" t="str">
            <v>RO 2X9.8</v>
          </cell>
        </row>
        <row r="21">
          <cell r="C21">
            <v>612001</v>
          </cell>
          <cell r="D21" t="str">
            <v>BR.N 2822</v>
          </cell>
        </row>
        <row r="22">
          <cell r="C22">
            <v>913016</v>
          </cell>
          <cell r="D22" t="str">
            <v>Box 250x40x50</v>
          </cell>
        </row>
        <row r="23">
          <cell r="C23">
            <v>104001</v>
          </cell>
          <cell r="D23" t="str">
            <v>BR.IR 2822</v>
          </cell>
        </row>
        <row r="24">
          <cell r="C24">
            <v>208001</v>
          </cell>
          <cell r="D24" t="str">
            <v>BR.OR 2822</v>
          </cell>
        </row>
        <row r="25">
          <cell r="C25">
            <v>309001</v>
          </cell>
          <cell r="D25" t="str">
            <v>BR.NCG 2822</v>
          </cell>
        </row>
        <row r="26">
          <cell r="C26">
            <v>410003</v>
          </cell>
          <cell r="D26" t="str">
            <v>BR.K 2822          WITH R</v>
          </cell>
        </row>
        <row r="27">
          <cell r="C27">
            <v>511001</v>
          </cell>
          <cell r="D27" t="str">
            <v>RO 2X9.8</v>
          </cell>
        </row>
        <row r="28">
          <cell r="C28">
            <v>612001</v>
          </cell>
          <cell r="D28" t="str">
            <v>BR.N 2822</v>
          </cell>
        </row>
        <row r="29">
          <cell r="C29">
            <v>104001</v>
          </cell>
          <cell r="D29" t="str">
            <v>BR.IR 2822</v>
          </cell>
        </row>
        <row r="30">
          <cell r="C30">
            <v>208001</v>
          </cell>
          <cell r="D30" t="str">
            <v>BR.OR 2822</v>
          </cell>
        </row>
        <row r="31">
          <cell r="C31">
            <v>309001</v>
          </cell>
          <cell r="D31" t="str">
            <v>BR.NCG 2822</v>
          </cell>
        </row>
        <row r="32">
          <cell r="C32">
            <v>410003.01</v>
          </cell>
          <cell r="D32" t="str">
            <v>BR.K 2822           W/O R</v>
          </cell>
        </row>
        <row r="33">
          <cell r="C33">
            <v>511001</v>
          </cell>
          <cell r="D33" t="str">
            <v>RO 2X9.8</v>
          </cell>
        </row>
        <row r="34">
          <cell r="C34">
            <v>612001</v>
          </cell>
          <cell r="D34" t="str">
            <v>BR.N 2822</v>
          </cell>
        </row>
        <row r="35">
          <cell r="C35">
            <v>410003</v>
          </cell>
          <cell r="D35" t="str">
            <v>BR.K 2822          WITH R</v>
          </cell>
        </row>
        <row r="36">
          <cell r="C36">
            <v>309001</v>
          </cell>
          <cell r="D36" t="str">
            <v>BR.NCG 2822</v>
          </cell>
        </row>
        <row r="37">
          <cell r="C37">
            <v>511001</v>
          </cell>
          <cell r="D37" t="str">
            <v>RO 2X9.8</v>
          </cell>
        </row>
        <row r="38">
          <cell r="C38">
            <v>913010</v>
          </cell>
          <cell r="D38" t="str">
            <v>Box 150x40x50</v>
          </cell>
        </row>
        <row r="39">
          <cell r="C39">
            <v>309001.01</v>
          </cell>
          <cell r="D39" t="str">
            <v>BR.TCG 2822</v>
          </cell>
        </row>
        <row r="40">
          <cell r="C40">
            <v>511001</v>
          </cell>
          <cell r="D40" t="str">
            <v>RO 2X9.8</v>
          </cell>
        </row>
        <row r="41">
          <cell r="C41">
            <v>612001</v>
          </cell>
          <cell r="D41" t="str">
            <v>BR.N 2822</v>
          </cell>
        </row>
        <row r="42">
          <cell r="C42">
            <v>104001</v>
          </cell>
          <cell r="D42" t="str">
            <v>BR.IR 2822</v>
          </cell>
        </row>
        <row r="43">
          <cell r="C43">
            <v>208001</v>
          </cell>
          <cell r="D43" t="str">
            <v>BR.OR 2822</v>
          </cell>
        </row>
        <row r="44">
          <cell r="C44">
            <v>309001.01</v>
          </cell>
          <cell r="D44" t="str">
            <v>BR.TCG 2822</v>
          </cell>
        </row>
        <row r="45">
          <cell r="C45">
            <v>410003</v>
          </cell>
          <cell r="D45" t="str">
            <v>BR.K 2822          WITH R</v>
          </cell>
        </row>
        <row r="46">
          <cell r="C46">
            <v>511001</v>
          </cell>
          <cell r="D46" t="str">
            <v>RO 2X9.8</v>
          </cell>
        </row>
        <row r="47">
          <cell r="C47">
            <v>612001</v>
          </cell>
          <cell r="D47" t="str">
            <v>BR.N 2822</v>
          </cell>
        </row>
        <row r="48">
          <cell r="C48">
            <v>913016</v>
          </cell>
          <cell r="D48" t="str">
            <v>Box 250x40x50</v>
          </cell>
        </row>
        <row r="49">
          <cell r="C49">
            <v>309026</v>
          </cell>
          <cell r="D49" t="str">
            <v>BR.NCG 3000</v>
          </cell>
        </row>
        <row r="50">
          <cell r="C50">
            <v>913010</v>
          </cell>
          <cell r="D50" t="str">
            <v>Box 150x40x50</v>
          </cell>
        </row>
        <row r="51">
          <cell r="C51">
            <v>104001</v>
          </cell>
          <cell r="D51" t="str">
            <v>BR.IR 2822</v>
          </cell>
        </row>
        <row r="52">
          <cell r="C52">
            <v>208001</v>
          </cell>
          <cell r="D52" t="str">
            <v>BR.OR 2822</v>
          </cell>
        </row>
        <row r="53">
          <cell r="C53">
            <v>309001</v>
          </cell>
          <cell r="D53" t="str">
            <v>BR.NCG 2822</v>
          </cell>
        </row>
        <row r="54">
          <cell r="C54">
            <v>410004</v>
          </cell>
          <cell r="D54" t="str">
            <v>BR.K 2824          WITH R</v>
          </cell>
        </row>
        <row r="55">
          <cell r="C55">
            <v>511001</v>
          </cell>
          <cell r="D55" t="str">
            <v>RO 2X9.8</v>
          </cell>
        </row>
        <row r="56">
          <cell r="C56">
            <v>612001</v>
          </cell>
          <cell r="D56" t="str">
            <v>BR.N 2822</v>
          </cell>
        </row>
        <row r="57">
          <cell r="C57">
            <v>913016</v>
          </cell>
          <cell r="D57" t="str">
            <v>Box 250x40x50</v>
          </cell>
        </row>
        <row r="58">
          <cell r="C58">
            <v>104006</v>
          </cell>
          <cell r="D58" t="str">
            <v>BR.IR 282223 SPL.</v>
          </cell>
        </row>
        <row r="59">
          <cell r="C59">
            <v>208006</v>
          </cell>
          <cell r="D59" t="str">
            <v>BR.OR 282223 SPL.</v>
          </cell>
        </row>
        <row r="60">
          <cell r="C60">
            <v>309006</v>
          </cell>
          <cell r="D60" t="str">
            <v>BR.NCG 282223</v>
          </cell>
        </row>
        <row r="61">
          <cell r="C61">
            <v>410005.02</v>
          </cell>
          <cell r="D61" t="str">
            <v>BR.K 280023         SKF G</v>
          </cell>
        </row>
        <row r="62">
          <cell r="C62">
            <v>511003</v>
          </cell>
          <cell r="D62" t="str">
            <v>RO 2.3X9.8</v>
          </cell>
        </row>
        <row r="63">
          <cell r="C63">
            <v>612090</v>
          </cell>
          <cell r="D63" t="str">
            <v>BR.N 2815(06)</v>
          </cell>
        </row>
        <row r="64">
          <cell r="C64">
            <v>913016</v>
          </cell>
          <cell r="D64" t="str">
            <v>Box 250x40x50</v>
          </cell>
        </row>
        <row r="65">
          <cell r="C65">
            <v>104006</v>
          </cell>
          <cell r="D65" t="str">
            <v>BR.IR 282223 SPL.</v>
          </cell>
        </row>
        <row r="66">
          <cell r="C66">
            <v>208006</v>
          </cell>
          <cell r="D66" t="str">
            <v>BR.OR 282223 SPL.</v>
          </cell>
        </row>
        <row r="67">
          <cell r="C67">
            <v>309006</v>
          </cell>
          <cell r="D67" t="str">
            <v>BR.NCG 282223</v>
          </cell>
        </row>
        <row r="68">
          <cell r="C68">
            <v>410941.02</v>
          </cell>
          <cell r="D68" t="str">
            <v>BR.K 282223         SKF G</v>
          </cell>
        </row>
        <row r="69">
          <cell r="C69">
            <v>511003</v>
          </cell>
          <cell r="D69" t="str">
            <v>RO 2.3X9.8</v>
          </cell>
        </row>
        <row r="70">
          <cell r="C70">
            <v>612001</v>
          </cell>
          <cell r="D70" t="str">
            <v>BR.N 2822</v>
          </cell>
        </row>
        <row r="71">
          <cell r="C71">
            <v>913016</v>
          </cell>
          <cell r="D71" t="str">
            <v>Box 250x40x50</v>
          </cell>
        </row>
        <row r="72">
          <cell r="C72">
            <v>309006</v>
          </cell>
          <cell r="D72" t="str">
            <v>BR.NCG 282223</v>
          </cell>
        </row>
        <row r="73">
          <cell r="C73">
            <v>511003</v>
          </cell>
          <cell r="D73" t="str">
            <v>RO 2.3X9.8</v>
          </cell>
        </row>
        <row r="74">
          <cell r="C74">
            <v>913010</v>
          </cell>
          <cell r="D74" t="str">
            <v>Box 150x40x50</v>
          </cell>
        </row>
        <row r="75">
          <cell r="C75">
            <v>410941.02</v>
          </cell>
          <cell r="D75" t="str">
            <v>BR.K 282223         SKF G</v>
          </cell>
        </row>
        <row r="76">
          <cell r="C76">
            <v>612090</v>
          </cell>
          <cell r="D76" t="str">
            <v>BR.N 2815(06)</v>
          </cell>
        </row>
        <row r="77">
          <cell r="C77">
            <v>104006</v>
          </cell>
          <cell r="D77" t="str">
            <v>BR.IR 282223 SPL.</v>
          </cell>
        </row>
        <row r="78">
          <cell r="C78">
            <v>208006</v>
          </cell>
          <cell r="D78" t="str">
            <v>BR.OR 282223 SPL.</v>
          </cell>
        </row>
        <row r="79">
          <cell r="C79">
            <v>309006</v>
          </cell>
          <cell r="D79" t="str">
            <v>BR.NCG 282223</v>
          </cell>
        </row>
        <row r="80">
          <cell r="C80">
            <v>410007</v>
          </cell>
          <cell r="D80" t="str">
            <v>BR.K 282423        WITH R</v>
          </cell>
        </row>
        <row r="81">
          <cell r="C81">
            <v>511003</v>
          </cell>
          <cell r="D81" t="str">
            <v>RO 2.3X9.8</v>
          </cell>
        </row>
        <row r="82">
          <cell r="C82">
            <v>612001</v>
          </cell>
          <cell r="D82" t="str">
            <v>BR.N 2822</v>
          </cell>
        </row>
        <row r="83">
          <cell r="C83">
            <v>913016</v>
          </cell>
          <cell r="D83" t="str">
            <v>Box 250x40x50</v>
          </cell>
        </row>
        <row r="84">
          <cell r="C84">
            <v>410007</v>
          </cell>
          <cell r="D84" t="str">
            <v>BR.K 282423        WITH R</v>
          </cell>
        </row>
        <row r="85">
          <cell r="C85">
            <v>104006</v>
          </cell>
          <cell r="D85" t="str">
            <v>BR.IR 282223 SPL.</v>
          </cell>
        </row>
        <row r="86">
          <cell r="C86">
            <v>208006</v>
          </cell>
          <cell r="D86" t="str">
            <v>BR.OR 282223 SPL.</v>
          </cell>
        </row>
        <row r="87">
          <cell r="C87">
            <v>309006</v>
          </cell>
          <cell r="D87" t="str">
            <v>BR.NCG 282223</v>
          </cell>
        </row>
        <row r="88">
          <cell r="C88">
            <v>410008</v>
          </cell>
          <cell r="D88" t="str">
            <v>BR.K 282623</v>
          </cell>
        </row>
        <row r="89">
          <cell r="C89">
            <v>511003</v>
          </cell>
          <cell r="D89" t="str">
            <v>RO 2.3X9.8</v>
          </cell>
        </row>
        <row r="90">
          <cell r="C90">
            <v>612042</v>
          </cell>
          <cell r="D90" t="str">
            <v>BR.N 3222</v>
          </cell>
        </row>
        <row r="91">
          <cell r="C91">
            <v>913016</v>
          </cell>
          <cell r="D91" t="str">
            <v>Box 250x40x50</v>
          </cell>
        </row>
        <row r="92">
          <cell r="C92">
            <v>410008</v>
          </cell>
          <cell r="D92" t="str">
            <v>BR.K 282623</v>
          </cell>
        </row>
        <row r="93">
          <cell r="C93">
            <v>104009</v>
          </cell>
          <cell r="D93" t="str">
            <v>BR.IR 282423X</v>
          </cell>
        </row>
        <row r="94">
          <cell r="C94">
            <v>208006</v>
          </cell>
          <cell r="D94" t="str">
            <v>BR.OR 282223 SPL.</v>
          </cell>
        </row>
        <row r="95">
          <cell r="C95">
            <v>309006</v>
          </cell>
          <cell r="D95" t="str">
            <v>BR.NCG 282223</v>
          </cell>
        </row>
        <row r="96">
          <cell r="C96">
            <v>410009</v>
          </cell>
          <cell r="D96" t="str">
            <v>BR.K 282423X       WITH R</v>
          </cell>
        </row>
        <row r="97">
          <cell r="C97">
            <v>511003</v>
          </cell>
          <cell r="D97" t="str">
            <v>RO 2.3X9.8</v>
          </cell>
        </row>
        <row r="98">
          <cell r="C98">
            <v>612001</v>
          </cell>
          <cell r="D98" t="str">
            <v>BR.N 2822</v>
          </cell>
        </row>
        <row r="99">
          <cell r="C99">
            <v>913016</v>
          </cell>
          <cell r="D99" t="str">
            <v>Box 250x40x50</v>
          </cell>
        </row>
        <row r="100">
          <cell r="C100">
            <v>410009</v>
          </cell>
          <cell r="D100" t="str">
            <v>BR.K 282423X       WITH R</v>
          </cell>
        </row>
        <row r="101">
          <cell r="C101">
            <v>104009</v>
          </cell>
          <cell r="D101" t="str">
            <v>BR.IR 282423X</v>
          </cell>
        </row>
        <row r="102">
          <cell r="C102">
            <v>208006</v>
          </cell>
          <cell r="D102" t="str">
            <v>BR.OR 282223 SPL.</v>
          </cell>
        </row>
        <row r="103">
          <cell r="C103">
            <v>309006</v>
          </cell>
          <cell r="D103" t="str">
            <v>BR.NCG 282223</v>
          </cell>
        </row>
        <row r="104">
          <cell r="C104">
            <v>410010</v>
          </cell>
          <cell r="D104" t="str">
            <v>BR.K 282423XC      WITH R</v>
          </cell>
        </row>
        <row r="105">
          <cell r="C105">
            <v>511003</v>
          </cell>
          <cell r="D105" t="str">
            <v>RO 2.3X9.8</v>
          </cell>
        </row>
        <row r="106">
          <cell r="C106">
            <v>612001</v>
          </cell>
          <cell r="D106" t="str">
            <v>BR.N 2822</v>
          </cell>
        </row>
        <row r="107">
          <cell r="C107">
            <v>913016</v>
          </cell>
          <cell r="D107" t="str">
            <v>Box 250x40x50</v>
          </cell>
        </row>
        <row r="108">
          <cell r="C108">
            <v>104009</v>
          </cell>
          <cell r="D108" t="str">
            <v>BR.IR 282423X</v>
          </cell>
        </row>
        <row r="109">
          <cell r="C109">
            <v>208006</v>
          </cell>
          <cell r="D109" t="str">
            <v>BR.OR 282223 SPL.</v>
          </cell>
        </row>
        <row r="110">
          <cell r="C110">
            <v>309006</v>
          </cell>
          <cell r="D110" t="str">
            <v>BR.NCG 282223</v>
          </cell>
        </row>
        <row r="111">
          <cell r="C111">
            <v>410011.02</v>
          </cell>
          <cell r="D111" t="str">
            <v>BR.K 282223X        SKF G</v>
          </cell>
        </row>
        <row r="112">
          <cell r="C112">
            <v>511003</v>
          </cell>
          <cell r="D112" t="str">
            <v>RO 2.3X9.8</v>
          </cell>
        </row>
        <row r="113">
          <cell r="C113">
            <v>612090</v>
          </cell>
          <cell r="D113" t="str">
            <v>BR.N 2815(06)</v>
          </cell>
        </row>
        <row r="114">
          <cell r="C114">
            <v>913016</v>
          </cell>
          <cell r="D114" t="str">
            <v>Box 250x40x50</v>
          </cell>
        </row>
        <row r="115">
          <cell r="C115">
            <v>104001</v>
          </cell>
          <cell r="D115" t="str">
            <v>BR.IR 2822</v>
          </cell>
        </row>
        <row r="116">
          <cell r="C116">
            <v>208001</v>
          </cell>
          <cell r="D116" t="str">
            <v>BR.OR 2822</v>
          </cell>
        </row>
        <row r="117">
          <cell r="C117">
            <v>309001</v>
          </cell>
          <cell r="D117" t="str">
            <v>BR.NCG 2822</v>
          </cell>
        </row>
        <row r="118">
          <cell r="C118">
            <v>410012.01</v>
          </cell>
          <cell r="D118" t="str">
            <v>BR.K 2826           W/O R</v>
          </cell>
        </row>
        <row r="119">
          <cell r="C119">
            <v>511001</v>
          </cell>
          <cell r="D119" t="str">
            <v>RO 2X9.8</v>
          </cell>
        </row>
        <row r="120">
          <cell r="C120">
            <v>612001</v>
          </cell>
          <cell r="D120" t="str">
            <v>BR.N 2822</v>
          </cell>
        </row>
        <row r="121">
          <cell r="C121">
            <v>913016</v>
          </cell>
          <cell r="D121" t="str">
            <v>Box 250x40x50</v>
          </cell>
        </row>
        <row r="122">
          <cell r="C122">
            <v>410012</v>
          </cell>
          <cell r="D122" t="str">
            <v>BR.K 2826          WITH R</v>
          </cell>
        </row>
        <row r="123">
          <cell r="C123">
            <v>309001</v>
          </cell>
          <cell r="D123" t="str">
            <v>BR.NCG 2822</v>
          </cell>
        </row>
        <row r="124">
          <cell r="C124">
            <v>511001</v>
          </cell>
          <cell r="D124" t="str">
            <v>RO 2X9.8</v>
          </cell>
        </row>
        <row r="125">
          <cell r="C125">
            <v>913010</v>
          </cell>
          <cell r="D125" t="str">
            <v>Box 150x40x50</v>
          </cell>
        </row>
        <row r="126">
          <cell r="C126">
            <v>104006</v>
          </cell>
          <cell r="D126" t="str">
            <v>BR.IR 282223 SPL.</v>
          </cell>
        </row>
        <row r="127">
          <cell r="C127">
            <v>208006</v>
          </cell>
          <cell r="D127" t="str">
            <v>BR.OR 282223 SPL.</v>
          </cell>
        </row>
        <row r="128">
          <cell r="C128">
            <v>309001</v>
          </cell>
          <cell r="D128" t="str">
            <v>BR.NCG 2822</v>
          </cell>
        </row>
        <row r="129">
          <cell r="C129">
            <v>410940</v>
          </cell>
          <cell r="D129" t="str">
            <v>BR.K 282023        WITH R</v>
          </cell>
        </row>
        <row r="130">
          <cell r="C130">
            <v>511003</v>
          </cell>
          <cell r="D130" t="str">
            <v>RO 2.3X9.8</v>
          </cell>
        </row>
        <row r="131">
          <cell r="C131">
            <v>612001</v>
          </cell>
          <cell r="D131" t="str">
            <v>BR.N 2822</v>
          </cell>
        </row>
        <row r="132">
          <cell r="C132">
            <v>913016</v>
          </cell>
          <cell r="D132" t="str">
            <v>Box 250x40x50</v>
          </cell>
        </row>
        <row r="133">
          <cell r="C133">
            <v>104006</v>
          </cell>
          <cell r="D133" t="str">
            <v>BR.IR 282223 SPL.</v>
          </cell>
        </row>
        <row r="134">
          <cell r="C134">
            <v>208001</v>
          </cell>
          <cell r="D134" t="str">
            <v>BR.OR 2822</v>
          </cell>
        </row>
        <row r="135">
          <cell r="C135">
            <v>309006</v>
          </cell>
          <cell r="D135" t="str">
            <v>BR.NCG 282223</v>
          </cell>
        </row>
        <row r="136">
          <cell r="C136">
            <v>511003</v>
          </cell>
          <cell r="D136" t="str">
            <v>RO 2.3X9.8</v>
          </cell>
        </row>
        <row r="137">
          <cell r="C137">
            <v>612014</v>
          </cell>
          <cell r="D137" t="str">
            <v>BR.N 2816.5 SPL</v>
          </cell>
        </row>
        <row r="138">
          <cell r="C138">
            <v>717014</v>
          </cell>
          <cell r="D138" t="str">
            <v>WASHER 5.5X8.1X.8</v>
          </cell>
        </row>
        <row r="139">
          <cell r="C139">
            <v>818252</v>
          </cell>
          <cell r="D139" t="str">
            <v>NYLON RETUNER 23 mm.</v>
          </cell>
        </row>
        <row r="140">
          <cell r="C140">
            <v>104006</v>
          </cell>
          <cell r="D140" t="str">
            <v>BR.IR 282223 SPL.</v>
          </cell>
        </row>
        <row r="141">
          <cell r="C141">
            <v>208001</v>
          </cell>
          <cell r="D141" t="str">
            <v>BR.OR 2822</v>
          </cell>
        </row>
        <row r="142">
          <cell r="C142">
            <v>309006</v>
          </cell>
          <cell r="D142" t="str">
            <v>BR.NCG 282223</v>
          </cell>
        </row>
        <row r="143">
          <cell r="C143">
            <v>410003</v>
          </cell>
          <cell r="D143" t="str">
            <v>BR.K 2822          WITH R</v>
          </cell>
        </row>
        <row r="144">
          <cell r="C144">
            <v>511003</v>
          </cell>
          <cell r="D144" t="str">
            <v>RO 2.3X9.8</v>
          </cell>
        </row>
        <row r="145">
          <cell r="C145">
            <v>612001</v>
          </cell>
          <cell r="D145" t="str">
            <v>BR.N 2822</v>
          </cell>
        </row>
        <row r="146">
          <cell r="C146">
            <v>104025</v>
          </cell>
          <cell r="D146" t="str">
            <v>BR.IR 30172621          F</v>
          </cell>
        </row>
        <row r="147">
          <cell r="C147">
            <v>208025</v>
          </cell>
          <cell r="D147" t="str">
            <v>BR.OR 30172621          F</v>
          </cell>
        </row>
        <row r="148">
          <cell r="C148">
            <v>309026</v>
          </cell>
          <cell r="D148" t="str">
            <v>BR.NCG 3000</v>
          </cell>
        </row>
        <row r="149">
          <cell r="C149">
            <v>511001</v>
          </cell>
          <cell r="D149" t="str">
            <v>RO 2X9.8</v>
          </cell>
        </row>
        <row r="150">
          <cell r="C150">
            <v>612090</v>
          </cell>
          <cell r="D150" t="str">
            <v>BR.N 2815(06)</v>
          </cell>
        </row>
        <row r="151">
          <cell r="C151">
            <v>717165.03</v>
          </cell>
          <cell r="D151" t="str">
            <v>Nipple Washer</v>
          </cell>
        </row>
        <row r="152">
          <cell r="C152">
            <v>104026</v>
          </cell>
          <cell r="D152" t="str">
            <v>BR.IR 3000</v>
          </cell>
        </row>
        <row r="153">
          <cell r="C153">
            <v>208026</v>
          </cell>
          <cell r="D153" t="str">
            <v>BR.OR 3000</v>
          </cell>
        </row>
        <row r="154">
          <cell r="C154">
            <v>309026</v>
          </cell>
          <cell r="D154" t="str">
            <v>BR.NCG 3000</v>
          </cell>
        </row>
        <row r="155">
          <cell r="C155">
            <v>410026.02</v>
          </cell>
          <cell r="D155" t="str">
            <v>BR.K 3000           SKF G</v>
          </cell>
        </row>
        <row r="156">
          <cell r="C156">
            <v>511001</v>
          </cell>
          <cell r="D156" t="str">
            <v>RO 2X9.8</v>
          </cell>
        </row>
        <row r="157">
          <cell r="C157">
            <v>612125</v>
          </cell>
          <cell r="D157" t="str">
            <v>BR.N 3218.5(06)</v>
          </cell>
        </row>
        <row r="158">
          <cell r="C158">
            <v>913016</v>
          </cell>
          <cell r="D158" t="str">
            <v>Box 250x40x50</v>
          </cell>
        </row>
        <row r="159">
          <cell r="C159">
            <v>104026</v>
          </cell>
          <cell r="D159" t="str">
            <v>BR.IR 3000</v>
          </cell>
        </row>
        <row r="160">
          <cell r="C160">
            <v>208026</v>
          </cell>
          <cell r="D160" t="str">
            <v>BR.OR 3000</v>
          </cell>
        </row>
        <row r="161">
          <cell r="C161">
            <v>309026</v>
          </cell>
          <cell r="D161" t="str">
            <v>BR.NCG 3000</v>
          </cell>
        </row>
        <row r="162">
          <cell r="C162">
            <v>410026.02</v>
          </cell>
          <cell r="D162" t="str">
            <v>BR.K 3000           SKF G</v>
          </cell>
        </row>
        <row r="163">
          <cell r="C163">
            <v>511001</v>
          </cell>
          <cell r="D163" t="str">
            <v>RO 2X9.8</v>
          </cell>
        </row>
        <row r="164">
          <cell r="C164">
            <v>612125</v>
          </cell>
          <cell r="D164" t="str">
            <v>BR.N 3218.5(06)</v>
          </cell>
        </row>
        <row r="165">
          <cell r="C165">
            <v>913016</v>
          </cell>
          <cell r="D165" t="str">
            <v>Box 250x40x50</v>
          </cell>
        </row>
        <row r="166">
          <cell r="C166">
            <v>410026.02</v>
          </cell>
          <cell r="D166" t="str">
            <v>BR.K 3000           SKF G</v>
          </cell>
        </row>
        <row r="167">
          <cell r="C167">
            <v>309026</v>
          </cell>
          <cell r="D167" t="str">
            <v>BR.NCG 3000</v>
          </cell>
        </row>
        <row r="168">
          <cell r="C168">
            <v>511001</v>
          </cell>
          <cell r="D168" t="str">
            <v>RO 2X9.8</v>
          </cell>
        </row>
        <row r="169">
          <cell r="C169">
            <v>913010</v>
          </cell>
          <cell r="D169" t="str">
            <v>Box 150x40x50</v>
          </cell>
        </row>
        <row r="170">
          <cell r="C170">
            <v>104026</v>
          </cell>
          <cell r="D170" t="str">
            <v>BR.IR 3000</v>
          </cell>
        </row>
        <row r="171">
          <cell r="C171">
            <v>208026</v>
          </cell>
          <cell r="D171" t="str">
            <v>BR.OR 3000</v>
          </cell>
        </row>
        <row r="172">
          <cell r="C172">
            <v>309026</v>
          </cell>
          <cell r="D172" t="str">
            <v>BR.NCG 3000</v>
          </cell>
        </row>
        <row r="173">
          <cell r="C173">
            <v>410026.02</v>
          </cell>
          <cell r="D173" t="str">
            <v>BR.K 3000           SKF G</v>
          </cell>
        </row>
        <row r="174">
          <cell r="C174">
            <v>511001</v>
          </cell>
          <cell r="D174" t="str">
            <v>RO 2X9.8</v>
          </cell>
        </row>
        <row r="175">
          <cell r="C175">
            <v>612026.16</v>
          </cell>
          <cell r="D175" t="str">
            <v>BR.N 3000(Fennel Type)M6</v>
          </cell>
        </row>
        <row r="176">
          <cell r="C176">
            <v>913016</v>
          </cell>
          <cell r="D176" t="str">
            <v>Box 250x40x50</v>
          </cell>
        </row>
        <row r="177">
          <cell r="C177">
            <v>913016</v>
          </cell>
          <cell r="D177" t="str">
            <v>Box 250x40x50</v>
          </cell>
        </row>
        <row r="178">
          <cell r="C178">
            <v>612026.16</v>
          </cell>
          <cell r="D178" t="str">
            <v>BR.N 3000(Fennel Type)M6</v>
          </cell>
        </row>
        <row r="179">
          <cell r="C179">
            <v>104026</v>
          </cell>
          <cell r="D179" t="str">
            <v>BR.IR 3000</v>
          </cell>
        </row>
        <row r="180">
          <cell r="C180">
            <v>208026</v>
          </cell>
          <cell r="D180" t="str">
            <v>BR.OR 3000</v>
          </cell>
        </row>
        <row r="181">
          <cell r="C181">
            <v>309026</v>
          </cell>
          <cell r="D181" t="str">
            <v>BR.NCG 3000</v>
          </cell>
        </row>
        <row r="182">
          <cell r="C182">
            <v>410026.02</v>
          </cell>
          <cell r="D182" t="str">
            <v>BR.K 3000           SKF G</v>
          </cell>
        </row>
        <row r="183">
          <cell r="C183">
            <v>511001</v>
          </cell>
          <cell r="D183" t="str">
            <v>RO 2X9.8</v>
          </cell>
        </row>
        <row r="184">
          <cell r="C184">
            <v>5221208.0199999996</v>
          </cell>
          <cell r="D184" t="str">
            <v>O Centoplex BE41 103BH</v>
          </cell>
        </row>
        <row r="185">
          <cell r="C185">
            <v>612125</v>
          </cell>
          <cell r="D185" t="str">
            <v>BR.N 3218.5(06)</v>
          </cell>
        </row>
        <row r="186">
          <cell r="C186">
            <v>913016</v>
          </cell>
          <cell r="D186" t="str">
            <v>Box 250x40x50</v>
          </cell>
        </row>
        <row r="187">
          <cell r="C187">
            <v>104026</v>
          </cell>
          <cell r="D187" t="str">
            <v>BR.IR 3000</v>
          </cell>
        </row>
        <row r="188">
          <cell r="C188">
            <v>208026</v>
          </cell>
          <cell r="D188" t="str">
            <v>BR.OR 3000</v>
          </cell>
        </row>
        <row r="189">
          <cell r="C189">
            <v>309026</v>
          </cell>
          <cell r="D189" t="str">
            <v>BR.NCG 3000</v>
          </cell>
        </row>
        <row r="190">
          <cell r="C190">
            <v>410027</v>
          </cell>
          <cell r="D190" t="str">
            <v>BR.K 3020          WITH R</v>
          </cell>
        </row>
        <row r="191">
          <cell r="C191">
            <v>511001</v>
          </cell>
          <cell r="D191" t="str">
            <v>RO 2X9.8</v>
          </cell>
        </row>
        <row r="192">
          <cell r="C192">
            <v>612001</v>
          </cell>
          <cell r="D192" t="str">
            <v>BR.N 2822</v>
          </cell>
        </row>
        <row r="193">
          <cell r="C193">
            <v>913016</v>
          </cell>
          <cell r="D193" t="str">
            <v>Box 250x40x50</v>
          </cell>
        </row>
        <row r="194">
          <cell r="C194">
            <v>104026</v>
          </cell>
          <cell r="D194" t="str">
            <v>BR.IR 3000</v>
          </cell>
        </row>
        <row r="195">
          <cell r="C195">
            <v>208026</v>
          </cell>
          <cell r="D195" t="str">
            <v>BR.OR 3000</v>
          </cell>
        </row>
        <row r="196">
          <cell r="C196">
            <v>309026</v>
          </cell>
          <cell r="D196" t="str">
            <v>BR.NCG 3000</v>
          </cell>
        </row>
        <row r="197">
          <cell r="C197">
            <v>410028</v>
          </cell>
          <cell r="D197" t="str">
            <v>BR.K 3022          WITH</v>
          </cell>
        </row>
        <row r="198">
          <cell r="C198">
            <v>511001</v>
          </cell>
          <cell r="D198" t="str">
            <v>RO 2X9.8</v>
          </cell>
        </row>
        <row r="199">
          <cell r="C199">
            <v>612001</v>
          </cell>
          <cell r="D199" t="str">
            <v>BR.N 2822</v>
          </cell>
        </row>
        <row r="200">
          <cell r="C200">
            <v>913016</v>
          </cell>
          <cell r="D200" t="str">
            <v>Box 250x40x50</v>
          </cell>
        </row>
        <row r="201">
          <cell r="C201">
            <v>410028</v>
          </cell>
          <cell r="D201" t="str">
            <v>BR.K 3022          WITH</v>
          </cell>
        </row>
        <row r="202">
          <cell r="C202">
            <v>104026</v>
          </cell>
          <cell r="D202" t="str">
            <v>BR.IR 3000</v>
          </cell>
        </row>
        <row r="203">
          <cell r="C203">
            <v>208026</v>
          </cell>
          <cell r="D203" t="str">
            <v>BR.OR 3000</v>
          </cell>
        </row>
        <row r="204">
          <cell r="C204">
            <v>309026</v>
          </cell>
          <cell r="D204" t="str">
            <v>BR.NCG 3000</v>
          </cell>
        </row>
        <row r="205">
          <cell r="C205">
            <v>410029</v>
          </cell>
          <cell r="D205" t="str">
            <v>BR.K 3026          WITH R</v>
          </cell>
        </row>
        <row r="206">
          <cell r="C206">
            <v>511001</v>
          </cell>
          <cell r="D206" t="str">
            <v>RO 2X9.8</v>
          </cell>
        </row>
        <row r="207">
          <cell r="C207">
            <v>612001</v>
          </cell>
          <cell r="D207" t="str">
            <v>BR.N 2822</v>
          </cell>
        </row>
        <row r="208">
          <cell r="C208">
            <v>913016</v>
          </cell>
          <cell r="D208" t="str">
            <v>Box 250x40x50</v>
          </cell>
        </row>
        <row r="209">
          <cell r="C209">
            <v>104026</v>
          </cell>
          <cell r="D209" t="str">
            <v>BR.IR 3000</v>
          </cell>
        </row>
        <row r="210">
          <cell r="C210">
            <v>208026</v>
          </cell>
          <cell r="D210" t="str">
            <v>BR.OR 3000</v>
          </cell>
        </row>
        <row r="211">
          <cell r="C211">
            <v>309026</v>
          </cell>
          <cell r="D211" t="str">
            <v>BR.NCG 3000</v>
          </cell>
        </row>
        <row r="212">
          <cell r="C212">
            <v>410026.02</v>
          </cell>
          <cell r="D212" t="str">
            <v>BR.K 3000           SKF G</v>
          </cell>
        </row>
        <row r="213">
          <cell r="C213">
            <v>511001</v>
          </cell>
          <cell r="D213" t="str">
            <v>RO 2X9.8</v>
          </cell>
        </row>
        <row r="214">
          <cell r="C214">
            <v>612090</v>
          </cell>
          <cell r="D214" t="str">
            <v>BR.N 2815(06)</v>
          </cell>
        </row>
        <row r="215">
          <cell r="C215">
            <v>410029</v>
          </cell>
          <cell r="D215" t="str">
            <v>BR.K 3026          WITH R</v>
          </cell>
        </row>
        <row r="216">
          <cell r="C216">
            <v>104026</v>
          </cell>
          <cell r="D216" t="str">
            <v>BR.IR 3000</v>
          </cell>
        </row>
        <row r="217">
          <cell r="C217">
            <v>208026</v>
          </cell>
          <cell r="D217" t="str">
            <v>BR.OR 3000</v>
          </cell>
        </row>
        <row r="218">
          <cell r="C218">
            <v>309026</v>
          </cell>
          <cell r="D218" t="str">
            <v>BR.NCG 3000</v>
          </cell>
        </row>
        <row r="219">
          <cell r="C219">
            <v>410029.3</v>
          </cell>
          <cell r="D219" t="str">
            <v>BR.K 3026 SKF</v>
          </cell>
        </row>
        <row r="220">
          <cell r="C220">
            <v>511001</v>
          </cell>
          <cell r="D220" t="str">
            <v>RO 2X9.8</v>
          </cell>
        </row>
        <row r="221">
          <cell r="C221">
            <v>612026.15</v>
          </cell>
          <cell r="D221" t="str">
            <v>BR.N 3000 (Fennel Type)</v>
          </cell>
        </row>
        <row r="222">
          <cell r="C222">
            <v>104026</v>
          </cell>
          <cell r="D222" t="str">
            <v>BR.IR 3000</v>
          </cell>
        </row>
        <row r="223">
          <cell r="C223">
            <v>104030</v>
          </cell>
          <cell r="D223" t="str">
            <v>BR.IR 301725.420</v>
          </cell>
        </row>
        <row r="224">
          <cell r="C224">
            <v>208155.01</v>
          </cell>
          <cell r="D224" t="str">
            <v>BR.OR 3015.875</v>
          </cell>
        </row>
        <row r="225">
          <cell r="C225">
            <v>309001</v>
          </cell>
          <cell r="D225" t="str">
            <v>BR.NCG 2822</v>
          </cell>
        </row>
        <row r="226">
          <cell r="C226">
            <v>511001</v>
          </cell>
          <cell r="D226" t="str">
            <v>RO 2X9.8</v>
          </cell>
        </row>
        <row r="227">
          <cell r="C227">
            <v>612001</v>
          </cell>
          <cell r="D227" t="str">
            <v>BR.N 2822</v>
          </cell>
        </row>
        <row r="228">
          <cell r="C228">
            <v>913016</v>
          </cell>
          <cell r="D228" t="str">
            <v>Box 250x40x50</v>
          </cell>
        </row>
        <row r="229">
          <cell r="C229">
            <v>410040.41</v>
          </cell>
          <cell r="D229" t="str">
            <v>BR.K 3200  STL</v>
          </cell>
        </row>
        <row r="230">
          <cell r="C230">
            <v>104040</v>
          </cell>
          <cell r="D230" t="str">
            <v>BR.IR 3222</v>
          </cell>
        </row>
        <row r="231">
          <cell r="C231">
            <v>208040.4</v>
          </cell>
          <cell r="D231" t="str">
            <v>BR.OR 3222 LMW</v>
          </cell>
        </row>
        <row r="232">
          <cell r="C232">
            <v>309040</v>
          </cell>
          <cell r="D232" t="str">
            <v>BR.NCG 3222</v>
          </cell>
        </row>
        <row r="233">
          <cell r="C233">
            <v>410040.4</v>
          </cell>
          <cell r="D233" t="str">
            <v>BR.K 3200 LMW</v>
          </cell>
        </row>
        <row r="234">
          <cell r="C234">
            <v>511040</v>
          </cell>
          <cell r="D234" t="str">
            <v>RO 2X11.8</v>
          </cell>
        </row>
        <row r="235">
          <cell r="C235">
            <v>612040.4</v>
          </cell>
          <cell r="D235" t="str">
            <v>BR.N 3200 LMW</v>
          </cell>
        </row>
        <row r="236">
          <cell r="C236">
            <v>818252</v>
          </cell>
          <cell r="D236" t="str">
            <v>NYLON RETUNER 23 mm.</v>
          </cell>
        </row>
        <row r="237">
          <cell r="C237">
            <v>913016</v>
          </cell>
          <cell r="D237" t="str">
            <v>Box 250x40x50</v>
          </cell>
        </row>
        <row r="238">
          <cell r="C238">
            <v>100040.01</v>
          </cell>
          <cell r="D238" t="str">
            <v>IR.MBT2830EGL</v>
          </cell>
        </row>
        <row r="239">
          <cell r="C239">
            <v>200040.01</v>
          </cell>
          <cell r="D239" t="str">
            <v>OR.MBT2830EGL</v>
          </cell>
        </row>
        <row r="240">
          <cell r="C240">
            <v>300040.01</v>
          </cell>
          <cell r="D240" t="str">
            <v>CAGE.MBT2830EGL</v>
          </cell>
        </row>
        <row r="241">
          <cell r="C241">
            <v>400040.01</v>
          </cell>
          <cell r="D241" t="str">
            <v>CLIPS.MBT2830EGL</v>
          </cell>
        </row>
        <row r="242">
          <cell r="C242">
            <v>511040.01</v>
          </cell>
          <cell r="D242" t="str">
            <v>RO 2.8X9.8</v>
          </cell>
        </row>
        <row r="243">
          <cell r="C243">
            <v>5221208.0199999996</v>
          </cell>
          <cell r="D243" t="str">
            <v>O Centoplex BE41 103BH</v>
          </cell>
        </row>
        <row r="244">
          <cell r="C244">
            <v>612001</v>
          </cell>
          <cell r="D244" t="str">
            <v>BR.N 2822</v>
          </cell>
        </row>
        <row r="245">
          <cell r="C245">
            <v>700040.01</v>
          </cell>
          <cell r="D245" t="str">
            <v>SEAL.MBT2830EGL 01</v>
          </cell>
        </row>
        <row r="246">
          <cell r="C246">
            <v>700040.02</v>
          </cell>
          <cell r="D246" t="str">
            <v>SEAL.MBT2830EGL 01</v>
          </cell>
        </row>
        <row r="247">
          <cell r="C247">
            <v>410040.4</v>
          </cell>
          <cell r="D247" t="str">
            <v>BR.K 3200 LMW</v>
          </cell>
        </row>
        <row r="248">
          <cell r="C248">
            <v>309040</v>
          </cell>
          <cell r="D248" t="str">
            <v>BR.NCG 3222</v>
          </cell>
        </row>
        <row r="249">
          <cell r="C249">
            <v>511040</v>
          </cell>
          <cell r="D249" t="str">
            <v>RO 2X11.8</v>
          </cell>
        </row>
        <row r="250">
          <cell r="C250">
            <v>913010</v>
          </cell>
          <cell r="D250" t="str">
            <v>Box 150x40x50</v>
          </cell>
        </row>
        <row r="251">
          <cell r="C251">
            <v>612040.4</v>
          </cell>
          <cell r="D251" t="str">
            <v>BR.N 3200 LMW</v>
          </cell>
        </row>
        <row r="252">
          <cell r="C252">
            <v>104040</v>
          </cell>
          <cell r="D252" t="str">
            <v>BR.IR 3222</v>
          </cell>
        </row>
        <row r="253">
          <cell r="C253">
            <v>208040.4</v>
          </cell>
          <cell r="D253" t="str">
            <v>BR.OR 3222 LMW</v>
          </cell>
        </row>
        <row r="254">
          <cell r="C254">
            <v>309040.01</v>
          </cell>
          <cell r="D254" t="str">
            <v>BR.TCG 3222</v>
          </cell>
        </row>
        <row r="255">
          <cell r="C255">
            <v>410040.4</v>
          </cell>
          <cell r="D255" t="str">
            <v>BR.K 3200 LMW</v>
          </cell>
        </row>
        <row r="256">
          <cell r="C256">
            <v>511040</v>
          </cell>
          <cell r="D256" t="str">
            <v>RO 2X11.8</v>
          </cell>
        </row>
        <row r="257">
          <cell r="C257">
            <v>612040.4</v>
          </cell>
          <cell r="D257" t="str">
            <v>BR.N 3200 LMW</v>
          </cell>
        </row>
        <row r="258">
          <cell r="C258">
            <v>913016</v>
          </cell>
          <cell r="D258" t="str">
            <v>Box 250x40x50</v>
          </cell>
        </row>
        <row r="259">
          <cell r="C259">
            <v>104040</v>
          </cell>
          <cell r="D259" t="str">
            <v>BR.IR 3222</v>
          </cell>
        </row>
        <row r="260">
          <cell r="C260">
            <v>208040.4</v>
          </cell>
          <cell r="D260" t="str">
            <v>BR.OR 3222 LMW</v>
          </cell>
        </row>
        <row r="261">
          <cell r="C261">
            <v>309040</v>
          </cell>
          <cell r="D261" t="str">
            <v>BR.NCG 3222</v>
          </cell>
        </row>
        <row r="262">
          <cell r="C262">
            <v>511040</v>
          </cell>
          <cell r="D262" t="str">
            <v>RO 2X11.8</v>
          </cell>
        </row>
        <row r="263">
          <cell r="C263">
            <v>5221208.0199999996</v>
          </cell>
          <cell r="D263" t="str">
            <v>O Centoplex BE41 103BH</v>
          </cell>
        </row>
        <row r="264">
          <cell r="C264">
            <v>612040.4</v>
          </cell>
          <cell r="D264" t="str">
            <v>BR.N 3200 LMW</v>
          </cell>
        </row>
        <row r="265">
          <cell r="C265">
            <v>717165.03</v>
          </cell>
          <cell r="D265" t="str">
            <v>Nipple Washer</v>
          </cell>
        </row>
        <row r="266">
          <cell r="C266">
            <v>818252</v>
          </cell>
          <cell r="D266" t="str">
            <v>NYLON RETUNER 23 mm.</v>
          </cell>
        </row>
        <row r="267">
          <cell r="C267">
            <v>913016</v>
          </cell>
          <cell r="D267" t="str">
            <v>Box 250x40x50</v>
          </cell>
        </row>
        <row r="268">
          <cell r="C268">
            <v>104040</v>
          </cell>
          <cell r="D268" t="str">
            <v>BR.IR 3222</v>
          </cell>
        </row>
        <row r="269">
          <cell r="C269">
            <v>208040.4</v>
          </cell>
          <cell r="D269" t="str">
            <v>BR.OR 3222 LMW</v>
          </cell>
        </row>
        <row r="270">
          <cell r="C270">
            <v>309040</v>
          </cell>
          <cell r="D270" t="str">
            <v>BR.NCG 3222</v>
          </cell>
        </row>
        <row r="271">
          <cell r="C271">
            <v>410040.3</v>
          </cell>
          <cell r="D271" t="str">
            <v>BR.K 3200  ST</v>
          </cell>
        </row>
        <row r="272">
          <cell r="C272">
            <v>511040</v>
          </cell>
          <cell r="D272" t="str">
            <v>RO 2X11.8</v>
          </cell>
        </row>
        <row r="273">
          <cell r="C273">
            <v>612040.4</v>
          </cell>
          <cell r="D273" t="str">
            <v>BR.N 3200 LMW</v>
          </cell>
        </row>
        <row r="274">
          <cell r="C274">
            <v>913016</v>
          </cell>
          <cell r="D274" t="str">
            <v>Box 250x40x50</v>
          </cell>
        </row>
        <row r="275">
          <cell r="C275">
            <v>410040.3</v>
          </cell>
          <cell r="D275" t="str">
            <v>BR.K 3200  ST</v>
          </cell>
        </row>
        <row r="276">
          <cell r="C276">
            <v>104040</v>
          </cell>
          <cell r="D276" t="str">
            <v>BR.IR 3222</v>
          </cell>
        </row>
        <row r="277">
          <cell r="C277">
            <v>208040.4</v>
          </cell>
          <cell r="D277" t="str">
            <v>BR.OR 3222 LMW</v>
          </cell>
        </row>
        <row r="278">
          <cell r="C278">
            <v>309040</v>
          </cell>
          <cell r="D278" t="str">
            <v>BR.NCG 3222</v>
          </cell>
        </row>
        <row r="279">
          <cell r="C279">
            <v>410040.4</v>
          </cell>
          <cell r="D279" t="str">
            <v>BR.K 3200 LMW</v>
          </cell>
        </row>
        <row r="280">
          <cell r="C280">
            <v>511040</v>
          </cell>
          <cell r="D280" t="str">
            <v>RO 2X11.8</v>
          </cell>
        </row>
        <row r="281">
          <cell r="C281">
            <v>5221208.0199999996</v>
          </cell>
          <cell r="D281" t="str">
            <v>O Centoplex BE41 103BH</v>
          </cell>
        </row>
        <row r="282">
          <cell r="C282">
            <v>612040.4</v>
          </cell>
          <cell r="D282" t="str">
            <v>BR.N 3200 LMW</v>
          </cell>
        </row>
        <row r="283">
          <cell r="C283">
            <v>818252</v>
          </cell>
          <cell r="D283" t="str">
            <v>NYLON RETUNER 23 mm.</v>
          </cell>
        </row>
        <row r="284">
          <cell r="C284">
            <v>913016</v>
          </cell>
          <cell r="D284" t="str">
            <v>Box 250x40x50</v>
          </cell>
        </row>
        <row r="285">
          <cell r="C285">
            <v>104040</v>
          </cell>
          <cell r="D285" t="str">
            <v>BR.IR 3222</v>
          </cell>
        </row>
        <row r="286">
          <cell r="C286">
            <v>208040.4</v>
          </cell>
          <cell r="D286" t="str">
            <v>BR.OR 3222 LMW</v>
          </cell>
        </row>
        <row r="287">
          <cell r="C287">
            <v>309040</v>
          </cell>
          <cell r="D287" t="str">
            <v>BR.NCG 3222</v>
          </cell>
        </row>
        <row r="288">
          <cell r="C288">
            <v>410040.4</v>
          </cell>
          <cell r="D288" t="str">
            <v>BR.K 3200 LMW</v>
          </cell>
        </row>
        <row r="289">
          <cell r="C289">
            <v>511040</v>
          </cell>
          <cell r="D289" t="str">
            <v>RO 2X11.8</v>
          </cell>
        </row>
        <row r="290">
          <cell r="C290">
            <v>5221208.0199999996</v>
          </cell>
          <cell r="D290" t="str">
            <v>O Centoplex BE41 103BH</v>
          </cell>
        </row>
        <row r="291">
          <cell r="C291">
            <v>612040.4</v>
          </cell>
          <cell r="D291" t="str">
            <v>BR.N 3200 LMW</v>
          </cell>
        </row>
        <row r="292">
          <cell r="C292">
            <v>818252</v>
          </cell>
          <cell r="D292" t="str">
            <v>NYLON RETUNER 23 mm.</v>
          </cell>
        </row>
        <row r="293">
          <cell r="C293">
            <v>913016</v>
          </cell>
          <cell r="D293" t="str">
            <v>Box 250x40x50</v>
          </cell>
        </row>
        <row r="294">
          <cell r="C294">
            <v>104040</v>
          </cell>
          <cell r="D294" t="str">
            <v>BR.IR 3222</v>
          </cell>
        </row>
        <row r="295">
          <cell r="C295">
            <v>208040.4</v>
          </cell>
          <cell r="D295" t="str">
            <v>BR.OR 3222 LMW</v>
          </cell>
        </row>
        <row r="296">
          <cell r="C296">
            <v>309040</v>
          </cell>
          <cell r="D296" t="str">
            <v>BR.NCG 3222</v>
          </cell>
        </row>
        <row r="297">
          <cell r="C297">
            <v>410040.41</v>
          </cell>
          <cell r="D297" t="str">
            <v>BR.K 3200  STL</v>
          </cell>
        </row>
        <row r="298">
          <cell r="C298">
            <v>511040</v>
          </cell>
          <cell r="D298" t="str">
            <v>RO 2X11.8</v>
          </cell>
        </row>
        <row r="299">
          <cell r="C299">
            <v>612040.4</v>
          </cell>
          <cell r="D299" t="str">
            <v>BR.N 3200 LMW</v>
          </cell>
        </row>
        <row r="300">
          <cell r="C300">
            <v>913016</v>
          </cell>
          <cell r="D300" t="str">
            <v>Box 250x40x50</v>
          </cell>
        </row>
        <row r="301">
          <cell r="C301">
            <v>410040.41</v>
          </cell>
          <cell r="D301" t="str">
            <v>BR.K 3200  STL</v>
          </cell>
        </row>
        <row r="302">
          <cell r="C302">
            <v>612040.4</v>
          </cell>
          <cell r="D302" t="str">
            <v>BR.N 3200 LMW</v>
          </cell>
        </row>
        <row r="303">
          <cell r="C303">
            <v>104040</v>
          </cell>
          <cell r="D303" t="str">
            <v>BR.IR 3222</v>
          </cell>
        </row>
        <row r="304">
          <cell r="C304">
            <v>208040.4</v>
          </cell>
          <cell r="D304" t="str">
            <v>BR.OR 3222 LMW</v>
          </cell>
        </row>
        <row r="305">
          <cell r="C305">
            <v>309040</v>
          </cell>
          <cell r="D305" t="str">
            <v>BR.NCG 3222</v>
          </cell>
        </row>
        <row r="306">
          <cell r="C306">
            <v>410041</v>
          </cell>
          <cell r="D306" t="str">
            <v>BR.K 3220          WITH R</v>
          </cell>
        </row>
        <row r="307">
          <cell r="C307">
            <v>511040</v>
          </cell>
          <cell r="D307" t="str">
            <v>RO 2X11.8</v>
          </cell>
        </row>
        <row r="308">
          <cell r="C308">
            <v>612040.4</v>
          </cell>
          <cell r="D308" t="str">
            <v>BR.N 3200 LMW</v>
          </cell>
        </row>
        <row r="309">
          <cell r="C309">
            <v>913016</v>
          </cell>
          <cell r="D309" t="str">
            <v>Box 250x40x50</v>
          </cell>
        </row>
        <row r="310">
          <cell r="C310">
            <v>410041</v>
          </cell>
          <cell r="D310" t="str">
            <v>BR.K 3220          WITH R</v>
          </cell>
        </row>
        <row r="311">
          <cell r="C311">
            <v>104040</v>
          </cell>
          <cell r="D311" t="str">
            <v>BR.IR 3222</v>
          </cell>
        </row>
        <row r="312">
          <cell r="C312">
            <v>208040.4</v>
          </cell>
          <cell r="D312" t="str">
            <v>BR.OR 3222 LMW</v>
          </cell>
        </row>
        <row r="313">
          <cell r="C313">
            <v>309040</v>
          </cell>
          <cell r="D313" t="str">
            <v>BR.NCG 3222</v>
          </cell>
        </row>
        <row r="314">
          <cell r="C314">
            <v>410121</v>
          </cell>
          <cell r="D314" t="str">
            <v>BR.K 3217L         WITH R</v>
          </cell>
        </row>
        <row r="315">
          <cell r="C315">
            <v>511040</v>
          </cell>
          <cell r="D315" t="str">
            <v>RO 2X11.8</v>
          </cell>
        </row>
        <row r="316">
          <cell r="C316">
            <v>612040.4</v>
          </cell>
          <cell r="D316" t="str">
            <v>BR.N 3200 LMW</v>
          </cell>
        </row>
        <row r="317">
          <cell r="C317">
            <v>913006</v>
          </cell>
          <cell r="D317" t="str">
            <v>Box 50x35x50</v>
          </cell>
        </row>
        <row r="318">
          <cell r="C318">
            <v>104040</v>
          </cell>
          <cell r="D318" t="str">
            <v>BR.IR 3222</v>
          </cell>
        </row>
        <row r="319">
          <cell r="C319">
            <v>208040.4</v>
          </cell>
          <cell r="D319" t="str">
            <v>BR.OR 3222 LMW</v>
          </cell>
        </row>
        <row r="320">
          <cell r="C320">
            <v>309040.01</v>
          </cell>
          <cell r="D320" t="str">
            <v>BR.TCG 3222</v>
          </cell>
        </row>
        <row r="321">
          <cell r="C321">
            <v>410041</v>
          </cell>
          <cell r="D321" t="str">
            <v>BR.K 3220          WITH R</v>
          </cell>
        </row>
        <row r="322">
          <cell r="C322">
            <v>511040</v>
          </cell>
          <cell r="D322" t="str">
            <v>RO 2X11.8</v>
          </cell>
        </row>
        <row r="323">
          <cell r="C323">
            <v>612040.4</v>
          </cell>
          <cell r="D323" t="str">
            <v>BR.N 3200 LMW</v>
          </cell>
        </row>
        <row r="324">
          <cell r="C324">
            <v>913016</v>
          </cell>
          <cell r="D324" t="str">
            <v>Box 250x40x50</v>
          </cell>
        </row>
        <row r="325">
          <cell r="C325">
            <v>410040.41</v>
          </cell>
          <cell r="D325" t="str">
            <v>BR.K 3200  STL</v>
          </cell>
        </row>
        <row r="326">
          <cell r="C326">
            <v>104040</v>
          </cell>
          <cell r="D326" t="str">
            <v>BR.IR 3222</v>
          </cell>
        </row>
        <row r="327">
          <cell r="C327">
            <v>208040.4</v>
          </cell>
          <cell r="D327" t="str">
            <v>BR.OR 3222 LMW</v>
          </cell>
        </row>
        <row r="328">
          <cell r="C328">
            <v>309040</v>
          </cell>
          <cell r="D328" t="str">
            <v>BR.NCG 3222</v>
          </cell>
        </row>
        <row r="329">
          <cell r="C329">
            <v>410042</v>
          </cell>
          <cell r="D329" t="str">
            <v>BR.K 3222          WITH R</v>
          </cell>
        </row>
        <row r="330">
          <cell r="C330">
            <v>511040</v>
          </cell>
          <cell r="D330" t="str">
            <v>RO 2X11.8</v>
          </cell>
        </row>
        <row r="331">
          <cell r="C331">
            <v>612040.4</v>
          </cell>
          <cell r="D331" t="str">
            <v>BR.N 3200 LMW</v>
          </cell>
        </row>
        <row r="332">
          <cell r="C332">
            <v>913016</v>
          </cell>
          <cell r="D332" t="str">
            <v>Box 250x40x50</v>
          </cell>
        </row>
        <row r="333">
          <cell r="C333">
            <v>208040.4</v>
          </cell>
          <cell r="D333" t="str">
            <v>BR.OR 3222 LMW</v>
          </cell>
        </row>
        <row r="334">
          <cell r="C334">
            <v>913016</v>
          </cell>
          <cell r="D334" t="str">
            <v>Box 250x40x50</v>
          </cell>
        </row>
        <row r="335">
          <cell r="C335">
            <v>410042</v>
          </cell>
          <cell r="D335" t="str">
            <v>BR.K 3222          WITH R</v>
          </cell>
        </row>
        <row r="336">
          <cell r="C336">
            <v>309040</v>
          </cell>
          <cell r="D336" t="str">
            <v>BR.NCG 3222</v>
          </cell>
        </row>
        <row r="337">
          <cell r="C337">
            <v>511040</v>
          </cell>
          <cell r="D337" t="str">
            <v>RO 2X11.8</v>
          </cell>
        </row>
        <row r="338">
          <cell r="C338">
            <v>913010</v>
          </cell>
          <cell r="D338" t="str">
            <v>Box 150x40x50</v>
          </cell>
        </row>
        <row r="339">
          <cell r="C339">
            <v>309040.01</v>
          </cell>
          <cell r="D339" t="str">
            <v>BR.TCG 3222</v>
          </cell>
        </row>
        <row r="340">
          <cell r="C340">
            <v>511040</v>
          </cell>
          <cell r="D340" t="str">
            <v>RO 2X11.8</v>
          </cell>
        </row>
        <row r="341">
          <cell r="C341">
            <v>612042</v>
          </cell>
          <cell r="D341" t="str">
            <v>BR.N 3222</v>
          </cell>
        </row>
        <row r="342">
          <cell r="C342">
            <v>104040</v>
          </cell>
          <cell r="D342" t="str">
            <v>BR.IR 3222</v>
          </cell>
        </row>
        <row r="343">
          <cell r="C343">
            <v>208040.4</v>
          </cell>
          <cell r="D343" t="str">
            <v>BR.OR 3222 LMW</v>
          </cell>
        </row>
        <row r="344">
          <cell r="C344">
            <v>309040.01</v>
          </cell>
          <cell r="D344" t="str">
            <v>BR.TCG 3222</v>
          </cell>
        </row>
        <row r="345">
          <cell r="C345">
            <v>410042</v>
          </cell>
          <cell r="D345" t="str">
            <v>BR.K 3222          WITH R</v>
          </cell>
        </row>
        <row r="346">
          <cell r="C346">
            <v>511040</v>
          </cell>
          <cell r="D346" t="str">
            <v>RO 2X11.8</v>
          </cell>
        </row>
        <row r="347">
          <cell r="C347">
            <v>612040.4</v>
          </cell>
          <cell r="D347" t="str">
            <v>BR.N 3200 LMW</v>
          </cell>
        </row>
        <row r="348">
          <cell r="C348">
            <v>913016</v>
          </cell>
          <cell r="D348" t="str">
            <v>Box 250x40x50</v>
          </cell>
        </row>
        <row r="349">
          <cell r="C349">
            <v>104040</v>
          </cell>
          <cell r="D349" t="str">
            <v>BR.IR 3222</v>
          </cell>
        </row>
        <row r="350">
          <cell r="C350">
            <v>208040.4</v>
          </cell>
          <cell r="D350" t="str">
            <v>BR.OR 3222 LMW</v>
          </cell>
        </row>
        <row r="351">
          <cell r="C351">
            <v>309040</v>
          </cell>
          <cell r="D351" t="str">
            <v>BR.NCG 3222</v>
          </cell>
        </row>
        <row r="352">
          <cell r="C352">
            <v>410043</v>
          </cell>
          <cell r="D352" t="str">
            <v>BR.K 3224          WITH R</v>
          </cell>
        </row>
        <row r="353">
          <cell r="C353">
            <v>511040</v>
          </cell>
          <cell r="D353" t="str">
            <v>RO 2X11.8</v>
          </cell>
        </row>
        <row r="354">
          <cell r="C354">
            <v>612040.4</v>
          </cell>
          <cell r="D354" t="str">
            <v>BR.N 3200 LMW</v>
          </cell>
        </row>
        <row r="355">
          <cell r="C355">
            <v>913016</v>
          </cell>
          <cell r="D355" t="str">
            <v>Box 250x40x50</v>
          </cell>
        </row>
        <row r="356">
          <cell r="C356">
            <v>104040</v>
          </cell>
          <cell r="D356" t="str">
            <v>BR.IR 3222</v>
          </cell>
        </row>
        <row r="357">
          <cell r="C357">
            <v>208040.4</v>
          </cell>
          <cell r="D357" t="str">
            <v>BR.OR 3222 LMW</v>
          </cell>
        </row>
        <row r="358">
          <cell r="C358">
            <v>309040</v>
          </cell>
          <cell r="D358" t="str">
            <v>BR.NCG 3222</v>
          </cell>
        </row>
        <row r="359">
          <cell r="C359">
            <v>410043.01</v>
          </cell>
          <cell r="D359" t="str">
            <v>BR.K 3224           W/O R</v>
          </cell>
        </row>
        <row r="360">
          <cell r="C360">
            <v>511040</v>
          </cell>
          <cell r="D360" t="str">
            <v>RO 2X11.8</v>
          </cell>
        </row>
        <row r="361">
          <cell r="C361">
            <v>612040.4</v>
          </cell>
          <cell r="D361" t="str">
            <v>BR.N 3200 LMW</v>
          </cell>
        </row>
        <row r="362">
          <cell r="C362">
            <v>913016</v>
          </cell>
          <cell r="D362" t="str">
            <v>Box 250x40x50</v>
          </cell>
        </row>
        <row r="363">
          <cell r="C363">
            <v>410043</v>
          </cell>
          <cell r="D363" t="str">
            <v>BR.K 3224          WITH R</v>
          </cell>
        </row>
        <row r="364">
          <cell r="C364">
            <v>309040</v>
          </cell>
          <cell r="D364" t="str">
            <v>BR.NCG 3222</v>
          </cell>
        </row>
        <row r="365">
          <cell r="C365">
            <v>511040</v>
          </cell>
          <cell r="D365" t="str">
            <v>RO 2X11.8</v>
          </cell>
        </row>
        <row r="366">
          <cell r="C366">
            <v>913010</v>
          </cell>
          <cell r="D366" t="str">
            <v>Box 150x40x50</v>
          </cell>
        </row>
        <row r="367">
          <cell r="C367">
            <v>104040</v>
          </cell>
          <cell r="D367" t="str">
            <v>BR.IR 3222</v>
          </cell>
        </row>
        <row r="368">
          <cell r="C368">
            <v>208040.4</v>
          </cell>
          <cell r="D368" t="str">
            <v>BR.OR 3222 LMW</v>
          </cell>
        </row>
        <row r="369">
          <cell r="C369">
            <v>309040</v>
          </cell>
          <cell r="D369" t="str">
            <v>BR.NCG 3222</v>
          </cell>
        </row>
        <row r="370">
          <cell r="C370">
            <v>410043.1</v>
          </cell>
          <cell r="D370" t="str">
            <v>BR.K 3228           W/O</v>
          </cell>
        </row>
        <row r="371">
          <cell r="C371">
            <v>511040</v>
          </cell>
          <cell r="D371" t="str">
            <v>RO 2X11.8</v>
          </cell>
        </row>
        <row r="372">
          <cell r="C372">
            <v>612040.4</v>
          </cell>
          <cell r="D372" t="str">
            <v>BR.N 3200 LMW</v>
          </cell>
        </row>
        <row r="373">
          <cell r="C373">
            <v>104040</v>
          </cell>
          <cell r="D373" t="str">
            <v>BR.IR 3222</v>
          </cell>
        </row>
        <row r="374">
          <cell r="C374">
            <v>208040.4</v>
          </cell>
          <cell r="D374" t="str">
            <v>BR.OR 3222 LMW</v>
          </cell>
        </row>
        <row r="375">
          <cell r="C375">
            <v>309040.01</v>
          </cell>
          <cell r="D375" t="str">
            <v>BR.TCG 3222</v>
          </cell>
        </row>
        <row r="376">
          <cell r="C376">
            <v>410043</v>
          </cell>
          <cell r="D376" t="str">
            <v>BR.K 3224          WITH R</v>
          </cell>
        </row>
        <row r="377">
          <cell r="C377">
            <v>511040</v>
          </cell>
          <cell r="D377" t="str">
            <v>RO 2X11.8</v>
          </cell>
        </row>
        <row r="378">
          <cell r="C378">
            <v>612040.4</v>
          </cell>
          <cell r="D378" t="str">
            <v>BR.N 3200 LMW</v>
          </cell>
        </row>
        <row r="379">
          <cell r="C379">
            <v>104040</v>
          </cell>
          <cell r="D379" t="str">
            <v>BR.IR 3222</v>
          </cell>
        </row>
        <row r="380">
          <cell r="C380">
            <v>208040.4</v>
          </cell>
          <cell r="D380" t="str">
            <v>BR.OR 3222 LMW</v>
          </cell>
        </row>
        <row r="381">
          <cell r="C381">
            <v>309040</v>
          </cell>
          <cell r="D381" t="str">
            <v>BR.NCG 3222</v>
          </cell>
        </row>
        <row r="382">
          <cell r="C382">
            <v>410044</v>
          </cell>
          <cell r="D382" t="str">
            <v>BR.K 3225          WITH R</v>
          </cell>
        </row>
        <row r="383">
          <cell r="C383">
            <v>511040</v>
          </cell>
          <cell r="D383" t="str">
            <v>RO 2X11.8</v>
          </cell>
        </row>
        <row r="384">
          <cell r="C384">
            <v>612040.4</v>
          </cell>
          <cell r="D384" t="str">
            <v>BR.N 3200 LMW</v>
          </cell>
        </row>
        <row r="385">
          <cell r="C385">
            <v>913016</v>
          </cell>
          <cell r="D385" t="str">
            <v>Box 250x40x50</v>
          </cell>
        </row>
        <row r="386">
          <cell r="C386">
            <v>410044</v>
          </cell>
          <cell r="D386" t="str">
            <v>BR.K 3225          WITH R</v>
          </cell>
        </row>
        <row r="387">
          <cell r="C387">
            <v>309040</v>
          </cell>
          <cell r="D387" t="str">
            <v>BR.NCG 3222</v>
          </cell>
        </row>
        <row r="388">
          <cell r="C388">
            <v>511040</v>
          </cell>
          <cell r="D388" t="str">
            <v>RO 2X11.8</v>
          </cell>
        </row>
        <row r="389">
          <cell r="C389">
            <v>913010</v>
          </cell>
          <cell r="D389" t="str">
            <v>Box 150x40x50</v>
          </cell>
        </row>
        <row r="390">
          <cell r="C390">
            <v>612040.4</v>
          </cell>
          <cell r="D390" t="str">
            <v>BR.N 3200 LMW</v>
          </cell>
        </row>
        <row r="391">
          <cell r="C391">
            <v>104040</v>
          </cell>
          <cell r="D391" t="str">
            <v>BR.IR 3222</v>
          </cell>
        </row>
        <row r="392">
          <cell r="C392">
            <v>208040.4</v>
          </cell>
          <cell r="D392" t="str">
            <v>BR.OR 3222 LMW</v>
          </cell>
        </row>
        <row r="393">
          <cell r="C393">
            <v>309040</v>
          </cell>
          <cell r="D393" t="str">
            <v>BR.NCG 3222</v>
          </cell>
        </row>
        <row r="394">
          <cell r="C394">
            <v>410045</v>
          </cell>
          <cell r="D394" t="str">
            <v>BR.K 3226          WITH R</v>
          </cell>
        </row>
        <row r="395">
          <cell r="C395">
            <v>511040</v>
          </cell>
          <cell r="D395" t="str">
            <v>RO 2X11.8</v>
          </cell>
        </row>
        <row r="396">
          <cell r="C396">
            <v>612040.4</v>
          </cell>
          <cell r="D396" t="str">
            <v>BR.N 3200 LMW</v>
          </cell>
        </row>
        <row r="397">
          <cell r="C397">
            <v>913016</v>
          </cell>
          <cell r="D397" t="str">
            <v>Box 250x40x50</v>
          </cell>
        </row>
        <row r="398">
          <cell r="C398">
            <v>104046</v>
          </cell>
          <cell r="D398" t="str">
            <v>BR.IR 322224 SPL.</v>
          </cell>
        </row>
        <row r="399">
          <cell r="C399">
            <v>208046</v>
          </cell>
          <cell r="D399" t="str">
            <v>BR.OR 322224 SPL.</v>
          </cell>
        </row>
        <row r="400">
          <cell r="C400">
            <v>309046.03999999998</v>
          </cell>
          <cell r="D400" t="str">
            <v>BR.NCG 322224(LOCK TYPE)</v>
          </cell>
        </row>
        <row r="401">
          <cell r="C401">
            <v>410944.02</v>
          </cell>
          <cell r="D401" t="str">
            <v>BR.K 322224         SKF G</v>
          </cell>
        </row>
        <row r="402">
          <cell r="C402">
            <v>511042</v>
          </cell>
          <cell r="D402" t="str">
            <v>RO 2.5X10.8</v>
          </cell>
        </row>
        <row r="403">
          <cell r="C403">
            <v>612040.4</v>
          </cell>
          <cell r="D403" t="str">
            <v>BR.N 3200 LMW</v>
          </cell>
        </row>
        <row r="404">
          <cell r="C404">
            <v>913016</v>
          </cell>
          <cell r="D404" t="str">
            <v>Box 250x40x50</v>
          </cell>
        </row>
        <row r="405">
          <cell r="C405">
            <v>410944.02</v>
          </cell>
          <cell r="D405" t="str">
            <v>BR.K 322224         SKF G</v>
          </cell>
        </row>
        <row r="406">
          <cell r="C406">
            <v>309046.03999999998</v>
          </cell>
          <cell r="D406" t="str">
            <v>BR.NCG 322224(LOCK TYPE)</v>
          </cell>
        </row>
        <row r="407">
          <cell r="C407">
            <v>511042</v>
          </cell>
          <cell r="D407" t="str">
            <v>RO 2.5X10.8</v>
          </cell>
        </row>
        <row r="408">
          <cell r="C408">
            <v>913010</v>
          </cell>
          <cell r="D408" t="str">
            <v>Box 150x40x50</v>
          </cell>
        </row>
        <row r="409">
          <cell r="C409">
            <v>309046.01</v>
          </cell>
          <cell r="D409" t="str">
            <v>BR.NCG 3224(For BR 322224</v>
          </cell>
        </row>
        <row r="410">
          <cell r="C410">
            <v>511001</v>
          </cell>
          <cell r="D410" t="str">
            <v>RO 2X9.8</v>
          </cell>
        </row>
        <row r="411">
          <cell r="C411">
            <v>104046</v>
          </cell>
          <cell r="D411" t="str">
            <v>BR.IR 322224 SPL.</v>
          </cell>
        </row>
        <row r="412">
          <cell r="C412">
            <v>208046</v>
          </cell>
          <cell r="D412" t="str">
            <v>BR.OR 322224 SPL.</v>
          </cell>
        </row>
        <row r="413">
          <cell r="C413">
            <v>309046.03999999998</v>
          </cell>
          <cell r="D413" t="str">
            <v>BR.NCG 322224(LOCK TYPE)</v>
          </cell>
        </row>
        <row r="414">
          <cell r="C414">
            <v>410047.02</v>
          </cell>
          <cell r="D414" t="str">
            <v>BR.K 322424         SKF G</v>
          </cell>
        </row>
        <row r="415">
          <cell r="C415">
            <v>511042</v>
          </cell>
          <cell r="D415" t="str">
            <v>RO 2.5X10.8</v>
          </cell>
        </row>
        <row r="416">
          <cell r="C416">
            <v>612040.4</v>
          </cell>
          <cell r="D416" t="str">
            <v>BR.N 3200 LMW</v>
          </cell>
        </row>
        <row r="417">
          <cell r="C417">
            <v>410047.02</v>
          </cell>
          <cell r="D417" t="str">
            <v>BR.K 322424         SKF G</v>
          </cell>
        </row>
        <row r="418">
          <cell r="C418">
            <v>309046.03999999998</v>
          </cell>
          <cell r="D418" t="str">
            <v>BR.NCG 322224(LOCK TYPE)</v>
          </cell>
        </row>
        <row r="419">
          <cell r="C419">
            <v>511042</v>
          </cell>
          <cell r="D419" t="str">
            <v>RO 2.5X10.8</v>
          </cell>
        </row>
        <row r="420">
          <cell r="C420">
            <v>410047.07</v>
          </cell>
          <cell r="D420" t="str">
            <v>BR.K 322424 SKF WO D</v>
          </cell>
        </row>
        <row r="421">
          <cell r="C421">
            <v>104046</v>
          </cell>
          <cell r="D421" t="str">
            <v>BR.IR 322224 SPL.</v>
          </cell>
        </row>
        <row r="422">
          <cell r="C422">
            <v>208046</v>
          </cell>
          <cell r="D422" t="str">
            <v>BR.OR 322224 SPL.</v>
          </cell>
        </row>
        <row r="423">
          <cell r="C423">
            <v>309046.03999999998</v>
          </cell>
          <cell r="D423" t="str">
            <v>BR.NCG 322224(LOCK TYPE)</v>
          </cell>
        </row>
        <row r="424">
          <cell r="C424">
            <v>410125.02</v>
          </cell>
          <cell r="D424" t="str">
            <v>BR.K 3218.5(06)     SKF G</v>
          </cell>
        </row>
        <row r="425">
          <cell r="C425">
            <v>511042</v>
          </cell>
          <cell r="D425" t="str">
            <v>RO 2.5X10.8</v>
          </cell>
        </row>
        <row r="426">
          <cell r="C426">
            <v>612040.4</v>
          </cell>
          <cell r="D426" t="str">
            <v>BR.N 3200 LMW</v>
          </cell>
        </row>
        <row r="427">
          <cell r="C427">
            <v>913016</v>
          </cell>
          <cell r="D427" t="str">
            <v>Box 250x40x50</v>
          </cell>
        </row>
        <row r="428">
          <cell r="C428">
            <v>104046</v>
          </cell>
          <cell r="D428" t="str">
            <v>BR.IR 322224 SPL.</v>
          </cell>
        </row>
        <row r="429">
          <cell r="C429">
            <v>208046</v>
          </cell>
          <cell r="D429" t="str">
            <v>BR.OR 322224 SPL.</v>
          </cell>
        </row>
        <row r="430">
          <cell r="C430">
            <v>309046.03999999998</v>
          </cell>
          <cell r="D430" t="str">
            <v>BR.NCG 322224(LOCK TYPE)</v>
          </cell>
        </row>
        <row r="431">
          <cell r="C431">
            <v>511042</v>
          </cell>
          <cell r="D431" t="str">
            <v>RO 2.5X10.8</v>
          </cell>
        </row>
        <row r="432">
          <cell r="C432">
            <v>410125.02</v>
          </cell>
          <cell r="D432" t="str">
            <v>BR.K 3218.5(06)     SKF G</v>
          </cell>
        </row>
        <row r="433">
          <cell r="C433">
            <v>309046.03999999998</v>
          </cell>
          <cell r="D433" t="str">
            <v>BR.NCG 322224(LOCK TYPE)</v>
          </cell>
        </row>
        <row r="434">
          <cell r="C434">
            <v>511042</v>
          </cell>
          <cell r="D434" t="str">
            <v>RO 2.5X10.8</v>
          </cell>
        </row>
        <row r="435">
          <cell r="C435">
            <v>913010</v>
          </cell>
          <cell r="D435" t="str">
            <v>Box 150x40x50</v>
          </cell>
        </row>
        <row r="436">
          <cell r="C436">
            <v>104046</v>
          </cell>
          <cell r="D436" t="str">
            <v>BR.IR 322224 SPL.</v>
          </cell>
        </row>
        <row r="437">
          <cell r="C437">
            <v>208046</v>
          </cell>
          <cell r="D437" t="str">
            <v>BR.OR 322224 SPL.</v>
          </cell>
        </row>
        <row r="438">
          <cell r="C438">
            <v>309046.03999999998</v>
          </cell>
          <cell r="D438" t="str">
            <v>BR.NCG 322224(LOCK TYPE)</v>
          </cell>
        </row>
        <row r="439">
          <cell r="C439">
            <v>410048</v>
          </cell>
          <cell r="D439" t="str">
            <v>BR.K 320024        WITH R</v>
          </cell>
        </row>
        <row r="440">
          <cell r="C440">
            <v>511042</v>
          </cell>
          <cell r="D440" t="str">
            <v>RO 2.5X10.8</v>
          </cell>
        </row>
        <row r="441">
          <cell r="C441">
            <v>612040.4</v>
          </cell>
          <cell r="D441" t="str">
            <v>BR.N 3200 LMW</v>
          </cell>
        </row>
        <row r="442">
          <cell r="C442">
            <v>104046</v>
          </cell>
          <cell r="D442" t="str">
            <v>BR.IR 322224 SPL.</v>
          </cell>
        </row>
        <row r="443">
          <cell r="C443">
            <v>208048.21</v>
          </cell>
          <cell r="D443" t="str">
            <v>BR.OR 322224 MZ</v>
          </cell>
        </row>
        <row r="444">
          <cell r="C444">
            <v>309046.03999999998</v>
          </cell>
          <cell r="D444" t="str">
            <v>BR.NCG 322224(LOCK TYPE)</v>
          </cell>
        </row>
        <row r="445">
          <cell r="C445">
            <v>410048.21</v>
          </cell>
          <cell r="D445" t="str">
            <v>BR.K 320024 WITH 5.5MM HO</v>
          </cell>
        </row>
        <row r="446">
          <cell r="C446">
            <v>511042</v>
          </cell>
          <cell r="D446" t="str">
            <v>RO 2.5X10.8</v>
          </cell>
        </row>
        <row r="447">
          <cell r="C447">
            <v>612042</v>
          </cell>
          <cell r="D447" t="str">
            <v>BR.N 3222</v>
          </cell>
        </row>
        <row r="448">
          <cell r="C448">
            <v>208049</v>
          </cell>
          <cell r="D448" t="str">
            <v>BR.OR 32-01-06</v>
          </cell>
        </row>
        <row r="449">
          <cell r="C449">
            <v>309125.09999999998</v>
          </cell>
          <cell r="D449" t="str">
            <v>BR.NCG 3218.5(06)LOCKTYPE</v>
          </cell>
        </row>
        <row r="450">
          <cell r="C450">
            <v>410049.1</v>
          </cell>
          <cell r="D450" t="str">
            <v>BR.K 32-01-06 W/O R</v>
          </cell>
        </row>
        <row r="451">
          <cell r="C451">
            <v>511001</v>
          </cell>
          <cell r="D451" t="str">
            <v>RO 2X9.8</v>
          </cell>
        </row>
        <row r="452">
          <cell r="C452">
            <v>612001</v>
          </cell>
          <cell r="D452" t="str">
            <v>BR.N 2822</v>
          </cell>
        </row>
        <row r="453">
          <cell r="C453">
            <v>913016</v>
          </cell>
          <cell r="D453" t="str">
            <v>Box 250x40x50</v>
          </cell>
        </row>
        <row r="454">
          <cell r="C454">
            <v>410049.1</v>
          </cell>
          <cell r="D454" t="str">
            <v>BR.K 32-01-06 W/O R</v>
          </cell>
        </row>
        <row r="455">
          <cell r="C455">
            <v>208049</v>
          </cell>
          <cell r="D455" t="str">
            <v>BR.OR 32-01-06</v>
          </cell>
        </row>
        <row r="456">
          <cell r="C456">
            <v>309125.09999999998</v>
          </cell>
          <cell r="D456" t="str">
            <v>BR.NCG 3218.5(06)LOCKTYPE</v>
          </cell>
        </row>
        <row r="457">
          <cell r="C457">
            <v>410050.01</v>
          </cell>
          <cell r="D457" t="str">
            <v>BR.K 32-01-24       W/O R</v>
          </cell>
        </row>
        <row r="458">
          <cell r="C458">
            <v>511001</v>
          </cell>
          <cell r="D458" t="str">
            <v>RO 2X9.8</v>
          </cell>
        </row>
        <row r="459">
          <cell r="C459">
            <v>612040.4</v>
          </cell>
          <cell r="D459" t="str">
            <v>BR.N 3200 LMW</v>
          </cell>
        </row>
        <row r="460">
          <cell r="C460">
            <v>913016</v>
          </cell>
          <cell r="D460" t="str">
            <v>Box 250x40x50</v>
          </cell>
        </row>
        <row r="461">
          <cell r="C461">
            <v>104046</v>
          </cell>
          <cell r="D461" t="str">
            <v>BR.IR 322224 SPL.</v>
          </cell>
        </row>
        <row r="462">
          <cell r="C462">
            <v>208046</v>
          </cell>
          <cell r="D462" t="str">
            <v>BR.OR 322224 SPL.</v>
          </cell>
        </row>
        <row r="463">
          <cell r="C463">
            <v>309046.03999999998</v>
          </cell>
          <cell r="D463" t="str">
            <v>BR.NCG 322224(LOCK TYPE)</v>
          </cell>
        </row>
        <row r="464">
          <cell r="C464">
            <v>410051.02</v>
          </cell>
          <cell r="D464" t="str">
            <v>BR.K 322624         SKF G</v>
          </cell>
        </row>
        <row r="465">
          <cell r="C465">
            <v>511042</v>
          </cell>
          <cell r="D465" t="str">
            <v>RO 2.5X10.8</v>
          </cell>
        </row>
        <row r="466">
          <cell r="C466">
            <v>612040.4</v>
          </cell>
          <cell r="D466" t="str">
            <v>BR.N 3200 LMW</v>
          </cell>
        </row>
        <row r="467">
          <cell r="C467">
            <v>913016</v>
          </cell>
          <cell r="D467" t="str">
            <v>Box 250x40x50</v>
          </cell>
        </row>
        <row r="468">
          <cell r="C468">
            <v>410051.02</v>
          </cell>
          <cell r="D468" t="str">
            <v>BR.K 322624         SKF G</v>
          </cell>
        </row>
        <row r="469">
          <cell r="C469">
            <v>104164</v>
          </cell>
          <cell r="D469" t="str">
            <v>BR.IR 32[P]19(26)</v>
          </cell>
        </row>
        <row r="470">
          <cell r="C470">
            <v>208040.4</v>
          </cell>
          <cell r="D470" t="str">
            <v>BR.OR 3222 LMW</v>
          </cell>
        </row>
        <row r="471">
          <cell r="C471">
            <v>309040</v>
          </cell>
          <cell r="D471" t="str">
            <v>BR.NCG 3222</v>
          </cell>
        </row>
        <row r="472">
          <cell r="C472">
            <v>511040</v>
          </cell>
          <cell r="D472" t="str">
            <v>RO 2X11.8</v>
          </cell>
        </row>
        <row r="473">
          <cell r="C473">
            <v>612040.4</v>
          </cell>
          <cell r="D473" t="str">
            <v>BR.N 3200 LMW</v>
          </cell>
        </row>
        <row r="474">
          <cell r="C474">
            <v>913016</v>
          </cell>
          <cell r="D474" t="str">
            <v>Box 250x40x50</v>
          </cell>
        </row>
        <row r="475">
          <cell r="C475">
            <v>104046</v>
          </cell>
          <cell r="D475" t="str">
            <v>BR.IR 322224 SPL.</v>
          </cell>
        </row>
        <row r="476">
          <cell r="C476">
            <v>208046</v>
          </cell>
          <cell r="D476" t="str">
            <v>BR.OR 322224 SPL.</v>
          </cell>
        </row>
        <row r="477">
          <cell r="C477">
            <v>309046.03999999998</v>
          </cell>
          <cell r="D477" t="str">
            <v>BR.NCG 322224(LOCK TYPE)</v>
          </cell>
        </row>
        <row r="478">
          <cell r="C478">
            <v>410053.02</v>
          </cell>
          <cell r="D478" t="str">
            <v>BR.K 322524         SKF G</v>
          </cell>
        </row>
        <row r="479">
          <cell r="C479">
            <v>511042</v>
          </cell>
          <cell r="D479" t="str">
            <v>RO 2.5X10.8</v>
          </cell>
        </row>
        <row r="480">
          <cell r="C480">
            <v>612040.4</v>
          </cell>
          <cell r="D480" t="str">
            <v>BR.N 3200 LMW</v>
          </cell>
        </row>
        <row r="481">
          <cell r="C481">
            <v>913016</v>
          </cell>
          <cell r="D481" t="str">
            <v>Box 250x40x50</v>
          </cell>
        </row>
        <row r="482">
          <cell r="C482">
            <v>104046</v>
          </cell>
          <cell r="D482" t="str">
            <v>BR.IR 322224 SPL.</v>
          </cell>
        </row>
        <row r="483">
          <cell r="C483">
            <v>208046</v>
          </cell>
          <cell r="D483" t="str">
            <v>BR.OR 322224 SPL.</v>
          </cell>
        </row>
        <row r="484">
          <cell r="C484">
            <v>309046.03999999998</v>
          </cell>
          <cell r="D484" t="str">
            <v>BR.NCG 322224(LOCK TYPE)</v>
          </cell>
        </row>
        <row r="485">
          <cell r="C485">
            <v>410054.02</v>
          </cell>
          <cell r="D485" t="str">
            <v>BR.K 322024         SKF G</v>
          </cell>
        </row>
        <row r="486">
          <cell r="C486">
            <v>511042</v>
          </cell>
          <cell r="D486" t="str">
            <v>RO 2.5X10.8</v>
          </cell>
        </row>
        <row r="487">
          <cell r="C487">
            <v>612040.4</v>
          </cell>
          <cell r="D487" t="str">
            <v>BR.N 3200 LMW</v>
          </cell>
        </row>
        <row r="488">
          <cell r="C488">
            <v>913016</v>
          </cell>
          <cell r="D488" t="str">
            <v>Box 250x40x50</v>
          </cell>
        </row>
        <row r="489">
          <cell r="C489">
            <v>104060</v>
          </cell>
          <cell r="D489" t="str">
            <v>BR.IR 3622</v>
          </cell>
        </row>
        <row r="490">
          <cell r="C490">
            <v>208060</v>
          </cell>
          <cell r="D490" t="str">
            <v>BR.OR 3622</v>
          </cell>
        </row>
        <row r="491">
          <cell r="C491">
            <v>309060</v>
          </cell>
          <cell r="D491" t="str">
            <v>BR.NCG 3622</v>
          </cell>
        </row>
        <row r="492">
          <cell r="C492">
            <v>410061.2</v>
          </cell>
          <cell r="D492" t="str">
            <v>BR.K 3620          WITH R</v>
          </cell>
        </row>
        <row r="493">
          <cell r="C493">
            <v>511060</v>
          </cell>
          <cell r="D493" t="str">
            <v>RO 2.5X9.8</v>
          </cell>
        </row>
        <row r="494">
          <cell r="C494">
            <v>612042</v>
          </cell>
          <cell r="D494" t="str">
            <v>BR.N 3222</v>
          </cell>
        </row>
        <row r="495">
          <cell r="C495">
            <v>913006</v>
          </cell>
          <cell r="D495" t="str">
            <v>Box 50x35x50</v>
          </cell>
        </row>
        <row r="496">
          <cell r="C496">
            <v>104060</v>
          </cell>
          <cell r="D496" t="str">
            <v>BR.IR 3622</v>
          </cell>
        </row>
        <row r="497">
          <cell r="C497">
            <v>410061.2</v>
          </cell>
          <cell r="D497" t="str">
            <v>BR.K 3620          WITH R</v>
          </cell>
        </row>
        <row r="498">
          <cell r="C498">
            <v>309060</v>
          </cell>
          <cell r="D498" t="str">
            <v>BR.NCG 3622</v>
          </cell>
        </row>
        <row r="499">
          <cell r="C499">
            <v>511060</v>
          </cell>
          <cell r="D499" t="str">
            <v>RO 2.5X9.8</v>
          </cell>
        </row>
        <row r="500">
          <cell r="C500">
            <v>913010</v>
          </cell>
          <cell r="D500" t="str">
            <v>Box 150x40x50</v>
          </cell>
        </row>
        <row r="501">
          <cell r="C501">
            <v>104060</v>
          </cell>
          <cell r="D501" t="str">
            <v>BR.IR 3622</v>
          </cell>
        </row>
        <row r="502">
          <cell r="C502">
            <v>208060</v>
          </cell>
          <cell r="D502" t="str">
            <v>BR.OR 3622</v>
          </cell>
        </row>
        <row r="503">
          <cell r="C503">
            <v>309060</v>
          </cell>
          <cell r="D503" t="str">
            <v>BR.NCG 3622</v>
          </cell>
        </row>
        <row r="504">
          <cell r="C504">
            <v>410062</v>
          </cell>
          <cell r="D504" t="str">
            <v>BR.K 3622          WITH R</v>
          </cell>
        </row>
        <row r="505">
          <cell r="C505">
            <v>511060</v>
          </cell>
          <cell r="D505" t="str">
            <v>RO 2.5X9.8</v>
          </cell>
        </row>
        <row r="506">
          <cell r="C506">
            <v>612042</v>
          </cell>
          <cell r="D506" t="str">
            <v>BR.N 3222</v>
          </cell>
        </row>
        <row r="507">
          <cell r="C507">
            <v>913006</v>
          </cell>
          <cell r="D507" t="str">
            <v>Box 50x35x50</v>
          </cell>
        </row>
        <row r="508">
          <cell r="C508">
            <v>410062</v>
          </cell>
          <cell r="D508" t="str">
            <v>BR.K 3622          WITH R</v>
          </cell>
        </row>
        <row r="509">
          <cell r="C509">
            <v>309060</v>
          </cell>
          <cell r="D509" t="str">
            <v>BR.NCG 3622</v>
          </cell>
        </row>
        <row r="510">
          <cell r="C510">
            <v>511060</v>
          </cell>
          <cell r="D510" t="str">
            <v>RO 2.5X9.8</v>
          </cell>
        </row>
        <row r="511">
          <cell r="C511">
            <v>104060</v>
          </cell>
          <cell r="D511" t="str">
            <v>BR.IR 3622</v>
          </cell>
        </row>
        <row r="512">
          <cell r="C512">
            <v>208060</v>
          </cell>
          <cell r="D512" t="str">
            <v>BR.OR 3622</v>
          </cell>
        </row>
        <row r="513">
          <cell r="C513">
            <v>309060.01</v>
          </cell>
          <cell r="D513" t="str">
            <v>BR.TCG 3622</v>
          </cell>
        </row>
        <row r="514">
          <cell r="C514">
            <v>410062</v>
          </cell>
          <cell r="D514" t="str">
            <v>BR.K 3622          WITH R</v>
          </cell>
        </row>
        <row r="515">
          <cell r="C515">
            <v>511060</v>
          </cell>
          <cell r="D515" t="str">
            <v>RO 2.5X9.8</v>
          </cell>
        </row>
        <row r="516">
          <cell r="C516">
            <v>612042</v>
          </cell>
          <cell r="D516" t="str">
            <v>BR.N 3222</v>
          </cell>
        </row>
        <row r="517">
          <cell r="C517">
            <v>913006</v>
          </cell>
          <cell r="D517" t="str">
            <v>Box 50x35x50</v>
          </cell>
        </row>
        <row r="518">
          <cell r="C518">
            <v>104060</v>
          </cell>
          <cell r="D518" t="str">
            <v>BR.IR 3622</v>
          </cell>
        </row>
        <row r="519">
          <cell r="C519">
            <v>208060</v>
          </cell>
          <cell r="D519" t="str">
            <v>BR.OR 3622</v>
          </cell>
        </row>
        <row r="520">
          <cell r="C520">
            <v>309060</v>
          </cell>
          <cell r="D520" t="str">
            <v>BR.NCG 3622</v>
          </cell>
        </row>
        <row r="521">
          <cell r="C521">
            <v>410063</v>
          </cell>
          <cell r="D521" t="str">
            <v>BR.K 3625         WITH</v>
          </cell>
        </row>
        <row r="522">
          <cell r="C522">
            <v>511060</v>
          </cell>
          <cell r="D522" t="str">
            <v>RO 2.5X9.8</v>
          </cell>
        </row>
        <row r="523">
          <cell r="C523">
            <v>612042</v>
          </cell>
          <cell r="D523" t="str">
            <v>BR.N 3222</v>
          </cell>
        </row>
        <row r="524">
          <cell r="C524">
            <v>913006</v>
          </cell>
          <cell r="D524" t="str">
            <v>Box 50x35x50</v>
          </cell>
        </row>
        <row r="525">
          <cell r="C525">
            <v>104060</v>
          </cell>
          <cell r="D525" t="str">
            <v>BR.IR 3622</v>
          </cell>
        </row>
        <row r="526">
          <cell r="C526">
            <v>208060</v>
          </cell>
          <cell r="D526" t="str">
            <v>BR.OR 3622</v>
          </cell>
        </row>
        <row r="527">
          <cell r="C527">
            <v>309060</v>
          </cell>
          <cell r="D527" t="str">
            <v>BR.NCG 3622</v>
          </cell>
        </row>
        <row r="528">
          <cell r="C528">
            <v>410064</v>
          </cell>
          <cell r="D528" t="str">
            <v>BR.K 3626          WITH</v>
          </cell>
        </row>
        <row r="529">
          <cell r="C529">
            <v>511060</v>
          </cell>
          <cell r="D529" t="str">
            <v>RO 2.5X9.8</v>
          </cell>
        </row>
        <row r="530">
          <cell r="C530">
            <v>612042</v>
          </cell>
          <cell r="D530" t="str">
            <v>BR.N 3222</v>
          </cell>
        </row>
        <row r="531">
          <cell r="C531">
            <v>913006</v>
          </cell>
          <cell r="D531" t="str">
            <v>Box 50x35x50</v>
          </cell>
        </row>
        <row r="532">
          <cell r="C532">
            <v>104060</v>
          </cell>
          <cell r="D532" t="str">
            <v>BR.IR 3622</v>
          </cell>
        </row>
        <row r="533">
          <cell r="C533">
            <v>208065</v>
          </cell>
          <cell r="D533" t="str">
            <v>BR.OR 362526</v>
          </cell>
        </row>
        <row r="534">
          <cell r="C534">
            <v>309060</v>
          </cell>
          <cell r="D534" t="str">
            <v>BR.NCG 3622</v>
          </cell>
        </row>
        <row r="535">
          <cell r="C535">
            <v>410065</v>
          </cell>
          <cell r="D535" t="str">
            <v>BR.K 362526        WITH R</v>
          </cell>
        </row>
        <row r="536">
          <cell r="C536">
            <v>511060</v>
          </cell>
          <cell r="D536" t="str">
            <v>RO 2.5X9.8</v>
          </cell>
        </row>
        <row r="537">
          <cell r="C537">
            <v>612042</v>
          </cell>
          <cell r="D537" t="str">
            <v>BR.N 3222</v>
          </cell>
        </row>
        <row r="538">
          <cell r="C538">
            <v>913006</v>
          </cell>
          <cell r="D538" t="str">
            <v>Box 50x35x50</v>
          </cell>
        </row>
        <row r="539">
          <cell r="C539">
            <v>410065</v>
          </cell>
          <cell r="D539" t="str">
            <v>BR.K 362526        WITH R</v>
          </cell>
        </row>
        <row r="540">
          <cell r="C540">
            <v>104060</v>
          </cell>
          <cell r="D540" t="str">
            <v>BR.IR 3622</v>
          </cell>
        </row>
        <row r="541">
          <cell r="C541">
            <v>208065</v>
          </cell>
          <cell r="D541" t="str">
            <v>BR.OR 362526</v>
          </cell>
        </row>
        <row r="542">
          <cell r="C542">
            <v>309060.01</v>
          </cell>
          <cell r="D542" t="str">
            <v>BR.TCG 3622</v>
          </cell>
        </row>
        <row r="543">
          <cell r="C543">
            <v>410065</v>
          </cell>
          <cell r="D543" t="str">
            <v>BR.K 362526        WITH R</v>
          </cell>
        </row>
        <row r="544">
          <cell r="C544">
            <v>511060</v>
          </cell>
          <cell r="D544" t="str">
            <v>RO 2.5X9.8</v>
          </cell>
        </row>
        <row r="545">
          <cell r="C545">
            <v>612042</v>
          </cell>
          <cell r="D545" t="str">
            <v>BR.N 3222</v>
          </cell>
        </row>
        <row r="546">
          <cell r="C546">
            <v>913006</v>
          </cell>
          <cell r="D546" t="str">
            <v>Box 50x35x50</v>
          </cell>
        </row>
        <row r="547">
          <cell r="C547">
            <v>104060</v>
          </cell>
          <cell r="D547" t="str">
            <v>BR.IR 3622</v>
          </cell>
        </row>
        <row r="548">
          <cell r="C548">
            <v>208065</v>
          </cell>
          <cell r="D548" t="str">
            <v>BR.OR 362526</v>
          </cell>
        </row>
        <row r="549">
          <cell r="C549">
            <v>309060</v>
          </cell>
          <cell r="D549" t="str">
            <v>BR.NCG 3622</v>
          </cell>
        </row>
        <row r="550">
          <cell r="C550">
            <v>410066.02</v>
          </cell>
          <cell r="D550" t="str">
            <v>BR.K 362426         SKF G</v>
          </cell>
        </row>
        <row r="551">
          <cell r="C551">
            <v>511060</v>
          </cell>
          <cell r="D551" t="str">
            <v>RO 2.5X9.8</v>
          </cell>
        </row>
        <row r="552">
          <cell r="C552">
            <v>612042</v>
          </cell>
          <cell r="D552" t="str">
            <v>BR.N 3222</v>
          </cell>
        </row>
        <row r="553">
          <cell r="C553">
            <v>913006</v>
          </cell>
          <cell r="D553" t="str">
            <v>Box 50x35x50</v>
          </cell>
        </row>
        <row r="554">
          <cell r="C554">
            <v>410066.02</v>
          </cell>
          <cell r="D554" t="str">
            <v>BR.K 362426         SKF G</v>
          </cell>
        </row>
        <row r="555">
          <cell r="C555">
            <v>104067</v>
          </cell>
          <cell r="D555" t="str">
            <v>BR.IR 3620(25)</v>
          </cell>
        </row>
        <row r="556">
          <cell r="C556">
            <v>208067</v>
          </cell>
          <cell r="D556" t="str">
            <v>BR.OR 3620(25)</v>
          </cell>
        </row>
        <row r="557">
          <cell r="C557">
            <v>309060.01</v>
          </cell>
          <cell r="D557" t="str">
            <v>BR.TCG 3622</v>
          </cell>
        </row>
        <row r="558">
          <cell r="C558">
            <v>410067</v>
          </cell>
          <cell r="D558" t="str">
            <v>BR.K 3620(25)      WITH R</v>
          </cell>
        </row>
        <row r="559">
          <cell r="C559">
            <v>511042</v>
          </cell>
          <cell r="D559" t="str">
            <v>RO 2.5X10.8</v>
          </cell>
        </row>
        <row r="560">
          <cell r="C560">
            <v>612042</v>
          </cell>
          <cell r="D560" t="str">
            <v>BR.N 3222</v>
          </cell>
        </row>
        <row r="561">
          <cell r="C561">
            <v>913006</v>
          </cell>
          <cell r="D561" t="str">
            <v>Box 50x35x50</v>
          </cell>
        </row>
        <row r="562">
          <cell r="C562">
            <v>410067</v>
          </cell>
          <cell r="D562" t="str">
            <v>BR.K 3620(25)      WITH R</v>
          </cell>
        </row>
        <row r="563">
          <cell r="C563">
            <v>104060</v>
          </cell>
          <cell r="D563" t="str">
            <v>BR.IR 3622</v>
          </cell>
        </row>
        <row r="564">
          <cell r="C564">
            <v>208065</v>
          </cell>
          <cell r="D564" t="str">
            <v>BR.OR 362526</v>
          </cell>
        </row>
        <row r="565">
          <cell r="C565">
            <v>309060</v>
          </cell>
          <cell r="D565" t="str">
            <v>BR.NCG 3622</v>
          </cell>
        </row>
        <row r="566">
          <cell r="C566">
            <v>410068</v>
          </cell>
          <cell r="D566" t="str">
            <v>BR.K 362226       WITH</v>
          </cell>
        </row>
        <row r="567">
          <cell r="C567">
            <v>511060</v>
          </cell>
          <cell r="D567" t="str">
            <v>RO 2.5X9.8</v>
          </cell>
        </row>
        <row r="568">
          <cell r="C568">
            <v>612042</v>
          </cell>
          <cell r="D568" t="str">
            <v>BR.N 3222</v>
          </cell>
        </row>
        <row r="569">
          <cell r="C569">
            <v>913006</v>
          </cell>
          <cell r="D569" t="str">
            <v>Box 50x35x50</v>
          </cell>
        </row>
        <row r="570">
          <cell r="C570">
            <v>410068</v>
          </cell>
          <cell r="D570" t="str">
            <v>BR.K 362226       WITH</v>
          </cell>
        </row>
        <row r="571">
          <cell r="C571">
            <v>104060</v>
          </cell>
          <cell r="D571" t="str">
            <v>BR.IR 3622</v>
          </cell>
        </row>
        <row r="572">
          <cell r="C572">
            <v>208060</v>
          </cell>
          <cell r="D572" t="str">
            <v>BR.OR 3622</v>
          </cell>
        </row>
        <row r="573">
          <cell r="C573">
            <v>309060</v>
          </cell>
          <cell r="D573" t="str">
            <v>BR.NCG 3622</v>
          </cell>
        </row>
        <row r="574">
          <cell r="C574">
            <v>410069</v>
          </cell>
          <cell r="D574" t="str">
            <v>BR.K 3600      WITH R</v>
          </cell>
        </row>
        <row r="575">
          <cell r="C575">
            <v>511060</v>
          </cell>
          <cell r="D575" t="str">
            <v>RO 2.5X9.8</v>
          </cell>
        </row>
        <row r="576">
          <cell r="C576">
            <v>612042</v>
          </cell>
          <cell r="D576" t="str">
            <v>BR.N 3222</v>
          </cell>
        </row>
        <row r="577">
          <cell r="C577">
            <v>913006</v>
          </cell>
          <cell r="D577" t="str">
            <v>Box 50x35x50</v>
          </cell>
        </row>
        <row r="578">
          <cell r="C578">
            <v>104134</v>
          </cell>
          <cell r="D578" t="str">
            <v>BR.IR 3621(20)</v>
          </cell>
        </row>
        <row r="579">
          <cell r="C579">
            <v>208060</v>
          </cell>
          <cell r="D579" t="str">
            <v>BR.OR 3622</v>
          </cell>
        </row>
        <row r="580">
          <cell r="C580">
            <v>309060</v>
          </cell>
          <cell r="D580" t="str">
            <v>BR.NCG 3622</v>
          </cell>
        </row>
        <row r="581">
          <cell r="C581">
            <v>410070</v>
          </cell>
          <cell r="D581" t="str">
            <v>BR.K 3621(20)25</v>
          </cell>
        </row>
        <row r="582">
          <cell r="C582">
            <v>511060</v>
          </cell>
          <cell r="D582" t="str">
            <v>RO 2.5X9.8</v>
          </cell>
        </row>
        <row r="583">
          <cell r="C583">
            <v>612042</v>
          </cell>
          <cell r="D583" t="str">
            <v>BR.N 3222</v>
          </cell>
        </row>
        <row r="584">
          <cell r="C584">
            <v>104074</v>
          </cell>
          <cell r="D584" t="str">
            <v>BR.IR 4022(20)          F</v>
          </cell>
        </row>
        <row r="585">
          <cell r="C585">
            <v>208074</v>
          </cell>
          <cell r="D585" t="str">
            <v>BR.OR 4022(20)          F</v>
          </cell>
        </row>
        <row r="586">
          <cell r="C586">
            <v>309077</v>
          </cell>
          <cell r="D586" t="str">
            <v>BR.NCG 4000</v>
          </cell>
        </row>
        <row r="587">
          <cell r="C587">
            <v>410074.1</v>
          </cell>
          <cell r="D587" t="str">
            <v>BR.K 4022(20) W/O R</v>
          </cell>
        </row>
        <row r="588">
          <cell r="C588">
            <v>511120</v>
          </cell>
          <cell r="D588" t="str">
            <v>RO 3X11.8</v>
          </cell>
        </row>
        <row r="589">
          <cell r="C589">
            <v>612074</v>
          </cell>
          <cell r="D589" t="str">
            <v>BR.N 4022(20)</v>
          </cell>
        </row>
        <row r="590">
          <cell r="C590">
            <v>913006</v>
          </cell>
          <cell r="D590" t="str">
            <v>Box 50x35x50</v>
          </cell>
        </row>
        <row r="591">
          <cell r="C591">
            <v>104075</v>
          </cell>
          <cell r="D591" t="str">
            <v>BR.IR 402424</v>
          </cell>
        </row>
        <row r="592">
          <cell r="C592">
            <v>208075</v>
          </cell>
          <cell r="D592" t="str">
            <v>BR.OR 402424</v>
          </cell>
        </row>
        <row r="593">
          <cell r="C593">
            <v>309077</v>
          </cell>
          <cell r="D593" t="str">
            <v>BR.NCG 4000</v>
          </cell>
        </row>
        <row r="594">
          <cell r="C594">
            <v>410075</v>
          </cell>
          <cell r="D594" t="str">
            <v>BR.K 400024        WITH R</v>
          </cell>
        </row>
        <row r="595">
          <cell r="C595">
            <v>511120</v>
          </cell>
          <cell r="D595" t="str">
            <v>RO 3X11.8</v>
          </cell>
        </row>
        <row r="596">
          <cell r="C596">
            <v>612075</v>
          </cell>
          <cell r="D596" t="str">
            <v>BR.N 4006(24)</v>
          </cell>
        </row>
        <row r="597">
          <cell r="C597">
            <v>913006</v>
          </cell>
          <cell r="D597" t="str">
            <v>Box 50x35x50</v>
          </cell>
        </row>
        <row r="598">
          <cell r="C598">
            <v>410075</v>
          </cell>
          <cell r="D598" t="str">
            <v>BR.K 400024        WITH R</v>
          </cell>
        </row>
        <row r="599">
          <cell r="C599">
            <v>104075</v>
          </cell>
          <cell r="D599" t="str">
            <v>BR.IR 402424</v>
          </cell>
        </row>
        <row r="600">
          <cell r="C600">
            <v>208075</v>
          </cell>
          <cell r="D600" t="str">
            <v>BR.OR 402424</v>
          </cell>
        </row>
        <row r="601">
          <cell r="C601">
            <v>309077</v>
          </cell>
          <cell r="D601" t="str">
            <v>BR.NCG 4000</v>
          </cell>
        </row>
        <row r="602">
          <cell r="C602">
            <v>410076</v>
          </cell>
          <cell r="D602" t="str">
            <v>BR.K 402424        WITH R</v>
          </cell>
        </row>
        <row r="603">
          <cell r="C603">
            <v>511120</v>
          </cell>
          <cell r="D603" t="str">
            <v>RO 3X11.8</v>
          </cell>
        </row>
        <row r="604">
          <cell r="C604">
            <v>612075</v>
          </cell>
          <cell r="D604" t="str">
            <v>BR.N 4006(24)</v>
          </cell>
        </row>
        <row r="605">
          <cell r="C605">
            <v>913006</v>
          </cell>
          <cell r="D605" t="str">
            <v>Box 50x35x50</v>
          </cell>
        </row>
        <row r="606">
          <cell r="C606">
            <v>410076</v>
          </cell>
          <cell r="D606" t="str">
            <v>BR.K 402424        WITH R</v>
          </cell>
        </row>
        <row r="607">
          <cell r="C607">
            <v>309077</v>
          </cell>
          <cell r="D607" t="str">
            <v>BR.NCG 4000</v>
          </cell>
        </row>
        <row r="608">
          <cell r="C608">
            <v>511120</v>
          </cell>
          <cell r="D608" t="str">
            <v>RO 3X11.8</v>
          </cell>
        </row>
        <row r="609">
          <cell r="C609">
            <v>913010</v>
          </cell>
          <cell r="D609" t="str">
            <v>Box 150x40x50</v>
          </cell>
        </row>
        <row r="610">
          <cell r="C610">
            <v>612075</v>
          </cell>
          <cell r="D610" t="str">
            <v>BR.N 4006(24)</v>
          </cell>
        </row>
        <row r="611">
          <cell r="C611">
            <v>104077</v>
          </cell>
          <cell r="D611" t="str">
            <v>BR.IR 4000</v>
          </cell>
        </row>
        <row r="612">
          <cell r="C612">
            <v>208077</v>
          </cell>
          <cell r="D612" t="str">
            <v>BR.OR 4000</v>
          </cell>
        </row>
        <row r="613">
          <cell r="C613">
            <v>309077</v>
          </cell>
          <cell r="D613" t="str">
            <v>BR.NCG 4000</v>
          </cell>
        </row>
        <row r="614">
          <cell r="C614">
            <v>410077</v>
          </cell>
          <cell r="D614" t="str">
            <v>BR.K 4000          WITH R</v>
          </cell>
        </row>
        <row r="615">
          <cell r="C615">
            <v>511120</v>
          </cell>
          <cell r="D615" t="str">
            <v>RO 3X11.8</v>
          </cell>
        </row>
        <row r="616">
          <cell r="C616">
            <v>612075</v>
          </cell>
          <cell r="D616" t="str">
            <v>BR.N 4006(24)</v>
          </cell>
        </row>
        <row r="617">
          <cell r="C617">
            <v>913006</v>
          </cell>
          <cell r="D617" t="str">
            <v>Box 50x35x50</v>
          </cell>
        </row>
        <row r="618">
          <cell r="C618">
            <v>410077.02</v>
          </cell>
          <cell r="D618" t="str">
            <v>BR.K 4000           SKF G</v>
          </cell>
        </row>
        <row r="619">
          <cell r="C619">
            <v>104077</v>
          </cell>
          <cell r="D619" t="str">
            <v>BR.IR 4000</v>
          </cell>
        </row>
        <row r="620">
          <cell r="C620">
            <v>208077</v>
          </cell>
          <cell r="D620" t="str">
            <v>BR.OR 4000</v>
          </cell>
        </row>
        <row r="621">
          <cell r="C621">
            <v>309077</v>
          </cell>
          <cell r="D621" t="str">
            <v>BR.NCG 4000</v>
          </cell>
        </row>
        <row r="622">
          <cell r="C622">
            <v>410078.01</v>
          </cell>
          <cell r="D622" t="str">
            <v>BR.K 4020           W/O R</v>
          </cell>
        </row>
        <row r="623">
          <cell r="C623">
            <v>511120</v>
          </cell>
          <cell r="D623" t="str">
            <v>RO 3X11.8</v>
          </cell>
        </row>
        <row r="624">
          <cell r="C624">
            <v>612075</v>
          </cell>
          <cell r="D624" t="str">
            <v>BR.N 4006(24)</v>
          </cell>
        </row>
        <row r="625">
          <cell r="C625">
            <v>913006</v>
          </cell>
          <cell r="D625" t="str">
            <v>Box 50x35x50</v>
          </cell>
        </row>
        <row r="626">
          <cell r="C626">
            <v>410078.02</v>
          </cell>
          <cell r="D626" t="str">
            <v>BR.K 4020           SKF G</v>
          </cell>
        </row>
        <row r="627">
          <cell r="C627">
            <v>104077</v>
          </cell>
          <cell r="D627" t="str">
            <v>BR.IR 4000</v>
          </cell>
        </row>
        <row r="628">
          <cell r="C628">
            <v>208077</v>
          </cell>
          <cell r="D628" t="str">
            <v>BR.OR 4000</v>
          </cell>
        </row>
        <row r="629">
          <cell r="C629">
            <v>309077</v>
          </cell>
          <cell r="D629" t="str">
            <v>BR.NCG 4000</v>
          </cell>
        </row>
        <row r="630">
          <cell r="C630">
            <v>410079</v>
          </cell>
          <cell r="D630" t="str">
            <v>BR.K 4025          WITH R</v>
          </cell>
        </row>
        <row r="631">
          <cell r="C631">
            <v>511120</v>
          </cell>
          <cell r="D631" t="str">
            <v>RO 3X11.8</v>
          </cell>
        </row>
        <row r="632">
          <cell r="C632">
            <v>612075</v>
          </cell>
          <cell r="D632" t="str">
            <v>BR.N 4006(24)</v>
          </cell>
        </row>
        <row r="633">
          <cell r="C633">
            <v>913006</v>
          </cell>
          <cell r="D633" t="str">
            <v>Box 50x35x50</v>
          </cell>
        </row>
        <row r="634">
          <cell r="C634">
            <v>104080</v>
          </cell>
          <cell r="D634" t="str">
            <v>BR.IR 4225</v>
          </cell>
        </row>
        <row r="635">
          <cell r="C635">
            <v>208080</v>
          </cell>
          <cell r="D635" t="str">
            <v>BR.OR 4225</v>
          </cell>
        </row>
        <row r="636">
          <cell r="C636">
            <v>309080</v>
          </cell>
          <cell r="D636" t="str">
            <v>BR.TCG 4225</v>
          </cell>
        </row>
        <row r="637">
          <cell r="C637">
            <v>410080.01</v>
          </cell>
          <cell r="D637" t="str">
            <v>BR.K 4225           W/O R</v>
          </cell>
        </row>
        <row r="638">
          <cell r="C638">
            <v>511130</v>
          </cell>
          <cell r="D638" t="str">
            <v>RO 2.5X13.8</v>
          </cell>
        </row>
        <row r="639">
          <cell r="C639">
            <v>612080</v>
          </cell>
          <cell r="D639" t="str">
            <v>BR.N 4225</v>
          </cell>
        </row>
        <row r="640">
          <cell r="C640">
            <v>913006</v>
          </cell>
          <cell r="D640" t="str">
            <v>Box 50x35x50</v>
          </cell>
        </row>
        <row r="641">
          <cell r="C641">
            <v>1422081</v>
          </cell>
          <cell r="D641" t="str">
            <v>BR 40222621 FIX MATERIL</v>
          </cell>
        </row>
        <row r="642">
          <cell r="C642">
            <v>104090</v>
          </cell>
          <cell r="D642" t="str">
            <v>BR.IR 2815(06)</v>
          </cell>
        </row>
        <row r="643">
          <cell r="C643">
            <v>208090</v>
          </cell>
          <cell r="D643" t="str">
            <v>BR.OR 2815(06)</v>
          </cell>
        </row>
        <row r="644">
          <cell r="C644">
            <v>309090.01</v>
          </cell>
          <cell r="D644" t="str">
            <v>BR.TCG 2815</v>
          </cell>
        </row>
        <row r="645">
          <cell r="C645">
            <v>410090</v>
          </cell>
          <cell r="D645" t="str">
            <v>BR.K 2815(06)      WITH R</v>
          </cell>
        </row>
        <row r="646">
          <cell r="C646">
            <v>511090</v>
          </cell>
          <cell r="D646" t="str">
            <v>RO 2X7.8</v>
          </cell>
        </row>
        <row r="647">
          <cell r="C647">
            <v>612001</v>
          </cell>
          <cell r="D647" t="str">
            <v>BR.N 2822</v>
          </cell>
        </row>
        <row r="648">
          <cell r="C648">
            <v>913016</v>
          </cell>
          <cell r="D648" t="str">
            <v>Box 250x40x50</v>
          </cell>
        </row>
        <row r="649">
          <cell r="C649">
            <v>309090.01</v>
          </cell>
          <cell r="D649" t="str">
            <v>BR.TCG 2815</v>
          </cell>
        </row>
        <row r="650">
          <cell r="C650">
            <v>511090</v>
          </cell>
          <cell r="D650" t="str">
            <v>RO 2X7.8</v>
          </cell>
        </row>
        <row r="651">
          <cell r="C651">
            <v>913016</v>
          </cell>
          <cell r="D651" t="str">
            <v>Box 250x40x50</v>
          </cell>
        </row>
        <row r="652">
          <cell r="C652">
            <v>612090</v>
          </cell>
          <cell r="D652" t="str">
            <v>BR.N 2815(06)</v>
          </cell>
        </row>
        <row r="653">
          <cell r="C653">
            <v>104091</v>
          </cell>
          <cell r="D653" t="str">
            <v>BR.IR 2814.2(22)</v>
          </cell>
        </row>
        <row r="654">
          <cell r="C654">
            <v>208091</v>
          </cell>
          <cell r="D654" t="str">
            <v>BR.OR 2814.2(22)</v>
          </cell>
        </row>
        <row r="655">
          <cell r="C655">
            <v>309091</v>
          </cell>
          <cell r="D655" t="str">
            <v>BR.NCG 2814.2(22)</v>
          </cell>
        </row>
        <row r="656">
          <cell r="C656">
            <v>410091</v>
          </cell>
          <cell r="D656" t="str">
            <v>BR.K 2814.2(22)    WITH R</v>
          </cell>
        </row>
        <row r="657">
          <cell r="C657">
            <v>511091</v>
          </cell>
          <cell r="D657" t="str">
            <v>RO 2X5.8</v>
          </cell>
        </row>
        <row r="658">
          <cell r="C658">
            <v>612090</v>
          </cell>
          <cell r="D658" t="str">
            <v>BR.N 2815(06)</v>
          </cell>
        </row>
        <row r="659">
          <cell r="C659">
            <v>913016</v>
          </cell>
          <cell r="D659" t="str">
            <v>Box 250x40x50</v>
          </cell>
        </row>
        <row r="660">
          <cell r="C660">
            <v>104090</v>
          </cell>
          <cell r="D660" t="str">
            <v>BR.IR 2815(06)</v>
          </cell>
        </row>
        <row r="661">
          <cell r="C661">
            <v>208006</v>
          </cell>
          <cell r="D661" t="str">
            <v>BR.OR 282223 SPL.</v>
          </cell>
        </row>
        <row r="662">
          <cell r="C662">
            <v>309090.01</v>
          </cell>
          <cell r="D662" t="str">
            <v>BR.TCG 2815</v>
          </cell>
        </row>
        <row r="663">
          <cell r="C663">
            <v>410092</v>
          </cell>
          <cell r="D663" t="str">
            <v>BR.K 2815(24)      WITH R</v>
          </cell>
        </row>
        <row r="664">
          <cell r="C664">
            <v>511090</v>
          </cell>
          <cell r="D664" t="str">
            <v>RO 2X7.8</v>
          </cell>
        </row>
        <row r="665">
          <cell r="C665">
            <v>612090</v>
          </cell>
          <cell r="D665" t="str">
            <v>BR.N 2815(06)</v>
          </cell>
        </row>
        <row r="666">
          <cell r="C666">
            <v>104093</v>
          </cell>
          <cell r="D666" t="str">
            <v>BR.IR 2816.3(06)</v>
          </cell>
        </row>
        <row r="667">
          <cell r="C667">
            <v>208006</v>
          </cell>
          <cell r="D667" t="str">
            <v>BR.OR 282223 SPL.</v>
          </cell>
        </row>
        <row r="668">
          <cell r="C668">
            <v>309001</v>
          </cell>
          <cell r="D668" t="str">
            <v>BR.NCG 2822</v>
          </cell>
        </row>
        <row r="669">
          <cell r="C669">
            <v>410093.02</v>
          </cell>
          <cell r="D669" t="str">
            <v>BR.K 2816.3(06)     SKF G</v>
          </cell>
        </row>
        <row r="670">
          <cell r="C670">
            <v>511001</v>
          </cell>
          <cell r="D670" t="str">
            <v>RO 2X9.8</v>
          </cell>
        </row>
        <row r="671">
          <cell r="C671">
            <v>612001</v>
          </cell>
          <cell r="D671" t="str">
            <v>BR.N 2822</v>
          </cell>
        </row>
        <row r="672">
          <cell r="C672">
            <v>913016</v>
          </cell>
          <cell r="D672" t="str">
            <v>Box 250x40x50</v>
          </cell>
        </row>
        <row r="673">
          <cell r="C673">
            <v>104094</v>
          </cell>
          <cell r="D673" t="str">
            <v>BR.IR 2816(24)1317</v>
          </cell>
        </row>
        <row r="674">
          <cell r="C674">
            <v>208006</v>
          </cell>
          <cell r="D674" t="str">
            <v>BR.OR 282223 SPL.</v>
          </cell>
        </row>
        <row r="675">
          <cell r="C675">
            <v>309090.01</v>
          </cell>
          <cell r="D675" t="str">
            <v>BR.TCG 2815</v>
          </cell>
        </row>
        <row r="676">
          <cell r="C676">
            <v>410094</v>
          </cell>
          <cell r="D676" t="str">
            <v>BR.K 2816(24)1323  WITH R</v>
          </cell>
        </row>
        <row r="677">
          <cell r="C677">
            <v>511090</v>
          </cell>
          <cell r="D677" t="str">
            <v>RO 2X7.8</v>
          </cell>
        </row>
        <row r="678">
          <cell r="C678">
            <v>612001</v>
          </cell>
          <cell r="D678" t="str">
            <v>BR.N 2822</v>
          </cell>
        </row>
        <row r="679">
          <cell r="C679">
            <v>913016</v>
          </cell>
          <cell r="D679" t="str">
            <v>Box 250x40x50</v>
          </cell>
        </row>
        <row r="680">
          <cell r="C680">
            <v>104100</v>
          </cell>
          <cell r="D680" t="str">
            <v>BR.IR 3017(26)</v>
          </cell>
        </row>
        <row r="681">
          <cell r="C681">
            <v>208026</v>
          </cell>
          <cell r="D681" t="str">
            <v>BR.OR 3000</v>
          </cell>
        </row>
        <row r="682">
          <cell r="C682">
            <v>309026</v>
          </cell>
          <cell r="D682" t="str">
            <v>BR.NCG 3000</v>
          </cell>
        </row>
        <row r="683">
          <cell r="C683">
            <v>410100</v>
          </cell>
          <cell r="D683" t="str">
            <v>BR.K 3017(26)      WITH R</v>
          </cell>
        </row>
        <row r="684">
          <cell r="C684">
            <v>511001</v>
          </cell>
          <cell r="D684" t="str">
            <v>RO 2X9.8</v>
          </cell>
        </row>
        <row r="685">
          <cell r="C685">
            <v>612125</v>
          </cell>
          <cell r="D685" t="str">
            <v>BR.N 3218.5(06)</v>
          </cell>
        </row>
        <row r="686">
          <cell r="C686">
            <v>913016</v>
          </cell>
          <cell r="D686" t="str">
            <v>Box 250x40x50</v>
          </cell>
        </row>
        <row r="687">
          <cell r="C687">
            <v>104100</v>
          </cell>
          <cell r="D687" t="str">
            <v>BR.IR 3017(26)</v>
          </cell>
        </row>
        <row r="688">
          <cell r="C688">
            <v>410100.02</v>
          </cell>
          <cell r="D688" t="str">
            <v>BR.K 3017(26)       SKF G</v>
          </cell>
        </row>
        <row r="689">
          <cell r="C689">
            <v>104100</v>
          </cell>
          <cell r="D689" t="str">
            <v>BR.IR 3017(26)</v>
          </cell>
        </row>
        <row r="690">
          <cell r="C690">
            <v>208026</v>
          </cell>
          <cell r="D690" t="str">
            <v>BR.OR 3000</v>
          </cell>
        </row>
        <row r="691">
          <cell r="C691">
            <v>309026</v>
          </cell>
          <cell r="D691" t="str">
            <v>BR.NCG 3000</v>
          </cell>
        </row>
        <row r="692">
          <cell r="C692">
            <v>410100.02</v>
          </cell>
          <cell r="D692" t="str">
            <v>BR.K 3017(26)       SKF G</v>
          </cell>
        </row>
        <row r="693">
          <cell r="C693">
            <v>511001</v>
          </cell>
          <cell r="D693" t="str">
            <v>RO 2X9.8</v>
          </cell>
        </row>
        <row r="694">
          <cell r="C694">
            <v>612125</v>
          </cell>
          <cell r="D694" t="str">
            <v>BR.N 3218.5(06)</v>
          </cell>
        </row>
        <row r="695">
          <cell r="C695">
            <v>913016</v>
          </cell>
          <cell r="D695" t="str">
            <v>Box 250x40x50</v>
          </cell>
        </row>
        <row r="696">
          <cell r="C696">
            <v>104111</v>
          </cell>
          <cell r="D696" t="str">
            <v>BR.IR 3216.3(06)</v>
          </cell>
        </row>
        <row r="697">
          <cell r="C697">
            <v>208111</v>
          </cell>
          <cell r="D697" t="str">
            <v>BR.OR 3216.3(06)</v>
          </cell>
        </row>
        <row r="698">
          <cell r="C698">
            <v>309111.01</v>
          </cell>
          <cell r="D698" t="str">
            <v>BR.NCG 3216.3(06)</v>
          </cell>
        </row>
        <row r="699">
          <cell r="C699">
            <v>410111</v>
          </cell>
          <cell r="D699" t="str">
            <v>BR.K 3216.3(06)    WITH R</v>
          </cell>
        </row>
        <row r="700">
          <cell r="C700">
            <v>511145</v>
          </cell>
          <cell r="D700" t="str">
            <v>RO 3X9.8</v>
          </cell>
        </row>
        <row r="701">
          <cell r="C701">
            <v>612040.4</v>
          </cell>
          <cell r="D701" t="str">
            <v>BR.N 3200 LMW</v>
          </cell>
        </row>
        <row r="702">
          <cell r="C702">
            <v>913016</v>
          </cell>
          <cell r="D702" t="str">
            <v>Box 250x40x50</v>
          </cell>
        </row>
        <row r="703">
          <cell r="C703">
            <v>309111.01</v>
          </cell>
          <cell r="D703" t="str">
            <v>BR.NCG 3216.3(06)</v>
          </cell>
        </row>
        <row r="704">
          <cell r="C704">
            <v>511145</v>
          </cell>
          <cell r="D704" t="str">
            <v>RO 3X9.8</v>
          </cell>
        </row>
        <row r="705">
          <cell r="C705">
            <v>913010</v>
          </cell>
          <cell r="D705" t="str">
            <v>Box 150x40x50</v>
          </cell>
        </row>
        <row r="706">
          <cell r="C706">
            <v>309111</v>
          </cell>
          <cell r="D706" t="str">
            <v>BR.TCG 3216.3</v>
          </cell>
        </row>
        <row r="707">
          <cell r="C707">
            <v>511145</v>
          </cell>
          <cell r="D707" t="str">
            <v>RO 3X9.8</v>
          </cell>
        </row>
        <row r="708">
          <cell r="C708">
            <v>104111</v>
          </cell>
          <cell r="D708" t="str">
            <v>BR.IR 3216.3(06)</v>
          </cell>
        </row>
        <row r="709">
          <cell r="C709">
            <v>208111</v>
          </cell>
          <cell r="D709" t="str">
            <v>BR.OR 3216.3(06)</v>
          </cell>
        </row>
        <row r="710">
          <cell r="C710">
            <v>309111.01</v>
          </cell>
          <cell r="D710" t="str">
            <v>BR.NCG 3216.3(06)</v>
          </cell>
        </row>
        <row r="711">
          <cell r="C711">
            <v>410112</v>
          </cell>
          <cell r="D711" t="str">
            <v>BR.K 3216.3(20)    WITH R</v>
          </cell>
        </row>
        <row r="712">
          <cell r="C712">
            <v>511145</v>
          </cell>
          <cell r="D712" t="str">
            <v>RO 3X9.8</v>
          </cell>
        </row>
        <row r="713">
          <cell r="C713">
            <v>612040.4</v>
          </cell>
          <cell r="D713" t="str">
            <v>BR.N 3200 LMW</v>
          </cell>
        </row>
        <row r="714">
          <cell r="C714">
            <v>913016</v>
          </cell>
          <cell r="D714" t="str">
            <v>Box 250x40x50</v>
          </cell>
        </row>
        <row r="715">
          <cell r="C715">
            <v>104115</v>
          </cell>
          <cell r="D715" t="str">
            <v>BR.IR 3216.5</v>
          </cell>
        </row>
        <row r="716">
          <cell r="C716">
            <v>208040.4</v>
          </cell>
          <cell r="D716" t="str">
            <v>BR.OR 3222 LMW</v>
          </cell>
        </row>
        <row r="717">
          <cell r="C717">
            <v>309115.02</v>
          </cell>
          <cell r="D717" t="str">
            <v>BR.NCG 3216.5  (Import)</v>
          </cell>
        </row>
        <row r="718">
          <cell r="C718">
            <v>410115</v>
          </cell>
          <cell r="D718" t="str">
            <v>BR.K 3216.5        WITH R</v>
          </cell>
        </row>
        <row r="719">
          <cell r="C719">
            <v>511001</v>
          </cell>
          <cell r="D719" t="str">
            <v>RO 2X9.8</v>
          </cell>
        </row>
        <row r="720">
          <cell r="C720">
            <v>612040.4</v>
          </cell>
          <cell r="D720" t="str">
            <v>BR.N 3200 LMW</v>
          </cell>
        </row>
        <row r="721">
          <cell r="C721">
            <v>913016</v>
          </cell>
          <cell r="D721" t="str">
            <v>Box 250x40x50</v>
          </cell>
        </row>
        <row r="722">
          <cell r="C722">
            <v>410115.1</v>
          </cell>
          <cell r="D722" t="str">
            <v>BR.K 3216.5(06)    WITH R</v>
          </cell>
        </row>
        <row r="723">
          <cell r="C723">
            <v>104115</v>
          </cell>
          <cell r="D723" t="str">
            <v>BR.IR 3216.5</v>
          </cell>
        </row>
        <row r="724">
          <cell r="C724">
            <v>208040.4</v>
          </cell>
          <cell r="D724" t="str">
            <v>BR.OR 3222 LMW</v>
          </cell>
        </row>
        <row r="725">
          <cell r="C725">
            <v>309115</v>
          </cell>
          <cell r="D725" t="str">
            <v>BR.NCG 3216.5  (Local)</v>
          </cell>
        </row>
        <row r="726">
          <cell r="C726">
            <v>410116</v>
          </cell>
          <cell r="D726" t="str">
            <v>BR.K 3216.5(22)    WITH R</v>
          </cell>
        </row>
        <row r="727">
          <cell r="C727">
            <v>511001</v>
          </cell>
          <cell r="D727" t="str">
            <v>RO 2X9.8</v>
          </cell>
        </row>
        <row r="728">
          <cell r="C728">
            <v>612040.4</v>
          </cell>
          <cell r="D728" t="str">
            <v>BR.N 3200 LMW</v>
          </cell>
        </row>
        <row r="729">
          <cell r="C729">
            <v>913016</v>
          </cell>
          <cell r="D729" t="str">
            <v>Box 250x40x50</v>
          </cell>
        </row>
        <row r="730">
          <cell r="C730">
            <v>410116</v>
          </cell>
          <cell r="D730" t="str">
            <v>BR.K 3216.5(22)    WITH R</v>
          </cell>
        </row>
        <row r="731">
          <cell r="C731">
            <v>309115</v>
          </cell>
          <cell r="D731" t="str">
            <v>BR.NCG 3216.5  (Local)</v>
          </cell>
        </row>
        <row r="732">
          <cell r="C732">
            <v>511001</v>
          </cell>
          <cell r="D732" t="str">
            <v>RO 2X9.8</v>
          </cell>
        </row>
        <row r="733">
          <cell r="C733">
            <v>913010</v>
          </cell>
          <cell r="D733" t="str">
            <v>Box 150x40x50</v>
          </cell>
        </row>
        <row r="734">
          <cell r="C734">
            <v>104120</v>
          </cell>
          <cell r="D734" t="str">
            <v>BR.IR 3217</v>
          </cell>
        </row>
        <row r="735">
          <cell r="C735">
            <v>208120</v>
          </cell>
          <cell r="D735" t="str">
            <v>BR.OR 3217</v>
          </cell>
        </row>
        <row r="736">
          <cell r="C736">
            <v>309120</v>
          </cell>
          <cell r="D736" t="str">
            <v>BR.NCG 3217</v>
          </cell>
        </row>
        <row r="737">
          <cell r="C737">
            <v>410120</v>
          </cell>
          <cell r="D737" t="str">
            <v>BR.K 3217S         WITH R</v>
          </cell>
        </row>
        <row r="738">
          <cell r="C738">
            <v>511120</v>
          </cell>
          <cell r="D738" t="str">
            <v>RO 3X11.8</v>
          </cell>
        </row>
        <row r="739">
          <cell r="C739">
            <v>612040.4</v>
          </cell>
          <cell r="D739" t="str">
            <v>BR.N 3200 LMW</v>
          </cell>
        </row>
        <row r="740">
          <cell r="C740">
            <v>913016</v>
          </cell>
          <cell r="D740" t="str">
            <v>Box 250x40x50</v>
          </cell>
        </row>
        <row r="741">
          <cell r="C741">
            <v>410120</v>
          </cell>
          <cell r="D741" t="str">
            <v>BR.K 3217S         WITH R</v>
          </cell>
        </row>
        <row r="742">
          <cell r="C742">
            <v>309120</v>
          </cell>
          <cell r="D742" t="str">
            <v>BR.NCG 3217</v>
          </cell>
        </row>
        <row r="743">
          <cell r="C743">
            <v>511120</v>
          </cell>
          <cell r="D743" t="str">
            <v>RO 3X11.8</v>
          </cell>
        </row>
        <row r="744">
          <cell r="C744">
            <v>913010</v>
          </cell>
          <cell r="D744" t="str">
            <v>Box 150x40x50</v>
          </cell>
        </row>
        <row r="745">
          <cell r="C745">
            <v>612040.4</v>
          </cell>
          <cell r="D745" t="str">
            <v>BR.N 3200 LMW</v>
          </cell>
        </row>
        <row r="746">
          <cell r="C746">
            <v>104120</v>
          </cell>
          <cell r="D746" t="str">
            <v>BR.IR 3217</v>
          </cell>
        </row>
        <row r="747">
          <cell r="C747">
            <v>208120</v>
          </cell>
          <cell r="D747" t="str">
            <v>BR.OR 3217</v>
          </cell>
        </row>
        <row r="748">
          <cell r="C748">
            <v>309120</v>
          </cell>
          <cell r="D748" t="str">
            <v>BR.NCG 3217</v>
          </cell>
        </row>
        <row r="749">
          <cell r="C749">
            <v>410121</v>
          </cell>
          <cell r="D749" t="str">
            <v>BR.K 3217L         WITH R</v>
          </cell>
        </row>
        <row r="750">
          <cell r="C750">
            <v>511120</v>
          </cell>
          <cell r="D750" t="str">
            <v>RO 3X11.8</v>
          </cell>
        </row>
        <row r="751">
          <cell r="C751">
            <v>612040.4</v>
          </cell>
          <cell r="D751" t="str">
            <v>BR.N 3200 LMW</v>
          </cell>
        </row>
        <row r="752">
          <cell r="C752">
            <v>913006</v>
          </cell>
          <cell r="D752" t="str">
            <v>Box 50x35x50</v>
          </cell>
        </row>
        <row r="753">
          <cell r="C753">
            <v>410121</v>
          </cell>
          <cell r="D753" t="str">
            <v>BR.K 3217L         WITH R</v>
          </cell>
        </row>
        <row r="754">
          <cell r="C754">
            <v>104123</v>
          </cell>
          <cell r="D754" t="str">
            <v>BR.STADE 4136</v>
          </cell>
        </row>
        <row r="755">
          <cell r="C755">
            <v>208123</v>
          </cell>
          <cell r="D755" t="str">
            <v>BR.OR 4136</v>
          </cell>
        </row>
        <row r="756">
          <cell r="C756">
            <v>208123.01</v>
          </cell>
          <cell r="D756" t="str">
            <v>BR.WASHER 4136</v>
          </cell>
        </row>
        <row r="757">
          <cell r="C757">
            <v>309123</v>
          </cell>
          <cell r="D757" t="str">
            <v>BR.MCG 4136</v>
          </cell>
        </row>
        <row r="758">
          <cell r="C758">
            <v>511434</v>
          </cell>
          <cell r="D758" t="str">
            <v>RO 3.5X11.8</v>
          </cell>
        </row>
        <row r="759">
          <cell r="C759">
            <v>104140</v>
          </cell>
          <cell r="D759" t="str">
            <v>BR.IR 450029</v>
          </cell>
        </row>
        <row r="760">
          <cell r="C760">
            <v>208124</v>
          </cell>
          <cell r="D760" t="str">
            <v>BR.OR 440029            F</v>
          </cell>
        </row>
        <row r="761">
          <cell r="C761">
            <v>309140</v>
          </cell>
          <cell r="D761" t="str">
            <v>BR.NCG 450029</v>
          </cell>
        </row>
        <row r="762">
          <cell r="C762">
            <v>410140</v>
          </cell>
          <cell r="D762" t="str">
            <v>BR.K 450029      WITH R</v>
          </cell>
        </row>
        <row r="763">
          <cell r="C763">
            <v>511141</v>
          </cell>
          <cell r="D763" t="str">
            <v>RO 3.5X12.8</v>
          </cell>
        </row>
        <row r="764">
          <cell r="C764">
            <v>612042</v>
          </cell>
          <cell r="D764" t="str">
            <v>BR.N 3222</v>
          </cell>
        </row>
        <row r="765">
          <cell r="C765">
            <v>913006</v>
          </cell>
          <cell r="D765" t="str">
            <v>Box 50x35x50</v>
          </cell>
        </row>
        <row r="766">
          <cell r="C766">
            <v>104125</v>
          </cell>
          <cell r="D766" t="str">
            <v>BR.IR 3218.5(06)</v>
          </cell>
        </row>
        <row r="767">
          <cell r="C767">
            <v>208125</v>
          </cell>
          <cell r="D767" t="str">
            <v>BR.OR 3218.5(06)</v>
          </cell>
        </row>
        <row r="768">
          <cell r="C768">
            <v>309125.09999999998</v>
          </cell>
          <cell r="D768" t="str">
            <v>BR.NCG 3218.5(06)LOCKTYPE</v>
          </cell>
        </row>
        <row r="769">
          <cell r="C769">
            <v>410125.02</v>
          </cell>
          <cell r="D769" t="str">
            <v>BR.K 3218.5(06)     SKF G</v>
          </cell>
        </row>
        <row r="770">
          <cell r="C770">
            <v>511001</v>
          </cell>
          <cell r="D770" t="str">
            <v>RO 2X9.8</v>
          </cell>
        </row>
        <row r="771">
          <cell r="C771">
            <v>612125</v>
          </cell>
          <cell r="D771" t="str">
            <v>BR.N 3218.5(06)</v>
          </cell>
        </row>
        <row r="772">
          <cell r="C772">
            <v>913016</v>
          </cell>
          <cell r="D772" t="str">
            <v>Box 250x40x50</v>
          </cell>
        </row>
        <row r="773">
          <cell r="C773">
            <v>410125.12</v>
          </cell>
          <cell r="D773" t="str">
            <v>BR.K 3218.5         SKF G</v>
          </cell>
        </row>
        <row r="774">
          <cell r="C774">
            <v>309125.09999999998</v>
          </cell>
          <cell r="D774" t="str">
            <v>BR.NCG 3218.5(06)LOCKTYPE</v>
          </cell>
        </row>
        <row r="775">
          <cell r="C775">
            <v>511001</v>
          </cell>
          <cell r="D775" t="str">
            <v>RO 2X9.8</v>
          </cell>
        </row>
        <row r="776">
          <cell r="C776">
            <v>913010</v>
          </cell>
          <cell r="D776" t="str">
            <v>Box 150x40x50</v>
          </cell>
        </row>
        <row r="777">
          <cell r="C777">
            <v>612125</v>
          </cell>
          <cell r="D777" t="str">
            <v>BR.N 3218.5(06)</v>
          </cell>
        </row>
        <row r="778">
          <cell r="C778">
            <v>104125</v>
          </cell>
          <cell r="D778" t="str">
            <v>BR.IR 3218.5(06)</v>
          </cell>
        </row>
        <row r="779">
          <cell r="C779">
            <v>208125</v>
          </cell>
          <cell r="D779" t="str">
            <v>BR.OR 3218.5(06)</v>
          </cell>
        </row>
        <row r="780">
          <cell r="C780">
            <v>309115</v>
          </cell>
          <cell r="D780" t="str">
            <v>BR.NCG 3216.5  (Local)</v>
          </cell>
        </row>
        <row r="781">
          <cell r="C781">
            <v>410125</v>
          </cell>
          <cell r="D781" t="str">
            <v>BR.K 3218.5(06)    WITH R</v>
          </cell>
        </row>
        <row r="782">
          <cell r="C782">
            <v>511001</v>
          </cell>
          <cell r="D782" t="str">
            <v>RO 2X9.8</v>
          </cell>
        </row>
        <row r="783">
          <cell r="C783">
            <v>612042</v>
          </cell>
          <cell r="D783" t="str">
            <v>BR.N 3222</v>
          </cell>
        </row>
        <row r="784">
          <cell r="C784">
            <v>913016</v>
          </cell>
          <cell r="D784" t="str">
            <v>Box 250x40x50</v>
          </cell>
        </row>
        <row r="785">
          <cell r="C785">
            <v>104126</v>
          </cell>
          <cell r="D785" t="str">
            <v>BR.IR 3221(06)</v>
          </cell>
        </row>
        <row r="786">
          <cell r="C786">
            <v>208126</v>
          </cell>
          <cell r="D786" t="str">
            <v>BR.OR 3221(06)</v>
          </cell>
        </row>
        <row r="787">
          <cell r="C787">
            <v>309125.09999999998</v>
          </cell>
          <cell r="D787" t="str">
            <v>BR.NCG 3218.5(06)LOCKTYPE</v>
          </cell>
        </row>
        <row r="788">
          <cell r="C788">
            <v>410125.02</v>
          </cell>
          <cell r="D788" t="str">
            <v>BR.K 3218.5(06)     SKF G</v>
          </cell>
        </row>
        <row r="789">
          <cell r="C789">
            <v>511001</v>
          </cell>
          <cell r="D789" t="str">
            <v>RO 2X9.8</v>
          </cell>
        </row>
        <row r="790">
          <cell r="C790">
            <v>612125</v>
          </cell>
          <cell r="D790" t="str">
            <v>BR.N 3218.5(06)</v>
          </cell>
        </row>
        <row r="791">
          <cell r="C791">
            <v>913016</v>
          </cell>
          <cell r="D791" t="str">
            <v>Box 250x40x50</v>
          </cell>
        </row>
        <row r="792">
          <cell r="C792">
            <v>309125.09999999998</v>
          </cell>
          <cell r="D792" t="str">
            <v>BR.NCG 3218.5(06)LOCKTYPE</v>
          </cell>
        </row>
        <row r="793">
          <cell r="C793">
            <v>511001</v>
          </cell>
          <cell r="D793" t="str">
            <v>RO 2X9.8</v>
          </cell>
        </row>
        <row r="794">
          <cell r="C794">
            <v>913010</v>
          </cell>
          <cell r="D794" t="str">
            <v>Box 150x40x50</v>
          </cell>
        </row>
        <row r="795">
          <cell r="C795">
            <v>104126</v>
          </cell>
          <cell r="D795" t="str">
            <v>BR.IR 3221(06)</v>
          </cell>
        </row>
        <row r="796">
          <cell r="C796">
            <v>208126</v>
          </cell>
          <cell r="D796" t="str">
            <v>BR.OR 3221(06)</v>
          </cell>
        </row>
        <row r="797">
          <cell r="C797">
            <v>309115.01</v>
          </cell>
          <cell r="D797" t="str">
            <v>BR.TCG 242813</v>
          </cell>
        </row>
        <row r="798">
          <cell r="C798">
            <v>410126</v>
          </cell>
          <cell r="D798" t="str">
            <v>BR.K 3221(06)      WITH R</v>
          </cell>
        </row>
        <row r="799">
          <cell r="C799">
            <v>511001</v>
          </cell>
          <cell r="D799" t="str">
            <v>RO 2X9.8</v>
          </cell>
        </row>
        <row r="800">
          <cell r="C800">
            <v>612040.4</v>
          </cell>
          <cell r="D800" t="str">
            <v>BR.N 3200 LMW</v>
          </cell>
        </row>
        <row r="801">
          <cell r="C801">
            <v>913016</v>
          </cell>
          <cell r="D801" t="str">
            <v>Box 250x40x50</v>
          </cell>
        </row>
        <row r="802">
          <cell r="C802">
            <v>208127</v>
          </cell>
          <cell r="D802" t="str">
            <v>BR.OR 2129P</v>
          </cell>
        </row>
        <row r="803">
          <cell r="C803">
            <v>309404</v>
          </cell>
          <cell r="D803" t="str">
            <v>TCG.TCG 21/17 D</v>
          </cell>
        </row>
        <row r="804">
          <cell r="C804">
            <v>511404</v>
          </cell>
          <cell r="D804" t="str">
            <v>RO 2X13.8</v>
          </cell>
        </row>
        <row r="805">
          <cell r="C805">
            <v>818162</v>
          </cell>
          <cell r="D805" t="str">
            <v>2.5 mm Pin(BR 32[P]18-26)</v>
          </cell>
        </row>
        <row r="806">
          <cell r="C806">
            <v>913016</v>
          </cell>
          <cell r="D806" t="str">
            <v>Box 250x40x50</v>
          </cell>
        </row>
        <row r="807">
          <cell r="C807">
            <v>208128</v>
          </cell>
          <cell r="D807" t="str">
            <v>BR.OR 2140P</v>
          </cell>
        </row>
        <row r="808">
          <cell r="C808">
            <v>309128</v>
          </cell>
          <cell r="D808" t="str">
            <v>BR.TCG 2140P</v>
          </cell>
        </row>
        <row r="809">
          <cell r="C809">
            <v>511130</v>
          </cell>
          <cell r="D809" t="str">
            <v>RO 2.5X13.8</v>
          </cell>
        </row>
        <row r="810">
          <cell r="C810">
            <v>818162</v>
          </cell>
          <cell r="D810" t="str">
            <v>2.5 mm Pin(BR 32[P]18-26)</v>
          </cell>
        </row>
        <row r="811">
          <cell r="C811">
            <v>913016</v>
          </cell>
          <cell r="D811" t="str">
            <v>Box 250x40x50</v>
          </cell>
        </row>
        <row r="812">
          <cell r="C812">
            <v>104129</v>
          </cell>
          <cell r="D812" t="str">
            <v>BR.IR 3420</v>
          </cell>
        </row>
        <row r="813">
          <cell r="C813">
            <v>208129</v>
          </cell>
          <cell r="D813" t="str">
            <v>BR.OR 3420</v>
          </cell>
        </row>
        <row r="814">
          <cell r="C814">
            <v>309167</v>
          </cell>
          <cell r="D814" t="str">
            <v>BR.NCG 34[P]20-26</v>
          </cell>
        </row>
        <row r="815">
          <cell r="C815">
            <v>511120</v>
          </cell>
          <cell r="D815" t="str">
            <v>RO 3X11.8</v>
          </cell>
        </row>
        <row r="816">
          <cell r="C816">
            <v>612042</v>
          </cell>
          <cell r="D816" t="str">
            <v>BR.N 3222</v>
          </cell>
        </row>
        <row r="817">
          <cell r="C817">
            <v>717165.03</v>
          </cell>
          <cell r="D817" t="str">
            <v>Nipple Washer</v>
          </cell>
        </row>
        <row r="818">
          <cell r="C818">
            <v>913006</v>
          </cell>
          <cell r="D818" t="str">
            <v>Box 50x35x50</v>
          </cell>
        </row>
        <row r="819">
          <cell r="C819">
            <v>104130</v>
          </cell>
          <cell r="D819" t="str">
            <v>BR.IR 3422</v>
          </cell>
        </row>
        <row r="820">
          <cell r="C820">
            <v>208130</v>
          </cell>
          <cell r="D820" t="str">
            <v>BR.OR 3422</v>
          </cell>
        </row>
        <row r="821">
          <cell r="C821">
            <v>309060.03000000003</v>
          </cell>
          <cell r="D821" t="str">
            <v>BR.NCG 3624</v>
          </cell>
        </row>
        <row r="822">
          <cell r="C822">
            <v>511270.01</v>
          </cell>
          <cell r="D822" t="str">
            <v>RO 2.5X12.8</v>
          </cell>
        </row>
        <row r="823">
          <cell r="C823">
            <v>612042</v>
          </cell>
          <cell r="D823" t="str">
            <v>BR.N 3222</v>
          </cell>
        </row>
        <row r="824">
          <cell r="C824">
            <v>818130</v>
          </cell>
          <cell r="D824" t="str">
            <v>METAL RETUNER 26 mm.</v>
          </cell>
        </row>
        <row r="825">
          <cell r="C825">
            <v>913006</v>
          </cell>
          <cell r="D825" t="str">
            <v>Box 50x35x50</v>
          </cell>
        </row>
        <row r="826">
          <cell r="C826">
            <v>309060.03000000003</v>
          </cell>
          <cell r="D826" t="str">
            <v>BR.NCG 3624</v>
          </cell>
        </row>
        <row r="827">
          <cell r="C827">
            <v>511270.01</v>
          </cell>
          <cell r="D827" t="str">
            <v>RO 2.5X12.8</v>
          </cell>
        </row>
        <row r="828">
          <cell r="C828">
            <v>913010</v>
          </cell>
          <cell r="D828" t="str">
            <v>Box 150x40x50</v>
          </cell>
        </row>
        <row r="829">
          <cell r="C829">
            <v>104130.15</v>
          </cell>
          <cell r="D829" t="str">
            <v>BR.IR 3422 TCG</v>
          </cell>
        </row>
        <row r="830">
          <cell r="C830">
            <v>208130</v>
          </cell>
          <cell r="D830" t="str">
            <v>BR.OR 3422</v>
          </cell>
        </row>
        <row r="831">
          <cell r="C831">
            <v>309060.01</v>
          </cell>
          <cell r="D831" t="str">
            <v>BR.TCG 3622</v>
          </cell>
        </row>
        <row r="832">
          <cell r="C832">
            <v>511060</v>
          </cell>
          <cell r="D832" t="str">
            <v>RO 2.5X9.8</v>
          </cell>
        </row>
        <row r="833">
          <cell r="C833">
            <v>612042</v>
          </cell>
          <cell r="D833" t="str">
            <v>BR.N 3222</v>
          </cell>
        </row>
        <row r="834">
          <cell r="C834">
            <v>818130</v>
          </cell>
          <cell r="D834" t="str">
            <v>METAL RETUNER 26 mm.</v>
          </cell>
        </row>
        <row r="835">
          <cell r="C835">
            <v>913006</v>
          </cell>
          <cell r="D835" t="str">
            <v>Box 50x35x50</v>
          </cell>
        </row>
        <row r="836">
          <cell r="C836">
            <v>104134</v>
          </cell>
          <cell r="D836" t="str">
            <v>BR.IR 3621(20)</v>
          </cell>
        </row>
        <row r="837">
          <cell r="C837">
            <v>208065</v>
          </cell>
          <cell r="D837" t="str">
            <v>BR.OR 362526</v>
          </cell>
        </row>
        <row r="838">
          <cell r="C838">
            <v>309060</v>
          </cell>
          <cell r="D838" t="str">
            <v>BR.NCG 3622</v>
          </cell>
        </row>
        <row r="839">
          <cell r="C839">
            <v>410131</v>
          </cell>
          <cell r="D839" t="str">
            <v>BR.K 3621(22)      WITH R</v>
          </cell>
        </row>
        <row r="840">
          <cell r="C840">
            <v>511060</v>
          </cell>
          <cell r="D840" t="str">
            <v>RO 2.5X9.8</v>
          </cell>
        </row>
        <row r="841">
          <cell r="C841">
            <v>612042</v>
          </cell>
          <cell r="D841" t="str">
            <v>BR.N 3222</v>
          </cell>
        </row>
        <row r="842">
          <cell r="C842">
            <v>913006</v>
          </cell>
          <cell r="D842" t="str">
            <v>Box 50x35x50</v>
          </cell>
        </row>
        <row r="843">
          <cell r="C843">
            <v>410131</v>
          </cell>
          <cell r="D843" t="str">
            <v>BR.K 3621(22)      WITH R</v>
          </cell>
        </row>
        <row r="844">
          <cell r="C844">
            <v>104134</v>
          </cell>
          <cell r="D844" t="str">
            <v>BR.IR 3621(20)</v>
          </cell>
        </row>
        <row r="845">
          <cell r="C845">
            <v>208065</v>
          </cell>
          <cell r="D845" t="str">
            <v>BR.OR 362526</v>
          </cell>
        </row>
        <row r="846">
          <cell r="C846">
            <v>309060</v>
          </cell>
          <cell r="D846" t="str">
            <v>BR.NCG 3622</v>
          </cell>
        </row>
        <row r="847">
          <cell r="C847">
            <v>410065</v>
          </cell>
          <cell r="D847" t="str">
            <v>BR.K 362526        WITH R</v>
          </cell>
        </row>
        <row r="848">
          <cell r="C848">
            <v>511060</v>
          </cell>
          <cell r="D848" t="str">
            <v>RO 2.5X9.8</v>
          </cell>
        </row>
        <row r="849">
          <cell r="C849">
            <v>612042</v>
          </cell>
          <cell r="D849" t="str">
            <v>BR.N 3222</v>
          </cell>
        </row>
        <row r="850">
          <cell r="C850">
            <v>913006</v>
          </cell>
          <cell r="D850" t="str">
            <v>Box 50x35x50</v>
          </cell>
        </row>
        <row r="851">
          <cell r="C851">
            <v>104133</v>
          </cell>
          <cell r="D851" t="str">
            <v>BR.IR 3618.5(06)</v>
          </cell>
        </row>
        <row r="852">
          <cell r="C852">
            <v>208133</v>
          </cell>
          <cell r="D852" t="str">
            <v>BR.OR 3618.5</v>
          </cell>
        </row>
        <row r="853">
          <cell r="C853">
            <v>309060</v>
          </cell>
          <cell r="D853" t="str">
            <v>BR.NCG 3622</v>
          </cell>
        </row>
        <row r="854">
          <cell r="C854">
            <v>410133.12</v>
          </cell>
          <cell r="D854" t="str">
            <v>BR.K 3618.5(06)     SKF G</v>
          </cell>
        </row>
        <row r="855">
          <cell r="C855">
            <v>511060</v>
          </cell>
          <cell r="D855" t="str">
            <v>RO 2.5X9.8</v>
          </cell>
        </row>
        <row r="856">
          <cell r="C856">
            <v>612042</v>
          </cell>
          <cell r="D856" t="str">
            <v>BR.N 3222</v>
          </cell>
        </row>
        <row r="857">
          <cell r="C857">
            <v>913006</v>
          </cell>
          <cell r="D857" t="str">
            <v>Box 50x35x50</v>
          </cell>
        </row>
        <row r="858">
          <cell r="C858">
            <v>410133.12</v>
          </cell>
          <cell r="D858" t="str">
            <v>BR.K 3618.5(06)     SKF G</v>
          </cell>
        </row>
        <row r="859">
          <cell r="C859">
            <v>309060</v>
          </cell>
          <cell r="D859" t="str">
            <v>BR.NCG 3622</v>
          </cell>
        </row>
        <row r="860">
          <cell r="C860">
            <v>511060</v>
          </cell>
          <cell r="D860" t="str">
            <v>RO 2.5X9.8</v>
          </cell>
        </row>
        <row r="861">
          <cell r="C861">
            <v>104133</v>
          </cell>
          <cell r="D861" t="str">
            <v>BR.IR 3618.5(06)</v>
          </cell>
        </row>
        <row r="862">
          <cell r="C862">
            <v>208133</v>
          </cell>
          <cell r="D862" t="str">
            <v>BR.OR 3618.5</v>
          </cell>
        </row>
        <row r="863">
          <cell r="C863">
            <v>309060</v>
          </cell>
          <cell r="D863" t="str">
            <v>BR.NCG 3622</v>
          </cell>
        </row>
        <row r="864">
          <cell r="C864">
            <v>410133.1</v>
          </cell>
          <cell r="D864" t="str">
            <v>BR.K 3618.5(06)    WITH R</v>
          </cell>
        </row>
        <row r="865">
          <cell r="C865">
            <v>511060</v>
          </cell>
          <cell r="D865" t="str">
            <v>RO 2.5X9.8</v>
          </cell>
        </row>
        <row r="866">
          <cell r="C866">
            <v>612042</v>
          </cell>
          <cell r="D866" t="str">
            <v>BR.N 3222</v>
          </cell>
        </row>
        <row r="867">
          <cell r="C867">
            <v>104134</v>
          </cell>
          <cell r="D867" t="str">
            <v>BR.IR 3621(20)</v>
          </cell>
        </row>
        <row r="868">
          <cell r="C868">
            <v>208065</v>
          </cell>
          <cell r="D868" t="str">
            <v>BR.OR 362526</v>
          </cell>
        </row>
        <row r="869">
          <cell r="C869">
            <v>309060</v>
          </cell>
          <cell r="D869" t="str">
            <v>BR.NCG 3622</v>
          </cell>
        </row>
        <row r="870">
          <cell r="C870">
            <v>410134</v>
          </cell>
          <cell r="D870" t="str">
            <v>BR.K 3621(06)      WITH R</v>
          </cell>
        </row>
        <row r="871">
          <cell r="C871">
            <v>511060</v>
          </cell>
          <cell r="D871" t="str">
            <v>RO 2.5X9.8</v>
          </cell>
        </row>
        <row r="872">
          <cell r="C872">
            <v>612042</v>
          </cell>
          <cell r="D872" t="str">
            <v>BR.N 3222</v>
          </cell>
        </row>
        <row r="873">
          <cell r="C873">
            <v>913006</v>
          </cell>
          <cell r="D873" t="str">
            <v>Box 50x35x50</v>
          </cell>
        </row>
        <row r="874">
          <cell r="C874">
            <v>104134</v>
          </cell>
          <cell r="D874" t="str">
            <v>BR.IR 3621(20)</v>
          </cell>
        </row>
        <row r="875">
          <cell r="C875">
            <v>208065</v>
          </cell>
          <cell r="D875" t="str">
            <v>BR.OR 362526</v>
          </cell>
        </row>
        <row r="876">
          <cell r="C876">
            <v>309060</v>
          </cell>
          <cell r="D876" t="str">
            <v>BR.NCG 3622</v>
          </cell>
        </row>
        <row r="877">
          <cell r="C877">
            <v>410135</v>
          </cell>
          <cell r="D877" t="str">
            <v>BR.K 3621(20)      WITH R</v>
          </cell>
        </row>
        <row r="878">
          <cell r="C878">
            <v>511060</v>
          </cell>
          <cell r="D878" t="str">
            <v>RO 2.5X9.8</v>
          </cell>
        </row>
        <row r="879">
          <cell r="C879">
            <v>612042</v>
          </cell>
          <cell r="D879" t="str">
            <v>BR.N 3222</v>
          </cell>
        </row>
        <row r="880">
          <cell r="C880">
            <v>913006</v>
          </cell>
          <cell r="D880" t="str">
            <v>Box 50x35x50</v>
          </cell>
        </row>
        <row r="881">
          <cell r="C881">
            <v>410135</v>
          </cell>
          <cell r="D881" t="str">
            <v>BR.K 3621(20)      WITH R</v>
          </cell>
        </row>
        <row r="882">
          <cell r="C882">
            <v>104140</v>
          </cell>
          <cell r="D882" t="str">
            <v>BR.IR 450029</v>
          </cell>
        </row>
        <row r="883">
          <cell r="C883">
            <v>208140</v>
          </cell>
          <cell r="D883" t="str">
            <v>BR.OR 450029</v>
          </cell>
        </row>
        <row r="884">
          <cell r="C884">
            <v>309140</v>
          </cell>
          <cell r="D884" t="str">
            <v>BR.NCG 450029</v>
          </cell>
        </row>
        <row r="885">
          <cell r="C885">
            <v>410136.02</v>
          </cell>
          <cell r="D885" t="str">
            <v>BR.K 452529         SKF G</v>
          </cell>
        </row>
        <row r="886">
          <cell r="C886">
            <v>511141</v>
          </cell>
          <cell r="D886" t="str">
            <v>RO 3.5X12.8</v>
          </cell>
        </row>
        <row r="887">
          <cell r="C887">
            <v>612075</v>
          </cell>
          <cell r="D887" t="str">
            <v>BR.N 4006(24)</v>
          </cell>
        </row>
        <row r="888">
          <cell r="C888">
            <v>913006</v>
          </cell>
          <cell r="D888" t="str">
            <v>Box 50x35x50</v>
          </cell>
        </row>
        <row r="889">
          <cell r="C889">
            <v>104060</v>
          </cell>
          <cell r="D889" t="str">
            <v>BR.IR 3622</v>
          </cell>
        </row>
        <row r="890">
          <cell r="C890">
            <v>208137</v>
          </cell>
          <cell r="D890" t="str">
            <v>BR.OR 3719(22)</v>
          </cell>
        </row>
        <row r="891">
          <cell r="C891">
            <v>309060</v>
          </cell>
          <cell r="D891" t="str">
            <v>BR.NCG 3622</v>
          </cell>
        </row>
        <row r="892">
          <cell r="C892">
            <v>410137</v>
          </cell>
          <cell r="D892" t="str">
            <v>BR.K 3719(22)      WITH R</v>
          </cell>
        </row>
        <row r="893">
          <cell r="C893">
            <v>511060</v>
          </cell>
          <cell r="D893" t="str">
            <v>RO 2.5X9.8</v>
          </cell>
        </row>
        <row r="894">
          <cell r="C894">
            <v>612042</v>
          </cell>
          <cell r="D894" t="str">
            <v>BR.N 3222</v>
          </cell>
        </row>
        <row r="895">
          <cell r="C895">
            <v>913006</v>
          </cell>
          <cell r="D895" t="str">
            <v>Box 50x35x50</v>
          </cell>
        </row>
        <row r="896">
          <cell r="C896">
            <v>104138</v>
          </cell>
          <cell r="D896" t="str">
            <v>BR.IR 4019(06)</v>
          </cell>
        </row>
        <row r="897">
          <cell r="C897">
            <v>208075</v>
          </cell>
          <cell r="D897" t="str">
            <v>BR.OR 402424</v>
          </cell>
        </row>
        <row r="898">
          <cell r="C898">
            <v>309077</v>
          </cell>
          <cell r="D898" t="str">
            <v>BR.NCG 4000</v>
          </cell>
        </row>
        <row r="899">
          <cell r="C899">
            <v>410138</v>
          </cell>
          <cell r="D899" t="str">
            <v>BR.K 4019(06)      WITH R</v>
          </cell>
        </row>
        <row r="900">
          <cell r="C900">
            <v>511120</v>
          </cell>
          <cell r="D900" t="str">
            <v>RO 3X11.8</v>
          </cell>
        </row>
        <row r="901">
          <cell r="C901">
            <v>612075</v>
          </cell>
          <cell r="D901" t="str">
            <v>BR.N 4006(24)</v>
          </cell>
        </row>
        <row r="902">
          <cell r="C902">
            <v>913006</v>
          </cell>
          <cell r="D902" t="str">
            <v>Box 50x35x50</v>
          </cell>
        </row>
        <row r="903">
          <cell r="C903">
            <v>104140</v>
          </cell>
          <cell r="D903" t="str">
            <v>BR.IR 450029</v>
          </cell>
        </row>
        <row r="904">
          <cell r="C904">
            <v>208140</v>
          </cell>
          <cell r="D904" t="str">
            <v>BR.OR 450029</v>
          </cell>
        </row>
        <row r="905">
          <cell r="C905">
            <v>309140</v>
          </cell>
          <cell r="D905" t="str">
            <v>BR.NCG 450029</v>
          </cell>
        </row>
        <row r="906">
          <cell r="C906">
            <v>410139.02</v>
          </cell>
          <cell r="D906" t="str">
            <v>BR.K 452429         SKF G</v>
          </cell>
        </row>
        <row r="907">
          <cell r="C907">
            <v>511141</v>
          </cell>
          <cell r="D907" t="str">
            <v>RO 3.5X12.8</v>
          </cell>
        </row>
        <row r="908">
          <cell r="C908">
            <v>612042</v>
          </cell>
          <cell r="D908" t="str">
            <v>BR.N 3222</v>
          </cell>
        </row>
        <row r="909">
          <cell r="C909">
            <v>913006</v>
          </cell>
          <cell r="D909" t="str">
            <v>Box 50x35x50</v>
          </cell>
        </row>
        <row r="910">
          <cell r="C910">
            <v>410139.02</v>
          </cell>
          <cell r="D910" t="str">
            <v>BR.K 452429         SKF G</v>
          </cell>
        </row>
        <row r="911">
          <cell r="C911">
            <v>104140</v>
          </cell>
          <cell r="D911" t="str">
            <v>BR.IR 450029</v>
          </cell>
        </row>
        <row r="912">
          <cell r="C912">
            <v>208140</v>
          </cell>
          <cell r="D912" t="str">
            <v>BR.OR 450029</v>
          </cell>
        </row>
        <row r="913">
          <cell r="C913">
            <v>309140</v>
          </cell>
          <cell r="D913" t="str">
            <v>BR.NCG 450029</v>
          </cell>
        </row>
        <row r="914">
          <cell r="C914">
            <v>410140</v>
          </cell>
          <cell r="D914" t="str">
            <v>BR.K 450029      WITH R</v>
          </cell>
        </row>
        <row r="915">
          <cell r="C915">
            <v>511141</v>
          </cell>
          <cell r="D915" t="str">
            <v>RO 3.5X12.8</v>
          </cell>
        </row>
        <row r="916">
          <cell r="C916">
            <v>612075</v>
          </cell>
          <cell r="D916" t="str">
            <v>BR.N 4006(24)</v>
          </cell>
        </row>
        <row r="917">
          <cell r="C917">
            <v>913006</v>
          </cell>
          <cell r="D917" t="str">
            <v>Box 50x35x50</v>
          </cell>
        </row>
        <row r="918">
          <cell r="C918">
            <v>410136.02</v>
          </cell>
          <cell r="D918" t="str">
            <v>BR.K 452529         SKF G</v>
          </cell>
        </row>
        <row r="919">
          <cell r="C919">
            <v>208141</v>
          </cell>
          <cell r="D919" t="str">
            <v>BR.OR 2134(25)</v>
          </cell>
        </row>
        <row r="920">
          <cell r="C920">
            <v>309167</v>
          </cell>
          <cell r="D920" t="str">
            <v>BR.NCG 34[P]20-26</v>
          </cell>
        </row>
        <row r="921">
          <cell r="C921">
            <v>410141</v>
          </cell>
          <cell r="D921" t="str">
            <v>BR.K 2134(25)    WITH R</v>
          </cell>
        </row>
        <row r="922">
          <cell r="C922">
            <v>511270.01</v>
          </cell>
          <cell r="D922" t="str">
            <v>RO 2.5X12.8</v>
          </cell>
        </row>
        <row r="923">
          <cell r="C923">
            <v>612042</v>
          </cell>
          <cell r="D923" t="str">
            <v>BR.N 3222</v>
          </cell>
        </row>
        <row r="924">
          <cell r="C924">
            <v>913006</v>
          </cell>
          <cell r="D924" t="str">
            <v>Box 50x35x50</v>
          </cell>
        </row>
        <row r="925">
          <cell r="C925">
            <v>208060</v>
          </cell>
          <cell r="D925" t="str">
            <v>BR.OR 3622</v>
          </cell>
        </row>
        <row r="926">
          <cell r="C926">
            <v>309060</v>
          </cell>
          <cell r="D926" t="str">
            <v>BR.NCG 3622</v>
          </cell>
        </row>
        <row r="927">
          <cell r="C927">
            <v>410142</v>
          </cell>
          <cell r="D927" t="str">
            <v>BR.K 2136(20)      WITH R</v>
          </cell>
        </row>
        <row r="928">
          <cell r="C928">
            <v>511060</v>
          </cell>
          <cell r="D928" t="str">
            <v>RO 2.5X9.8</v>
          </cell>
        </row>
        <row r="929">
          <cell r="C929">
            <v>612042</v>
          </cell>
          <cell r="D929" t="str">
            <v>BR.N 3222</v>
          </cell>
        </row>
        <row r="930">
          <cell r="C930">
            <v>913006</v>
          </cell>
          <cell r="D930" t="str">
            <v>Box 50x35x50</v>
          </cell>
        </row>
        <row r="931">
          <cell r="C931">
            <v>208075</v>
          </cell>
          <cell r="D931" t="str">
            <v>BR.OR 402424</v>
          </cell>
        </row>
        <row r="932">
          <cell r="C932">
            <v>309077</v>
          </cell>
          <cell r="D932" t="str">
            <v>BR.NCG 4000</v>
          </cell>
        </row>
        <row r="933">
          <cell r="C933">
            <v>410143</v>
          </cell>
          <cell r="D933" t="str">
            <v>BR.K 2140(20)      WITH R</v>
          </cell>
        </row>
        <row r="934">
          <cell r="C934">
            <v>511120</v>
          </cell>
          <cell r="D934" t="str">
            <v>RO 3X11.8</v>
          </cell>
        </row>
        <row r="935">
          <cell r="C935">
            <v>612075</v>
          </cell>
          <cell r="D935" t="str">
            <v>BR.N 4006(24)</v>
          </cell>
        </row>
        <row r="936">
          <cell r="C936">
            <v>913006</v>
          </cell>
          <cell r="D936" t="str">
            <v>Box 50x35x50</v>
          </cell>
        </row>
        <row r="937">
          <cell r="C937">
            <v>208040.4</v>
          </cell>
          <cell r="D937" t="str">
            <v>BR.OR 3222 LMW</v>
          </cell>
        </row>
        <row r="938">
          <cell r="C938">
            <v>309040</v>
          </cell>
          <cell r="D938" t="str">
            <v>BR.NCG 3222</v>
          </cell>
        </row>
        <row r="939">
          <cell r="C939">
            <v>410144</v>
          </cell>
          <cell r="D939" t="str">
            <v>BR.K 2132(20)</v>
          </cell>
        </row>
        <row r="940">
          <cell r="C940">
            <v>511040</v>
          </cell>
          <cell r="D940" t="str">
            <v>RO 2X11.8</v>
          </cell>
        </row>
        <row r="941">
          <cell r="C941">
            <v>612040.4</v>
          </cell>
          <cell r="D941" t="str">
            <v>BR.N 3200 LMW</v>
          </cell>
        </row>
        <row r="942">
          <cell r="C942">
            <v>913016</v>
          </cell>
          <cell r="D942" t="str">
            <v>Box 250x40x50</v>
          </cell>
        </row>
        <row r="943">
          <cell r="C943">
            <v>208145</v>
          </cell>
          <cell r="D943" t="str">
            <v>BR.OR 2130(20)</v>
          </cell>
        </row>
        <row r="944">
          <cell r="C944">
            <v>309145</v>
          </cell>
          <cell r="D944" t="str">
            <v>BR.TCG 2130(20)</v>
          </cell>
        </row>
        <row r="945">
          <cell r="C945">
            <v>410145</v>
          </cell>
          <cell r="D945" t="str">
            <v>BR.K 2130(20)      WITH R</v>
          </cell>
        </row>
        <row r="946">
          <cell r="C946">
            <v>511145</v>
          </cell>
          <cell r="D946" t="str">
            <v>RO 3X9.8</v>
          </cell>
        </row>
        <row r="947">
          <cell r="C947">
            <v>612001</v>
          </cell>
          <cell r="D947" t="str">
            <v>BR.N 2822</v>
          </cell>
        </row>
        <row r="948">
          <cell r="C948">
            <v>913016</v>
          </cell>
          <cell r="D948" t="str">
            <v>Box 250x40x50</v>
          </cell>
        </row>
        <row r="949">
          <cell r="C949">
            <v>309145</v>
          </cell>
          <cell r="D949" t="str">
            <v>BR.TCG 2130(20)</v>
          </cell>
        </row>
        <row r="950">
          <cell r="C950">
            <v>511145</v>
          </cell>
          <cell r="D950" t="str">
            <v>RO 3X9.8</v>
          </cell>
        </row>
        <row r="951">
          <cell r="C951">
            <v>104146</v>
          </cell>
          <cell r="D951" t="str">
            <v>BR.IR 20-3P</v>
          </cell>
        </row>
        <row r="952">
          <cell r="C952">
            <v>208146</v>
          </cell>
          <cell r="D952" t="str">
            <v>BR.OR 20-3P</v>
          </cell>
        </row>
        <row r="953">
          <cell r="C953">
            <v>309758</v>
          </cell>
          <cell r="D953" t="str">
            <v>BR.TCG 32[P]17</v>
          </cell>
        </row>
        <row r="954">
          <cell r="C954">
            <v>612001</v>
          </cell>
          <cell r="D954" t="str">
            <v>BR.N 2822</v>
          </cell>
        </row>
        <row r="955">
          <cell r="C955">
            <v>913016</v>
          </cell>
          <cell r="D955" t="str">
            <v>Box 250x40x50</v>
          </cell>
        </row>
        <row r="956">
          <cell r="C956">
            <v>104134</v>
          </cell>
          <cell r="D956" t="str">
            <v>BR.IR 3621(20)</v>
          </cell>
        </row>
        <row r="957">
          <cell r="C957">
            <v>208060</v>
          </cell>
          <cell r="D957" t="str">
            <v>BR.OR 3622</v>
          </cell>
        </row>
        <row r="958">
          <cell r="C958">
            <v>309060</v>
          </cell>
          <cell r="D958" t="str">
            <v>BR.NCG 3622</v>
          </cell>
        </row>
        <row r="959">
          <cell r="C959">
            <v>410147</v>
          </cell>
          <cell r="D959" t="str">
            <v>BR.K 3621(24)25    WITH R</v>
          </cell>
        </row>
        <row r="960">
          <cell r="C960">
            <v>511060</v>
          </cell>
          <cell r="D960" t="str">
            <v>RO 2.5X9.8</v>
          </cell>
        </row>
        <row r="961">
          <cell r="C961">
            <v>612042</v>
          </cell>
          <cell r="D961" t="str">
            <v>BR.N 3222</v>
          </cell>
        </row>
        <row r="962">
          <cell r="C962">
            <v>913006</v>
          </cell>
          <cell r="D962" t="str">
            <v>Box 50x35x50</v>
          </cell>
        </row>
        <row r="963">
          <cell r="C963">
            <v>104148</v>
          </cell>
          <cell r="D963" t="str">
            <v>SPL.IR S 20</v>
          </cell>
        </row>
        <row r="964">
          <cell r="C964">
            <v>104148.01</v>
          </cell>
          <cell r="D964" t="str">
            <v>SPL.IR S 20 SPL         F</v>
          </cell>
        </row>
        <row r="965">
          <cell r="C965">
            <v>104148.02</v>
          </cell>
          <cell r="D965" t="str">
            <v>SPL.IR S 36             F</v>
          </cell>
        </row>
        <row r="966">
          <cell r="C966">
            <v>104148.01</v>
          </cell>
          <cell r="D966" t="str">
            <v>SPL.IR S 20 SPL         F</v>
          </cell>
        </row>
        <row r="967">
          <cell r="C967">
            <v>208326.01</v>
          </cell>
          <cell r="D967" t="str">
            <v>NA/RNA.OR 6902</v>
          </cell>
        </row>
        <row r="968">
          <cell r="C968">
            <v>309326.01</v>
          </cell>
          <cell r="D968" t="str">
            <v>NA/RNA.MCG 6902</v>
          </cell>
        </row>
        <row r="969">
          <cell r="C969">
            <v>511325.01</v>
          </cell>
          <cell r="D969" t="str">
            <v>RO 2.5X17.8</v>
          </cell>
        </row>
        <row r="970">
          <cell r="C970">
            <v>104148</v>
          </cell>
          <cell r="D970" t="str">
            <v>SPL.IR S 20</v>
          </cell>
        </row>
        <row r="971">
          <cell r="C971">
            <v>208326.01</v>
          </cell>
          <cell r="D971" t="str">
            <v>NA/RNA.OR 6902</v>
          </cell>
        </row>
        <row r="972">
          <cell r="C972">
            <v>309326.01</v>
          </cell>
          <cell r="D972" t="str">
            <v>NA/RNA.MCG 6902</v>
          </cell>
        </row>
        <row r="973">
          <cell r="C973">
            <v>511325.01</v>
          </cell>
          <cell r="D973" t="str">
            <v>RO 2.5X17.8</v>
          </cell>
        </row>
        <row r="974">
          <cell r="C974">
            <v>104148.01</v>
          </cell>
          <cell r="D974" t="str">
            <v>SPL.IR S 20 SPL         F</v>
          </cell>
        </row>
        <row r="975">
          <cell r="C975">
            <v>208326.01</v>
          </cell>
          <cell r="D975" t="str">
            <v>NA/RNA.OR 6902</v>
          </cell>
        </row>
        <row r="976">
          <cell r="C976">
            <v>309326.01</v>
          </cell>
          <cell r="D976" t="str">
            <v>NA/RNA.MCG 6902</v>
          </cell>
        </row>
        <row r="977">
          <cell r="C977">
            <v>511325.01</v>
          </cell>
          <cell r="D977" t="str">
            <v>RO 2.5X17.8</v>
          </cell>
        </row>
        <row r="978">
          <cell r="C978">
            <v>104148.01</v>
          </cell>
          <cell r="D978" t="str">
            <v>SPL.IR S 20 SPL         F</v>
          </cell>
        </row>
        <row r="979">
          <cell r="C979">
            <v>208145</v>
          </cell>
          <cell r="D979" t="str">
            <v>BR.OR 2130(20)</v>
          </cell>
        </row>
        <row r="980">
          <cell r="C980">
            <v>309145</v>
          </cell>
          <cell r="D980" t="str">
            <v>BR.TCG 2130(20)</v>
          </cell>
        </row>
        <row r="981">
          <cell r="C981">
            <v>410145</v>
          </cell>
          <cell r="D981" t="str">
            <v>BR.K 2130(20)      WITH R</v>
          </cell>
        </row>
        <row r="982">
          <cell r="C982">
            <v>511145</v>
          </cell>
          <cell r="D982" t="str">
            <v>RO 3X9.8</v>
          </cell>
        </row>
        <row r="983">
          <cell r="C983">
            <v>612001</v>
          </cell>
          <cell r="D983" t="str">
            <v>BR.N 2822</v>
          </cell>
        </row>
        <row r="984">
          <cell r="C984">
            <v>913016</v>
          </cell>
          <cell r="D984" t="str">
            <v>Box 250x40x50</v>
          </cell>
        </row>
        <row r="985">
          <cell r="C985">
            <v>913016</v>
          </cell>
          <cell r="D985" t="str">
            <v>Box 250x40x50</v>
          </cell>
        </row>
        <row r="986">
          <cell r="C986">
            <v>104150</v>
          </cell>
          <cell r="D986" t="str">
            <v>BR.IR 28[P]16</v>
          </cell>
        </row>
        <row r="987">
          <cell r="C987">
            <v>208150</v>
          </cell>
          <cell r="D987" t="str">
            <v>BR.OR 28[P]16</v>
          </cell>
        </row>
        <row r="988">
          <cell r="C988">
            <v>309001</v>
          </cell>
          <cell r="D988" t="str">
            <v>BR.NCG 2822</v>
          </cell>
        </row>
        <row r="989">
          <cell r="C989">
            <v>511001</v>
          </cell>
          <cell r="D989" t="str">
            <v>RO 2X9.8</v>
          </cell>
        </row>
        <row r="990">
          <cell r="C990">
            <v>612001</v>
          </cell>
          <cell r="D990" t="str">
            <v>BR.N 2822</v>
          </cell>
        </row>
        <row r="991">
          <cell r="C991">
            <v>717165.03</v>
          </cell>
          <cell r="D991" t="str">
            <v>Nipple Washer</v>
          </cell>
        </row>
        <row r="992">
          <cell r="C992">
            <v>818150</v>
          </cell>
          <cell r="D992" t="str">
            <v>3 mm Pin (BR 28[P]16)</v>
          </cell>
        </row>
        <row r="993">
          <cell r="C993">
            <v>913016</v>
          </cell>
          <cell r="D993" t="str">
            <v>Box 250x40x50</v>
          </cell>
        </row>
        <row r="994">
          <cell r="C994">
            <v>104150</v>
          </cell>
          <cell r="D994" t="str">
            <v>BR.IR 28[P]16</v>
          </cell>
        </row>
        <row r="995">
          <cell r="C995">
            <v>208150</v>
          </cell>
          <cell r="D995" t="str">
            <v>BR.OR 28[P]16</v>
          </cell>
        </row>
        <row r="996">
          <cell r="C996">
            <v>309001</v>
          </cell>
          <cell r="D996" t="str">
            <v>BR.NCG 2822</v>
          </cell>
        </row>
        <row r="997">
          <cell r="C997">
            <v>511001</v>
          </cell>
          <cell r="D997" t="str">
            <v>RO 2X9.8</v>
          </cell>
        </row>
        <row r="998">
          <cell r="C998">
            <v>612001</v>
          </cell>
          <cell r="D998" t="str">
            <v>BR.N 2822</v>
          </cell>
        </row>
        <row r="999">
          <cell r="C999">
            <v>818255</v>
          </cell>
          <cell r="D999" t="str">
            <v>METAL RETUNER 23.5 mm.</v>
          </cell>
        </row>
        <row r="1000">
          <cell r="C1000">
            <v>913016</v>
          </cell>
          <cell r="D1000" t="str">
            <v>Box 250x40x50</v>
          </cell>
        </row>
        <row r="1001">
          <cell r="C1001">
            <v>104151</v>
          </cell>
          <cell r="D1001" t="str">
            <v>BR.IR 28[P]16.5</v>
          </cell>
        </row>
        <row r="1002">
          <cell r="C1002">
            <v>208150</v>
          </cell>
          <cell r="D1002" t="str">
            <v>BR.OR 28[P]16</v>
          </cell>
        </row>
        <row r="1003">
          <cell r="C1003">
            <v>309006</v>
          </cell>
          <cell r="D1003" t="str">
            <v>BR.NCG 282223</v>
          </cell>
        </row>
        <row r="1004">
          <cell r="C1004">
            <v>511003</v>
          </cell>
          <cell r="D1004" t="str">
            <v>RO 2.3X9.8</v>
          </cell>
        </row>
        <row r="1005">
          <cell r="C1005">
            <v>612042</v>
          </cell>
          <cell r="D1005" t="str">
            <v>BR.N 3222</v>
          </cell>
        </row>
        <row r="1006">
          <cell r="C1006">
            <v>717165.03</v>
          </cell>
          <cell r="D1006" t="str">
            <v>Nipple Washer</v>
          </cell>
        </row>
        <row r="1007">
          <cell r="C1007">
            <v>818150</v>
          </cell>
          <cell r="D1007" t="str">
            <v>3 mm Pin (BR 28[P]16)</v>
          </cell>
        </row>
        <row r="1008">
          <cell r="C1008">
            <v>913016</v>
          </cell>
          <cell r="D1008" t="str">
            <v>Box 250x40x50</v>
          </cell>
        </row>
        <row r="1009">
          <cell r="C1009">
            <v>104009</v>
          </cell>
          <cell r="D1009" t="str">
            <v>BR.IR 282423X</v>
          </cell>
        </row>
        <row r="1010">
          <cell r="C1010">
            <v>208152</v>
          </cell>
          <cell r="D1010" t="str">
            <v>BR.OR 28[P]16.5(23</v>
          </cell>
        </row>
        <row r="1011">
          <cell r="C1011">
            <v>309006</v>
          </cell>
          <cell r="D1011" t="str">
            <v>BR.NCG 282223</v>
          </cell>
        </row>
        <row r="1012">
          <cell r="C1012">
            <v>511003</v>
          </cell>
          <cell r="D1012" t="str">
            <v>RO 2.3X9.8</v>
          </cell>
        </row>
        <row r="1013">
          <cell r="C1013">
            <v>612001</v>
          </cell>
          <cell r="D1013" t="str">
            <v>BR.N 2822</v>
          </cell>
        </row>
        <row r="1014">
          <cell r="C1014">
            <v>717165.03</v>
          </cell>
          <cell r="D1014" t="str">
            <v>Nipple Washer</v>
          </cell>
        </row>
        <row r="1015">
          <cell r="C1015">
            <v>818150</v>
          </cell>
          <cell r="D1015" t="str">
            <v>3 mm Pin (BR 28[P]16)</v>
          </cell>
        </row>
        <row r="1016">
          <cell r="C1016">
            <v>913016</v>
          </cell>
          <cell r="D1016" t="str">
            <v>Box 250x40x50</v>
          </cell>
        </row>
        <row r="1017">
          <cell r="C1017">
            <v>104153</v>
          </cell>
          <cell r="D1017" t="str">
            <v>BR.IR 28[P]16.5-27</v>
          </cell>
        </row>
        <row r="1018">
          <cell r="C1018">
            <v>208153</v>
          </cell>
          <cell r="D1018" t="str">
            <v>BR.OR 28[P]16.5-27</v>
          </cell>
        </row>
        <row r="1019">
          <cell r="C1019">
            <v>309006</v>
          </cell>
          <cell r="D1019" t="str">
            <v>BR.NCG 282223</v>
          </cell>
        </row>
        <row r="1020">
          <cell r="C1020">
            <v>511003</v>
          </cell>
          <cell r="D1020" t="str">
            <v>RO 2.3X9.8</v>
          </cell>
        </row>
        <row r="1021">
          <cell r="C1021">
            <v>612001</v>
          </cell>
          <cell r="D1021" t="str">
            <v>BR.N 2822</v>
          </cell>
        </row>
        <row r="1022">
          <cell r="C1022">
            <v>717165.03</v>
          </cell>
          <cell r="D1022" t="str">
            <v>Nipple Washer</v>
          </cell>
        </row>
        <row r="1023">
          <cell r="C1023">
            <v>818162</v>
          </cell>
          <cell r="D1023" t="str">
            <v>2.5 mm Pin(BR 32[P]18-26)</v>
          </cell>
        </row>
        <row r="1024">
          <cell r="C1024">
            <v>913016</v>
          </cell>
          <cell r="D1024" t="str">
            <v>Box 250x40x50</v>
          </cell>
        </row>
        <row r="1025">
          <cell r="C1025">
            <v>1422154</v>
          </cell>
          <cell r="D1025" t="str">
            <v>BR 36202621 FIX MATERIAL</v>
          </cell>
        </row>
        <row r="1026">
          <cell r="C1026">
            <v>104155</v>
          </cell>
          <cell r="D1026" t="str">
            <v>BR.IR 30[P]15.875</v>
          </cell>
        </row>
        <row r="1027">
          <cell r="C1027">
            <v>208155</v>
          </cell>
          <cell r="D1027" t="str">
            <v>BR.OR 30[P]15.875</v>
          </cell>
        </row>
        <row r="1028">
          <cell r="C1028">
            <v>309001</v>
          </cell>
          <cell r="D1028" t="str">
            <v>BR.NCG 2822</v>
          </cell>
        </row>
        <row r="1029">
          <cell r="C1029">
            <v>511001</v>
          </cell>
          <cell r="D1029" t="str">
            <v>RO 2X9.8</v>
          </cell>
        </row>
        <row r="1030">
          <cell r="C1030">
            <v>612042</v>
          </cell>
          <cell r="D1030" t="str">
            <v>BR.N 3222</v>
          </cell>
        </row>
        <row r="1031">
          <cell r="C1031">
            <v>717165.03</v>
          </cell>
          <cell r="D1031" t="str">
            <v>Nipple Washer</v>
          </cell>
        </row>
        <row r="1032">
          <cell r="C1032">
            <v>818162</v>
          </cell>
          <cell r="D1032" t="str">
            <v>2.5 mm Pin(BR 32[P]18-26)</v>
          </cell>
        </row>
        <row r="1033">
          <cell r="C1033">
            <v>913016</v>
          </cell>
          <cell r="D1033" t="str">
            <v>Box 250x40x50</v>
          </cell>
        </row>
        <row r="1034">
          <cell r="C1034">
            <v>104156</v>
          </cell>
          <cell r="D1034" t="str">
            <v>BR.IR 3016</v>
          </cell>
        </row>
        <row r="1035">
          <cell r="C1035">
            <v>208156</v>
          </cell>
          <cell r="D1035" t="str">
            <v>BR.OR 3016</v>
          </cell>
        </row>
        <row r="1036">
          <cell r="C1036">
            <v>309001</v>
          </cell>
          <cell r="D1036" t="str">
            <v>BR.NCG 2822</v>
          </cell>
        </row>
        <row r="1037">
          <cell r="C1037">
            <v>410992</v>
          </cell>
          <cell r="D1037" t="str">
            <v>BR.K FRIS 162822   WITH R</v>
          </cell>
        </row>
        <row r="1038">
          <cell r="C1038">
            <v>511001</v>
          </cell>
          <cell r="D1038" t="str">
            <v>RO 2X9.8</v>
          </cell>
        </row>
        <row r="1039">
          <cell r="C1039">
            <v>612001</v>
          </cell>
          <cell r="D1039" t="str">
            <v>BR.N 2822</v>
          </cell>
        </row>
        <row r="1040">
          <cell r="C1040">
            <v>913016</v>
          </cell>
          <cell r="D1040" t="str">
            <v>Box 250x40x50</v>
          </cell>
        </row>
        <row r="1041">
          <cell r="C1041">
            <v>104156</v>
          </cell>
          <cell r="D1041" t="str">
            <v>BR.IR 3016</v>
          </cell>
        </row>
        <row r="1042">
          <cell r="C1042">
            <v>208156</v>
          </cell>
          <cell r="D1042" t="str">
            <v>BR.OR 3016</v>
          </cell>
        </row>
        <row r="1043">
          <cell r="C1043">
            <v>309001</v>
          </cell>
          <cell r="D1043" t="str">
            <v>BR.NCG 2822</v>
          </cell>
        </row>
        <row r="1044">
          <cell r="C1044">
            <v>410027.01</v>
          </cell>
          <cell r="D1044" t="str">
            <v>BR.K 3020           W/O R</v>
          </cell>
        </row>
        <row r="1045">
          <cell r="C1045">
            <v>511001</v>
          </cell>
          <cell r="D1045" t="str">
            <v>RO 2X9.8</v>
          </cell>
        </row>
        <row r="1046">
          <cell r="C1046">
            <v>612001</v>
          </cell>
          <cell r="D1046" t="str">
            <v>BR.N 2822</v>
          </cell>
        </row>
        <row r="1047">
          <cell r="C1047">
            <v>104156</v>
          </cell>
          <cell r="D1047" t="str">
            <v>BR.IR 3016</v>
          </cell>
        </row>
        <row r="1048">
          <cell r="C1048">
            <v>208157</v>
          </cell>
          <cell r="D1048" t="str">
            <v>BR.OR 3016(22)</v>
          </cell>
        </row>
        <row r="1049">
          <cell r="C1049">
            <v>309001</v>
          </cell>
          <cell r="D1049" t="str">
            <v>BR.NCG 2822</v>
          </cell>
        </row>
        <row r="1050">
          <cell r="C1050">
            <v>410157</v>
          </cell>
          <cell r="D1050" t="str">
            <v>BR.K 3016(22)      WITH R</v>
          </cell>
        </row>
        <row r="1051">
          <cell r="C1051">
            <v>511001</v>
          </cell>
          <cell r="D1051" t="str">
            <v>RO 2X9.8</v>
          </cell>
        </row>
        <row r="1052">
          <cell r="C1052">
            <v>612001</v>
          </cell>
          <cell r="D1052" t="str">
            <v>BR.N 2822</v>
          </cell>
        </row>
        <row r="1053">
          <cell r="C1053">
            <v>913016</v>
          </cell>
          <cell r="D1053" t="str">
            <v>Box 250x40x50</v>
          </cell>
        </row>
        <row r="1054">
          <cell r="C1054">
            <v>104030</v>
          </cell>
          <cell r="D1054" t="str">
            <v>BR.IR 301725.420</v>
          </cell>
        </row>
        <row r="1055">
          <cell r="C1055">
            <v>208156</v>
          </cell>
          <cell r="D1055" t="str">
            <v>BR.OR 3016</v>
          </cell>
        </row>
        <row r="1056">
          <cell r="C1056">
            <v>309001</v>
          </cell>
          <cell r="D1056" t="str">
            <v>BR.NCG 2822</v>
          </cell>
        </row>
        <row r="1057">
          <cell r="C1057">
            <v>511001</v>
          </cell>
          <cell r="D1057" t="str">
            <v>RO 2X9.8</v>
          </cell>
        </row>
        <row r="1058">
          <cell r="C1058">
            <v>612001</v>
          </cell>
          <cell r="D1058" t="str">
            <v>BR.N 2822</v>
          </cell>
        </row>
        <row r="1059">
          <cell r="C1059">
            <v>818255</v>
          </cell>
          <cell r="D1059" t="str">
            <v>METAL RETUNER 23.5 mm.</v>
          </cell>
        </row>
        <row r="1060">
          <cell r="C1060">
            <v>913016</v>
          </cell>
          <cell r="D1060" t="str">
            <v>Box 250x40x50</v>
          </cell>
        </row>
        <row r="1061">
          <cell r="C1061">
            <v>104134</v>
          </cell>
          <cell r="D1061" t="str">
            <v>BR.IR 3621(20)</v>
          </cell>
        </row>
        <row r="1062">
          <cell r="C1062">
            <v>208065</v>
          </cell>
          <cell r="D1062" t="str">
            <v>BR.OR 362526</v>
          </cell>
        </row>
        <row r="1063">
          <cell r="C1063">
            <v>309060</v>
          </cell>
          <cell r="D1063" t="str">
            <v>BR.NCG 3622</v>
          </cell>
        </row>
        <row r="1064">
          <cell r="C1064">
            <v>410066.02</v>
          </cell>
          <cell r="D1064" t="str">
            <v>BR.K 362426         SKF G</v>
          </cell>
        </row>
        <row r="1065">
          <cell r="C1065">
            <v>511060</v>
          </cell>
          <cell r="D1065" t="str">
            <v>RO 2.5X9.8</v>
          </cell>
        </row>
        <row r="1066">
          <cell r="C1066">
            <v>612042</v>
          </cell>
          <cell r="D1066" t="str">
            <v>BR.N 3222</v>
          </cell>
        </row>
        <row r="1067">
          <cell r="C1067">
            <v>913006</v>
          </cell>
          <cell r="D1067" t="str">
            <v>Box 50x35x50</v>
          </cell>
        </row>
        <row r="1068">
          <cell r="C1068">
            <v>104161</v>
          </cell>
          <cell r="D1068" t="str">
            <v>BR.IR 32[P]18-24</v>
          </cell>
        </row>
        <row r="1069">
          <cell r="C1069">
            <v>309040</v>
          </cell>
          <cell r="D1069" t="str">
            <v>BR.NCG 3222</v>
          </cell>
        </row>
        <row r="1070">
          <cell r="C1070">
            <v>511040</v>
          </cell>
          <cell r="D1070" t="str">
            <v>RO 2X11.8</v>
          </cell>
        </row>
        <row r="1071">
          <cell r="C1071">
            <v>612042</v>
          </cell>
          <cell r="D1071" t="str">
            <v>BR.N 3222</v>
          </cell>
        </row>
        <row r="1072">
          <cell r="C1072">
            <v>913016</v>
          </cell>
          <cell r="D1072" t="str">
            <v>Box 250x40x50</v>
          </cell>
        </row>
        <row r="1073">
          <cell r="C1073">
            <v>104161</v>
          </cell>
          <cell r="D1073" t="str">
            <v>BR.IR 32[P]18-24</v>
          </cell>
        </row>
        <row r="1074">
          <cell r="C1074">
            <v>208161</v>
          </cell>
          <cell r="D1074" t="str">
            <v>BR.OR 32[P]19</v>
          </cell>
        </row>
        <row r="1075">
          <cell r="C1075">
            <v>309040</v>
          </cell>
          <cell r="D1075" t="str">
            <v>BR.NCG 3222</v>
          </cell>
        </row>
        <row r="1076">
          <cell r="C1076">
            <v>511040</v>
          </cell>
          <cell r="D1076" t="str">
            <v>RO 2X11.8</v>
          </cell>
        </row>
        <row r="1077">
          <cell r="C1077">
            <v>612040.4</v>
          </cell>
          <cell r="D1077" t="str">
            <v>BR.N 3200 LMW</v>
          </cell>
        </row>
        <row r="1078">
          <cell r="C1078">
            <v>818162</v>
          </cell>
          <cell r="D1078" t="str">
            <v>2.5 mm Pin(BR 32[P]18-26)</v>
          </cell>
        </row>
        <row r="1079">
          <cell r="C1079">
            <v>818254</v>
          </cell>
          <cell r="D1079" t="str">
            <v>METAL RETUNER 24 mm.</v>
          </cell>
        </row>
        <row r="1080">
          <cell r="C1080">
            <v>913016</v>
          </cell>
          <cell r="D1080" t="str">
            <v>Box 250x40x50</v>
          </cell>
        </row>
        <row r="1081">
          <cell r="C1081">
            <v>104162</v>
          </cell>
          <cell r="D1081" t="str">
            <v>BR.IR 32[P]18-26</v>
          </cell>
        </row>
        <row r="1082">
          <cell r="C1082">
            <v>208161</v>
          </cell>
          <cell r="D1082" t="str">
            <v>BR.OR 32[P]19</v>
          </cell>
        </row>
        <row r="1083">
          <cell r="C1083">
            <v>309040</v>
          </cell>
          <cell r="D1083" t="str">
            <v>BR.NCG 3222</v>
          </cell>
        </row>
        <row r="1084">
          <cell r="C1084">
            <v>511040</v>
          </cell>
          <cell r="D1084" t="str">
            <v>RO 2X11.8</v>
          </cell>
        </row>
        <row r="1085">
          <cell r="C1085">
            <v>612040.4</v>
          </cell>
          <cell r="D1085" t="str">
            <v>BR.N 3200 LMW</v>
          </cell>
        </row>
        <row r="1086">
          <cell r="C1086">
            <v>818162</v>
          </cell>
          <cell r="D1086" t="str">
            <v>2.5 mm Pin(BR 32[P]18-26)</v>
          </cell>
        </row>
        <row r="1087">
          <cell r="C1087">
            <v>818255</v>
          </cell>
          <cell r="D1087" t="str">
            <v>METAL RETUNER 23.5 mm.</v>
          </cell>
        </row>
        <row r="1088">
          <cell r="C1088">
            <v>913016</v>
          </cell>
          <cell r="D1088" t="str">
            <v>Box 250x40x50</v>
          </cell>
        </row>
        <row r="1089">
          <cell r="C1089">
            <v>818254</v>
          </cell>
          <cell r="D1089" t="str">
            <v>METAL RETUNER 24 mm.</v>
          </cell>
        </row>
        <row r="1090">
          <cell r="C1090">
            <v>104162</v>
          </cell>
          <cell r="D1090" t="str">
            <v>BR.IR 32[P]18-26</v>
          </cell>
        </row>
        <row r="1091">
          <cell r="C1091">
            <v>208161</v>
          </cell>
          <cell r="D1091" t="str">
            <v>BR.OR 32[P]19</v>
          </cell>
        </row>
        <row r="1092">
          <cell r="C1092">
            <v>309040</v>
          </cell>
          <cell r="D1092" t="str">
            <v>BR.NCG 3222</v>
          </cell>
        </row>
        <row r="1093">
          <cell r="C1093">
            <v>511040</v>
          </cell>
          <cell r="D1093" t="str">
            <v>RO 2X11.8</v>
          </cell>
        </row>
        <row r="1094">
          <cell r="C1094">
            <v>612042</v>
          </cell>
          <cell r="D1094" t="str">
            <v>BR.N 3222</v>
          </cell>
        </row>
        <row r="1095">
          <cell r="C1095">
            <v>818254</v>
          </cell>
          <cell r="D1095" t="str">
            <v>METAL RETUNER 24 mm.</v>
          </cell>
        </row>
        <row r="1096">
          <cell r="C1096">
            <v>913016</v>
          </cell>
          <cell r="D1096" t="str">
            <v>Box 250x40x50</v>
          </cell>
        </row>
        <row r="1097">
          <cell r="C1097">
            <v>104040</v>
          </cell>
          <cell r="D1097" t="str">
            <v>BR.IR 3222</v>
          </cell>
        </row>
        <row r="1098">
          <cell r="C1098">
            <v>208161</v>
          </cell>
          <cell r="D1098" t="str">
            <v>BR.OR 32[P]19</v>
          </cell>
        </row>
        <row r="1099">
          <cell r="C1099">
            <v>309040</v>
          </cell>
          <cell r="D1099" t="str">
            <v>BR.NCG 3222</v>
          </cell>
        </row>
        <row r="1100">
          <cell r="C1100">
            <v>511040</v>
          </cell>
          <cell r="D1100" t="str">
            <v>RO 2X11.8</v>
          </cell>
        </row>
        <row r="1101">
          <cell r="C1101">
            <v>612040.4</v>
          </cell>
          <cell r="D1101" t="str">
            <v>BR.N 3200 LMW</v>
          </cell>
        </row>
        <row r="1102">
          <cell r="C1102">
            <v>818162</v>
          </cell>
          <cell r="D1102" t="str">
            <v>2.5 mm Pin(BR 32[P]18-26)</v>
          </cell>
        </row>
        <row r="1103">
          <cell r="C1103">
            <v>913016</v>
          </cell>
          <cell r="D1103" t="str">
            <v>Box 250x40x50</v>
          </cell>
        </row>
        <row r="1104">
          <cell r="C1104">
            <v>104040</v>
          </cell>
          <cell r="D1104" t="str">
            <v>BR.IR 3222</v>
          </cell>
        </row>
        <row r="1105">
          <cell r="C1105">
            <v>208161</v>
          </cell>
          <cell r="D1105" t="str">
            <v>BR.OR 32[P]19</v>
          </cell>
        </row>
        <row r="1106">
          <cell r="C1106">
            <v>309040</v>
          </cell>
          <cell r="D1106" t="str">
            <v>BR.NCG 3222</v>
          </cell>
        </row>
        <row r="1107">
          <cell r="C1107">
            <v>511040</v>
          </cell>
          <cell r="D1107" t="str">
            <v>RO 2X11.8</v>
          </cell>
        </row>
        <row r="1108">
          <cell r="C1108">
            <v>612040.4</v>
          </cell>
          <cell r="D1108" t="str">
            <v>BR.N 3200 LMW</v>
          </cell>
        </row>
        <row r="1109">
          <cell r="C1109">
            <v>818162</v>
          </cell>
          <cell r="D1109" t="str">
            <v>2.5 mm Pin(BR 32[P]18-26)</v>
          </cell>
        </row>
        <row r="1110">
          <cell r="C1110">
            <v>104164</v>
          </cell>
          <cell r="D1110" t="str">
            <v>BR.IR 32[P]19(26)</v>
          </cell>
        </row>
        <row r="1111">
          <cell r="C1111">
            <v>208161</v>
          </cell>
          <cell r="D1111" t="str">
            <v>BR.OR 32[P]19</v>
          </cell>
        </row>
        <row r="1112">
          <cell r="C1112">
            <v>309040</v>
          </cell>
          <cell r="D1112" t="str">
            <v>BR.NCG 3222</v>
          </cell>
        </row>
        <row r="1113">
          <cell r="C1113">
            <v>511040</v>
          </cell>
          <cell r="D1113" t="str">
            <v>RO 2X11.8</v>
          </cell>
        </row>
        <row r="1114">
          <cell r="C1114">
            <v>612040.4</v>
          </cell>
          <cell r="D1114" t="str">
            <v>BR.N 3200 LMW</v>
          </cell>
        </row>
        <row r="1115">
          <cell r="C1115">
            <v>818162</v>
          </cell>
          <cell r="D1115" t="str">
            <v>2.5 mm Pin(BR 32[P]18-26)</v>
          </cell>
        </row>
        <row r="1116">
          <cell r="C1116">
            <v>913016</v>
          </cell>
          <cell r="D1116" t="str">
            <v>Box 250x40x50</v>
          </cell>
        </row>
        <row r="1117">
          <cell r="C1117">
            <v>208165</v>
          </cell>
          <cell r="D1117" t="str">
            <v>BR.OR 32[P]22</v>
          </cell>
        </row>
        <row r="1118">
          <cell r="C1118">
            <v>309165</v>
          </cell>
          <cell r="D1118" t="str">
            <v>BR.MCG 32[P]22</v>
          </cell>
        </row>
        <row r="1119">
          <cell r="C1119">
            <v>511001</v>
          </cell>
          <cell r="D1119" t="str">
            <v>RO 2X9.8</v>
          </cell>
        </row>
        <row r="1120">
          <cell r="C1120">
            <v>612125</v>
          </cell>
          <cell r="D1120" t="str">
            <v>BR.N 3218.5(06)</v>
          </cell>
        </row>
        <row r="1121">
          <cell r="C1121">
            <v>717165.02</v>
          </cell>
          <cell r="D1121" t="str">
            <v>Metal Washer</v>
          </cell>
        </row>
        <row r="1122">
          <cell r="C1122">
            <v>717165.03</v>
          </cell>
          <cell r="D1122" t="str">
            <v>Nipple Washer</v>
          </cell>
        </row>
        <row r="1123">
          <cell r="C1123">
            <v>717165.04</v>
          </cell>
          <cell r="D1123" t="str">
            <v>End Cap</v>
          </cell>
        </row>
        <row r="1124">
          <cell r="C1124">
            <v>717165.05</v>
          </cell>
          <cell r="D1124" t="str">
            <v>NYLON WASHER (BR 32[P]22)</v>
          </cell>
        </row>
        <row r="1125">
          <cell r="C1125">
            <v>818162</v>
          </cell>
          <cell r="D1125" t="str">
            <v>2.5 mm Pin(BR 32[P]18-26)</v>
          </cell>
        </row>
        <row r="1126">
          <cell r="C1126">
            <v>913016</v>
          </cell>
          <cell r="D1126" t="str">
            <v>Box 250x40x50</v>
          </cell>
        </row>
        <row r="1127">
          <cell r="C1127">
            <v>818162</v>
          </cell>
          <cell r="D1127" t="str">
            <v>2.5 mm Pin(BR 32[P]18-26)</v>
          </cell>
        </row>
        <row r="1128">
          <cell r="C1128">
            <v>104167</v>
          </cell>
          <cell r="D1128" t="str">
            <v>BR.IR 34[P]20(26)</v>
          </cell>
        </row>
        <row r="1129">
          <cell r="C1129">
            <v>208167</v>
          </cell>
          <cell r="D1129" t="str">
            <v>BR.OR 34[P]20(26)</v>
          </cell>
        </row>
        <row r="1130">
          <cell r="C1130">
            <v>309167</v>
          </cell>
          <cell r="D1130" t="str">
            <v>BR.NCG 34[P]20-26</v>
          </cell>
        </row>
        <row r="1131">
          <cell r="C1131">
            <v>511120</v>
          </cell>
          <cell r="D1131" t="str">
            <v>RO 3X11.8</v>
          </cell>
        </row>
        <row r="1132">
          <cell r="C1132">
            <v>612042</v>
          </cell>
          <cell r="D1132" t="str">
            <v>BR.N 3222</v>
          </cell>
        </row>
        <row r="1133">
          <cell r="C1133">
            <v>818150</v>
          </cell>
          <cell r="D1133" t="str">
            <v>3 mm Pin (BR 28[P]16)</v>
          </cell>
        </row>
        <row r="1134">
          <cell r="C1134">
            <v>913016</v>
          </cell>
          <cell r="D1134" t="str">
            <v>Box 250x40x50</v>
          </cell>
        </row>
        <row r="1135">
          <cell r="C1135">
            <v>104168</v>
          </cell>
          <cell r="D1135" t="str">
            <v>BR.IR 42[P]25</v>
          </cell>
        </row>
        <row r="1136">
          <cell r="C1136">
            <v>208168</v>
          </cell>
          <cell r="D1136" t="str">
            <v>BR.OR 42[P]25</v>
          </cell>
        </row>
        <row r="1137">
          <cell r="C1137">
            <v>309168</v>
          </cell>
          <cell r="D1137" t="str">
            <v>BR.TCG 42[P]25</v>
          </cell>
        </row>
        <row r="1138">
          <cell r="C1138">
            <v>511130</v>
          </cell>
          <cell r="D1138" t="str">
            <v>RO 2.5X13.8</v>
          </cell>
        </row>
        <row r="1139">
          <cell r="C1139">
            <v>612075</v>
          </cell>
          <cell r="D1139" t="str">
            <v>BR.N 4006(24)</v>
          </cell>
        </row>
        <row r="1140">
          <cell r="C1140">
            <v>818163</v>
          </cell>
          <cell r="D1140" t="str">
            <v>4x4 mm Pin (BR 42[P]25)</v>
          </cell>
        </row>
        <row r="1141">
          <cell r="C1141">
            <v>913006</v>
          </cell>
          <cell r="D1141" t="str">
            <v>Box 50x35x50</v>
          </cell>
        </row>
        <row r="1142">
          <cell r="C1142">
            <v>104169</v>
          </cell>
          <cell r="D1142" t="str">
            <v>BR.IR 40[P]22(26)</v>
          </cell>
        </row>
        <row r="1143">
          <cell r="C1143">
            <v>208169</v>
          </cell>
          <cell r="D1143" t="str">
            <v>BR.OR 40[P]22(26)</v>
          </cell>
        </row>
        <row r="1144">
          <cell r="C1144">
            <v>309077</v>
          </cell>
          <cell r="D1144" t="str">
            <v>BR.NCG 4000</v>
          </cell>
        </row>
        <row r="1145">
          <cell r="C1145">
            <v>511120</v>
          </cell>
          <cell r="D1145" t="str">
            <v>RO 3X11.8</v>
          </cell>
        </row>
        <row r="1146">
          <cell r="C1146">
            <v>612075</v>
          </cell>
          <cell r="D1146" t="str">
            <v>BR.N 4006(24)</v>
          </cell>
        </row>
        <row r="1147">
          <cell r="C1147">
            <v>818150</v>
          </cell>
          <cell r="D1147" t="str">
            <v>3 mm Pin (BR 28[P]16)</v>
          </cell>
        </row>
        <row r="1148">
          <cell r="C1148">
            <v>913006</v>
          </cell>
          <cell r="D1148" t="str">
            <v>Box 50x35x50</v>
          </cell>
        </row>
        <row r="1149">
          <cell r="C1149">
            <v>104170</v>
          </cell>
          <cell r="D1149" t="str">
            <v>BR.IR 35[P]17BB</v>
          </cell>
        </row>
        <row r="1150">
          <cell r="C1150">
            <v>208170</v>
          </cell>
          <cell r="D1150" t="str">
            <v>BR.OR 35[P]17BB</v>
          </cell>
        </row>
        <row r="1151">
          <cell r="C1151">
            <v>309170</v>
          </cell>
          <cell r="D1151" t="str">
            <v>BR.NCG 35[P]17BB</v>
          </cell>
        </row>
        <row r="1152">
          <cell r="C1152">
            <v>511170</v>
          </cell>
          <cell r="D1152" t="str">
            <v>BALL 3/16" (IS:2898-1976)</v>
          </cell>
        </row>
        <row r="1153">
          <cell r="C1153">
            <v>612171</v>
          </cell>
          <cell r="D1153" t="str">
            <v>BR.N 47[P]17 BB</v>
          </cell>
        </row>
        <row r="1154">
          <cell r="C1154">
            <v>717170</v>
          </cell>
          <cell r="D1154" t="str">
            <v>WASHER FOR 35[P]17 BB</v>
          </cell>
        </row>
        <row r="1155">
          <cell r="C1155">
            <v>717170.01</v>
          </cell>
          <cell r="D1155" t="str">
            <v>BRASS SLEEVE BR 35[P]17BB</v>
          </cell>
        </row>
        <row r="1156">
          <cell r="C1156">
            <v>913016</v>
          </cell>
          <cell r="D1156" t="str">
            <v>Box 250x40x50</v>
          </cell>
        </row>
        <row r="1157">
          <cell r="C1157">
            <v>104171</v>
          </cell>
          <cell r="D1157" t="str">
            <v>BR.IR 47[P]17BB</v>
          </cell>
        </row>
        <row r="1158">
          <cell r="C1158">
            <v>208171</v>
          </cell>
          <cell r="D1158" t="str">
            <v>BR.OR 47[P]17BB</v>
          </cell>
        </row>
        <row r="1159">
          <cell r="C1159">
            <v>309171</v>
          </cell>
          <cell r="D1159" t="str">
            <v>BR.NCG 47[P]17BB</v>
          </cell>
        </row>
        <row r="1160">
          <cell r="C1160">
            <v>511993</v>
          </cell>
          <cell r="D1160" t="str">
            <v>BALL 5/16"(IS:2898-1976)</v>
          </cell>
        </row>
        <row r="1161">
          <cell r="C1161">
            <v>612171</v>
          </cell>
          <cell r="D1161" t="str">
            <v>BR.N 47[P]17 BB</v>
          </cell>
        </row>
        <row r="1162">
          <cell r="C1162">
            <v>717170.01</v>
          </cell>
          <cell r="D1162" t="str">
            <v>BRASS SLEEVE BR 35[P]17BB</v>
          </cell>
        </row>
        <row r="1163">
          <cell r="C1163">
            <v>717171</v>
          </cell>
          <cell r="D1163" t="str">
            <v>WASHER FOR 47[P]17 BB</v>
          </cell>
        </row>
        <row r="1164">
          <cell r="C1164">
            <v>717171.01</v>
          </cell>
          <cell r="D1164" t="str">
            <v>GREASE LOCK 47[P]17BB</v>
          </cell>
        </row>
        <row r="1165">
          <cell r="C1165">
            <v>913006</v>
          </cell>
          <cell r="D1165" t="str">
            <v>Box 50x35x50</v>
          </cell>
        </row>
        <row r="1166">
          <cell r="C1166">
            <v>104161</v>
          </cell>
          <cell r="D1166" t="str">
            <v>BR.IR 32[P]18-24</v>
          </cell>
        </row>
        <row r="1167">
          <cell r="C1167">
            <v>208172</v>
          </cell>
          <cell r="D1167" t="str">
            <v>BR.OR 31.750[P]18</v>
          </cell>
        </row>
        <row r="1168">
          <cell r="C1168">
            <v>309040</v>
          </cell>
          <cell r="D1168" t="str">
            <v>BR.NCG 3222</v>
          </cell>
        </row>
        <row r="1169">
          <cell r="C1169">
            <v>511040</v>
          </cell>
          <cell r="D1169" t="str">
            <v>RO 2X11.8</v>
          </cell>
        </row>
        <row r="1170">
          <cell r="C1170">
            <v>612040.4</v>
          </cell>
          <cell r="D1170" t="str">
            <v>BR.N 3200 LMW</v>
          </cell>
        </row>
        <row r="1171">
          <cell r="C1171">
            <v>818162</v>
          </cell>
          <cell r="D1171" t="str">
            <v>2.5 mm Pin(BR 32[P]18-26)</v>
          </cell>
        </row>
        <row r="1172">
          <cell r="C1172">
            <v>818254</v>
          </cell>
          <cell r="D1172" t="str">
            <v>METAL RETUNER 24 mm.</v>
          </cell>
        </row>
        <row r="1173">
          <cell r="C1173">
            <v>913016</v>
          </cell>
          <cell r="D1173" t="str">
            <v>Box 250x40x50</v>
          </cell>
        </row>
        <row r="1174">
          <cell r="C1174">
            <v>104173</v>
          </cell>
          <cell r="D1174" t="str">
            <v>BR.IR 34[P]18</v>
          </cell>
        </row>
        <row r="1175">
          <cell r="C1175">
            <v>208173</v>
          </cell>
          <cell r="D1175" t="str">
            <v>BR.OR 34[P]18</v>
          </cell>
        </row>
        <row r="1176">
          <cell r="C1176">
            <v>309760</v>
          </cell>
          <cell r="D1176" t="str">
            <v>BR.NCG 34[P]19-25.4</v>
          </cell>
        </row>
        <row r="1177">
          <cell r="C1177">
            <v>511995</v>
          </cell>
          <cell r="D1177" t="str">
            <v>RO 3X13.8  BR</v>
          </cell>
        </row>
        <row r="1178">
          <cell r="C1178">
            <v>612042</v>
          </cell>
          <cell r="D1178" t="str">
            <v>BR.N 3222</v>
          </cell>
        </row>
        <row r="1179">
          <cell r="C1179">
            <v>818162</v>
          </cell>
          <cell r="D1179" t="str">
            <v>2.5 mm Pin(BR 32[P]18-26)</v>
          </cell>
        </row>
        <row r="1180">
          <cell r="C1180">
            <v>818252</v>
          </cell>
          <cell r="D1180" t="str">
            <v>NYLON RETUNER 23 mm.</v>
          </cell>
        </row>
        <row r="1181">
          <cell r="C1181">
            <v>913006</v>
          </cell>
          <cell r="D1181" t="str">
            <v>Box 50x35x50</v>
          </cell>
        </row>
        <row r="1182">
          <cell r="C1182">
            <v>104174</v>
          </cell>
          <cell r="D1182" t="str">
            <v>IR BUSH 25.15X32.15X25</v>
          </cell>
        </row>
        <row r="1183">
          <cell r="C1183">
            <v>104175</v>
          </cell>
          <cell r="D1183" t="str">
            <v>BR.IR 20[P]47</v>
          </cell>
        </row>
        <row r="1184">
          <cell r="C1184">
            <v>208175</v>
          </cell>
          <cell r="D1184" t="str">
            <v>BR.OR 20[P]47</v>
          </cell>
        </row>
        <row r="1185">
          <cell r="C1185">
            <v>309175</v>
          </cell>
          <cell r="D1185" t="str">
            <v>BR.MCG 20[P]47</v>
          </cell>
        </row>
        <row r="1186">
          <cell r="C1186">
            <v>913006</v>
          </cell>
          <cell r="D1186" t="str">
            <v>Box 50x35x50</v>
          </cell>
        </row>
        <row r="1187">
          <cell r="C1187">
            <v>104176</v>
          </cell>
          <cell r="D1187" t="str">
            <v>BR.IR 17[P]34</v>
          </cell>
        </row>
        <row r="1188">
          <cell r="C1188">
            <v>208176</v>
          </cell>
          <cell r="D1188" t="str">
            <v>BR.OR 17[P]34</v>
          </cell>
        </row>
        <row r="1189">
          <cell r="C1189">
            <v>309176</v>
          </cell>
          <cell r="D1189" t="str">
            <v>BR.MCG 17[P]34</v>
          </cell>
        </row>
        <row r="1190">
          <cell r="C1190">
            <v>511264.01</v>
          </cell>
          <cell r="D1190" t="str">
            <v>RO 3X19.8 BR</v>
          </cell>
        </row>
        <row r="1191">
          <cell r="C1191">
            <v>913006</v>
          </cell>
          <cell r="D1191" t="str">
            <v>Box 50x35x50</v>
          </cell>
        </row>
        <row r="1192">
          <cell r="C1192">
            <v>104177</v>
          </cell>
          <cell r="D1192" t="str">
            <v>BR.IR 25[P]52</v>
          </cell>
        </row>
        <row r="1193">
          <cell r="C1193">
            <v>208177</v>
          </cell>
          <cell r="D1193" t="str">
            <v>BR.OR 25[P]52</v>
          </cell>
        </row>
        <row r="1194">
          <cell r="C1194">
            <v>309177</v>
          </cell>
          <cell r="D1194" t="str">
            <v>BR.MCG 25[P]52</v>
          </cell>
        </row>
        <row r="1195">
          <cell r="C1195">
            <v>511177</v>
          </cell>
          <cell r="D1195" t="str">
            <v>RO 4X13.8</v>
          </cell>
        </row>
        <row r="1196">
          <cell r="C1196">
            <v>717177</v>
          </cell>
          <cell r="D1196" t="str">
            <v>NYLON WASHER(BR 25[P]52)</v>
          </cell>
        </row>
        <row r="1197">
          <cell r="C1197">
            <v>818177</v>
          </cell>
          <cell r="D1197" t="str">
            <v>4x1.33 Pin (BR 25[P]52)</v>
          </cell>
        </row>
        <row r="1198">
          <cell r="C1198">
            <v>913006</v>
          </cell>
          <cell r="D1198" t="str">
            <v>Box 50x35x50</v>
          </cell>
        </row>
        <row r="1199">
          <cell r="C1199">
            <v>208177</v>
          </cell>
          <cell r="D1199" t="str">
            <v>BR.OR 25[P]52</v>
          </cell>
        </row>
        <row r="1200">
          <cell r="C1200">
            <v>309177</v>
          </cell>
          <cell r="D1200" t="str">
            <v>BR.MCG 25[P]52</v>
          </cell>
        </row>
        <row r="1201">
          <cell r="C1201">
            <v>511177</v>
          </cell>
          <cell r="D1201" t="str">
            <v>RO 4X13.8</v>
          </cell>
        </row>
        <row r="1202">
          <cell r="C1202">
            <v>717177</v>
          </cell>
          <cell r="D1202" t="str">
            <v>NYLON WASHER(BR 25[P]52)</v>
          </cell>
        </row>
        <row r="1203">
          <cell r="C1203">
            <v>818177</v>
          </cell>
          <cell r="D1203" t="str">
            <v>4x1.33 Pin (BR 25[P]52)</v>
          </cell>
        </row>
        <row r="1204">
          <cell r="C1204">
            <v>104177</v>
          </cell>
          <cell r="D1204" t="str">
            <v>BR.IR 25[P]52</v>
          </cell>
        </row>
        <row r="1205">
          <cell r="C1205">
            <v>104178</v>
          </cell>
          <cell r="D1205" t="str">
            <v>BR.IR 2814.216.623(22)</v>
          </cell>
        </row>
        <row r="1206">
          <cell r="C1206">
            <v>208006</v>
          </cell>
          <cell r="D1206" t="str">
            <v>BR.OR 282223 SPL.</v>
          </cell>
        </row>
        <row r="1207">
          <cell r="C1207">
            <v>309011</v>
          </cell>
          <cell r="D1207" t="str">
            <v>BR.NCG 28161620</v>
          </cell>
        </row>
        <row r="1208">
          <cell r="C1208">
            <v>410091.1</v>
          </cell>
          <cell r="D1208" t="str">
            <v>BR.K 2814.216.623(22) W R</v>
          </cell>
        </row>
        <row r="1209">
          <cell r="C1209">
            <v>511090</v>
          </cell>
          <cell r="D1209" t="str">
            <v>RO 2X7.8</v>
          </cell>
        </row>
        <row r="1210">
          <cell r="C1210">
            <v>612001</v>
          </cell>
          <cell r="D1210" t="str">
            <v>BR.N 2822</v>
          </cell>
        </row>
        <row r="1211">
          <cell r="C1211">
            <v>913016</v>
          </cell>
          <cell r="D1211" t="str">
            <v>Box 250x40x50</v>
          </cell>
        </row>
        <row r="1212">
          <cell r="C1212">
            <v>309091</v>
          </cell>
          <cell r="D1212" t="str">
            <v>BR.NCG 2814.2(22)</v>
          </cell>
        </row>
        <row r="1213">
          <cell r="C1213">
            <v>511090</v>
          </cell>
          <cell r="D1213" t="str">
            <v>RO 2X7.8</v>
          </cell>
        </row>
        <row r="1214">
          <cell r="C1214">
            <v>913010</v>
          </cell>
          <cell r="D1214" t="str">
            <v>Box 150x40x50</v>
          </cell>
        </row>
        <row r="1215">
          <cell r="C1215">
            <v>104179</v>
          </cell>
          <cell r="D1215" t="str">
            <v>J.IR 179                F</v>
          </cell>
        </row>
        <row r="1216">
          <cell r="C1216">
            <v>208179</v>
          </cell>
          <cell r="D1216" t="str">
            <v>J.OR 179                F</v>
          </cell>
        </row>
        <row r="1217">
          <cell r="C1217">
            <v>309192</v>
          </cell>
          <cell r="D1217" t="str">
            <v>CAGE 45 NPPB</v>
          </cell>
        </row>
        <row r="1218">
          <cell r="C1218">
            <v>511192</v>
          </cell>
          <cell r="D1218" t="str">
            <v>BALL 1/2" (IS:2898-1976)</v>
          </cell>
        </row>
        <row r="1219">
          <cell r="C1219">
            <v>612179</v>
          </cell>
          <cell r="D1219" t="str">
            <v>G.SCREW 179(M10X1.5X10)</v>
          </cell>
        </row>
        <row r="1220">
          <cell r="C1220">
            <v>717179.01</v>
          </cell>
          <cell r="D1220" t="str">
            <v>ECCENTRIC COLLAR J 179</v>
          </cell>
        </row>
        <row r="1221">
          <cell r="C1221">
            <v>717192.03</v>
          </cell>
          <cell r="D1221" t="str">
            <v>SEAL 45 NPPB LMW</v>
          </cell>
        </row>
        <row r="1222">
          <cell r="C1222">
            <v>104180</v>
          </cell>
          <cell r="D1222" t="str">
            <v>BT.IR 2015</v>
          </cell>
        </row>
        <row r="1223">
          <cell r="C1223">
            <v>208180</v>
          </cell>
          <cell r="D1223" t="str">
            <v>BT.OR 2015</v>
          </cell>
        </row>
        <row r="1224">
          <cell r="C1224">
            <v>309180</v>
          </cell>
          <cell r="D1224" t="str">
            <v>CAGE RIVET 2015</v>
          </cell>
        </row>
        <row r="1225">
          <cell r="C1225">
            <v>511180</v>
          </cell>
          <cell r="D1225" t="str">
            <v>BALL 3/8"(IS:2898-1976)</v>
          </cell>
        </row>
        <row r="1226">
          <cell r="C1226">
            <v>717180.01</v>
          </cell>
          <cell r="D1226" t="str">
            <v>ECCENTRIC COLLAR 2015</v>
          </cell>
        </row>
        <row r="1227">
          <cell r="C1227">
            <v>717180.02</v>
          </cell>
          <cell r="D1227" t="str">
            <v>ALLENKEY BOLT 2015</v>
          </cell>
        </row>
        <row r="1228">
          <cell r="C1228">
            <v>913006</v>
          </cell>
          <cell r="D1228" t="str">
            <v>Box 50x35x50</v>
          </cell>
        </row>
        <row r="1229">
          <cell r="C1229">
            <v>104181</v>
          </cell>
          <cell r="D1229" t="str">
            <v>BT.IR 2019</v>
          </cell>
        </row>
        <row r="1230">
          <cell r="C1230">
            <v>208181</v>
          </cell>
          <cell r="D1230" t="str">
            <v>BT.OR 2019</v>
          </cell>
        </row>
        <row r="1231">
          <cell r="C1231">
            <v>309181</v>
          </cell>
          <cell r="D1231" t="str">
            <v>CAGE RIVET 2019</v>
          </cell>
        </row>
        <row r="1232">
          <cell r="C1232">
            <v>511181</v>
          </cell>
          <cell r="D1232" t="str">
            <v>BALL 15/32"(IS:2898-1976)</v>
          </cell>
        </row>
        <row r="1233">
          <cell r="C1233">
            <v>612204</v>
          </cell>
          <cell r="D1233" t="str">
            <v>BOLT M6X1X6</v>
          </cell>
        </row>
        <row r="1234">
          <cell r="C1234">
            <v>717181</v>
          </cell>
          <cell r="D1234" t="str">
            <v>SEAL 2019</v>
          </cell>
        </row>
        <row r="1235">
          <cell r="C1235">
            <v>717181.01</v>
          </cell>
          <cell r="D1235" t="str">
            <v>ECCENTRIC COLLAR 2019</v>
          </cell>
        </row>
        <row r="1236">
          <cell r="C1236">
            <v>913002</v>
          </cell>
          <cell r="D1236" t="str">
            <v>Box 75x30x75</v>
          </cell>
        </row>
        <row r="1237">
          <cell r="C1237">
            <v>104182</v>
          </cell>
          <cell r="D1237" t="str">
            <v>IR 393106</v>
          </cell>
        </row>
        <row r="1238">
          <cell r="C1238">
            <v>208182</v>
          </cell>
          <cell r="D1238" t="str">
            <v>OR 393106</v>
          </cell>
        </row>
        <row r="1239">
          <cell r="C1239">
            <v>309182</v>
          </cell>
          <cell r="D1239" t="str">
            <v>CAGE RIVET 393106</v>
          </cell>
        </row>
        <row r="1240">
          <cell r="C1240">
            <v>511182</v>
          </cell>
          <cell r="D1240" t="str">
            <v>BALL 1/4" (IS:2898-1976)</v>
          </cell>
        </row>
        <row r="1241">
          <cell r="C1241">
            <v>612182</v>
          </cell>
          <cell r="D1241" t="str">
            <v>BR.N 393106</v>
          </cell>
        </row>
        <row r="1242">
          <cell r="C1242">
            <v>717182</v>
          </cell>
          <cell r="D1242" t="str">
            <v>SEAL 393106</v>
          </cell>
        </row>
        <row r="1243">
          <cell r="C1243">
            <v>717182.01</v>
          </cell>
          <cell r="D1243" t="str">
            <v>RIVET (1.2X3.1) 393106</v>
          </cell>
        </row>
        <row r="1244">
          <cell r="C1244">
            <v>913006</v>
          </cell>
          <cell r="D1244" t="str">
            <v>Box 50x35x50</v>
          </cell>
        </row>
        <row r="1245">
          <cell r="C1245">
            <v>104183</v>
          </cell>
          <cell r="D1245" t="str">
            <v>SF.IR 24</v>
          </cell>
        </row>
        <row r="1246">
          <cell r="C1246">
            <v>208183</v>
          </cell>
          <cell r="D1246" t="str">
            <v>SF.OR 24</v>
          </cell>
        </row>
        <row r="1247">
          <cell r="C1247">
            <v>309183</v>
          </cell>
          <cell r="D1247" t="str">
            <v>SF.MCG 24</v>
          </cell>
        </row>
        <row r="1248">
          <cell r="C1248">
            <v>309183.08</v>
          </cell>
          <cell r="D1248" t="str">
            <v>SF.MCGB 24</v>
          </cell>
        </row>
        <row r="1249">
          <cell r="C1249">
            <v>511183</v>
          </cell>
          <cell r="D1249" t="str">
            <v>BALL 1/8" (IS:2898-1976)</v>
          </cell>
        </row>
        <row r="1250">
          <cell r="C1250">
            <v>717183</v>
          </cell>
          <cell r="D1250" t="str">
            <v>WASHER COPPER (SF 24)</v>
          </cell>
        </row>
        <row r="1251">
          <cell r="C1251">
            <v>717183.01</v>
          </cell>
          <cell r="D1251" t="str">
            <v>SURCLIP  (SF 24)</v>
          </cell>
        </row>
        <row r="1252">
          <cell r="C1252">
            <v>913016</v>
          </cell>
          <cell r="D1252" t="str">
            <v>Box 250x40x50</v>
          </cell>
        </row>
        <row r="1253">
          <cell r="C1253">
            <v>104183</v>
          </cell>
          <cell r="D1253" t="str">
            <v>SF.IR 24</v>
          </cell>
        </row>
        <row r="1254">
          <cell r="C1254">
            <v>208183.11</v>
          </cell>
          <cell r="D1254" t="str">
            <v>SF.OR 24 SPL</v>
          </cell>
        </row>
        <row r="1255">
          <cell r="C1255">
            <v>309183</v>
          </cell>
          <cell r="D1255" t="str">
            <v>SF.MCG 24</v>
          </cell>
        </row>
        <row r="1256">
          <cell r="C1256">
            <v>511183</v>
          </cell>
          <cell r="D1256" t="str">
            <v>BALL 1/8" (IS:2898-1976)</v>
          </cell>
        </row>
        <row r="1257">
          <cell r="C1257">
            <v>717183</v>
          </cell>
          <cell r="D1257" t="str">
            <v>WASHER COPPER (SF 24)</v>
          </cell>
        </row>
        <row r="1258">
          <cell r="C1258">
            <v>717183.01</v>
          </cell>
          <cell r="D1258" t="str">
            <v>SURCLIP  (SF 24)</v>
          </cell>
        </row>
        <row r="1259">
          <cell r="C1259">
            <v>208183.11</v>
          </cell>
          <cell r="D1259" t="str">
            <v>SF.OR 24 SPL</v>
          </cell>
        </row>
        <row r="1260">
          <cell r="C1260">
            <v>309183</v>
          </cell>
          <cell r="D1260" t="str">
            <v>SF.MCG 24</v>
          </cell>
        </row>
        <row r="1261">
          <cell r="C1261">
            <v>511183</v>
          </cell>
          <cell r="D1261" t="str">
            <v>BALL 1/8" (IS:2898-1976)</v>
          </cell>
        </row>
        <row r="1262">
          <cell r="C1262">
            <v>717183</v>
          </cell>
          <cell r="D1262" t="str">
            <v>WASHER COPPER (SF 24)</v>
          </cell>
        </row>
        <row r="1263">
          <cell r="C1263">
            <v>717183.01</v>
          </cell>
          <cell r="D1263" t="str">
            <v>SURCLIP  (SF 24)</v>
          </cell>
        </row>
        <row r="1264">
          <cell r="C1264">
            <v>104183</v>
          </cell>
          <cell r="D1264" t="str">
            <v>SF.IR 24</v>
          </cell>
        </row>
        <row r="1265">
          <cell r="C1265">
            <v>104184</v>
          </cell>
          <cell r="D1265" t="str">
            <v>SF.IR 24 R</v>
          </cell>
        </row>
        <row r="1266">
          <cell r="C1266">
            <v>208184</v>
          </cell>
          <cell r="D1266" t="str">
            <v>SF.OR 24 R</v>
          </cell>
        </row>
        <row r="1267">
          <cell r="C1267">
            <v>309183</v>
          </cell>
          <cell r="D1267" t="str">
            <v>SF.MCG 24</v>
          </cell>
        </row>
        <row r="1268">
          <cell r="C1268">
            <v>511183</v>
          </cell>
          <cell r="D1268" t="str">
            <v>BALL 1/8" (IS:2898-1976)</v>
          </cell>
        </row>
        <row r="1269">
          <cell r="C1269">
            <v>717183</v>
          </cell>
          <cell r="D1269" t="str">
            <v>WASHER COPPER (SF 24)</v>
          </cell>
        </row>
        <row r="1270">
          <cell r="C1270">
            <v>717183.01</v>
          </cell>
          <cell r="D1270" t="str">
            <v>SURCLIP  (SF 24)</v>
          </cell>
        </row>
        <row r="1271">
          <cell r="C1271">
            <v>717184</v>
          </cell>
          <cell r="D1271" t="str">
            <v>SF 24 R O RING</v>
          </cell>
        </row>
        <row r="1272">
          <cell r="C1272">
            <v>913016</v>
          </cell>
          <cell r="D1272" t="str">
            <v>Box 250x40x50</v>
          </cell>
        </row>
        <row r="1273">
          <cell r="C1273">
            <v>309183</v>
          </cell>
          <cell r="D1273" t="str">
            <v>SF.MCG 24</v>
          </cell>
        </row>
        <row r="1274">
          <cell r="C1274">
            <v>511183</v>
          </cell>
          <cell r="D1274" t="str">
            <v>BALL 1/8" (IS:2898-1976)</v>
          </cell>
        </row>
        <row r="1275">
          <cell r="C1275">
            <v>104184</v>
          </cell>
          <cell r="D1275" t="str">
            <v>SF.IR 24 R</v>
          </cell>
        </row>
        <row r="1276">
          <cell r="C1276">
            <v>208184</v>
          </cell>
          <cell r="D1276" t="str">
            <v>SF.OR 24 R</v>
          </cell>
        </row>
        <row r="1277">
          <cell r="C1277">
            <v>309183</v>
          </cell>
          <cell r="D1277" t="str">
            <v>SF.MCG 24</v>
          </cell>
        </row>
        <row r="1278">
          <cell r="C1278">
            <v>511183</v>
          </cell>
          <cell r="D1278" t="str">
            <v>BALL 1/8" (IS:2898-1976)</v>
          </cell>
        </row>
        <row r="1279">
          <cell r="C1279">
            <v>717183</v>
          </cell>
          <cell r="D1279" t="str">
            <v>WASHER COPPER (SF 24)</v>
          </cell>
        </row>
        <row r="1280">
          <cell r="C1280">
            <v>717183.01</v>
          </cell>
          <cell r="D1280" t="str">
            <v>SURCLIP  (SF 24)</v>
          </cell>
        </row>
        <row r="1281">
          <cell r="C1281">
            <v>717184</v>
          </cell>
          <cell r="D1281" t="str">
            <v>SF 24 R O RING</v>
          </cell>
        </row>
        <row r="1282">
          <cell r="C1282">
            <v>208184</v>
          </cell>
          <cell r="D1282" t="str">
            <v>SF.OR 24 R</v>
          </cell>
        </row>
        <row r="1283">
          <cell r="C1283">
            <v>309183</v>
          </cell>
          <cell r="D1283" t="str">
            <v>SF.MCG 24</v>
          </cell>
        </row>
        <row r="1284">
          <cell r="C1284">
            <v>511183</v>
          </cell>
          <cell r="D1284" t="str">
            <v>BALL 1/8" (IS:2898-1976)</v>
          </cell>
        </row>
        <row r="1285">
          <cell r="C1285">
            <v>717183</v>
          </cell>
          <cell r="D1285" t="str">
            <v>WASHER COPPER (SF 24)</v>
          </cell>
        </row>
        <row r="1286">
          <cell r="C1286">
            <v>717183.01</v>
          </cell>
          <cell r="D1286" t="str">
            <v>SURCLIP  (SF 24)</v>
          </cell>
        </row>
        <row r="1287">
          <cell r="C1287">
            <v>717184</v>
          </cell>
          <cell r="D1287" t="str">
            <v>SF 24 R O RING</v>
          </cell>
        </row>
        <row r="1288">
          <cell r="C1288">
            <v>104184</v>
          </cell>
          <cell r="D1288" t="str">
            <v>SF.IR 24 R</v>
          </cell>
        </row>
        <row r="1289">
          <cell r="C1289">
            <v>100184.2</v>
          </cell>
          <cell r="D1289" t="str">
            <v>IR.IR 25X30X100 PLAIN</v>
          </cell>
        </row>
        <row r="1290">
          <cell r="C1290">
            <v>100184.3</v>
          </cell>
          <cell r="D1290" t="str">
            <v>IR.IR 25X30X100 Eccentric</v>
          </cell>
        </row>
        <row r="1291">
          <cell r="C1291">
            <v>1422185</v>
          </cell>
          <cell r="D1291" t="str">
            <v>3000 2RS         Material</v>
          </cell>
        </row>
        <row r="1292">
          <cell r="C1292">
            <v>913016</v>
          </cell>
          <cell r="D1292" t="str">
            <v>Box 250x40x50</v>
          </cell>
        </row>
        <row r="1293">
          <cell r="C1293">
            <v>1422185.01</v>
          </cell>
          <cell r="D1293" t="str">
            <v>3810 2RS MAT.OR/IR/BALL</v>
          </cell>
        </row>
        <row r="1294">
          <cell r="C1294">
            <v>309185.01</v>
          </cell>
          <cell r="D1294" t="str">
            <v>NCG.3810 2RS</v>
          </cell>
        </row>
        <row r="1295">
          <cell r="C1295">
            <v>511185.01</v>
          </cell>
          <cell r="D1295" t="str">
            <v>BALL 3.5 MM(IS:2898-1976)</v>
          </cell>
        </row>
        <row r="1296">
          <cell r="C1296">
            <v>5221301</v>
          </cell>
          <cell r="D1296" t="str">
            <v/>
          </cell>
        </row>
        <row r="1297">
          <cell r="C1297">
            <v>717185.01</v>
          </cell>
          <cell r="D1297" t="str">
            <v>SEAL.3810 2RS</v>
          </cell>
        </row>
        <row r="1298">
          <cell r="C1298">
            <v>104185.02</v>
          </cell>
          <cell r="D1298" t="str">
            <v>IR.3812 2RS             F</v>
          </cell>
        </row>
        <row r="1299">
          <cell r="C1299">
            <v>208185.02</v>
          </cell>
          <cell r="D1299" t="str">
            <v>OR.3812 2RS             F</v>
          </cell>
        </row>
        <row r="1300">
          <cell r="C1300">
            <v>309185.02</v>
          </cell>
          <cell r="D1300" t="str">
            <v>NCG.3812 2RS</v>
          </cell>
        </row>
        <row r="1301">
          <cell r="C1301">
            <v>511170</v>
          </cell>
          <cell r="D1301" t="str">
            <v>BALL 3/16" (IS:2898-1976)</v>
          </cell>
        </row>
        <row r="1302">
          <cell r="C1302">
            <v>717185.02</v>
          </cell>
          <cell r="D1302" t="str">
            <v>SEAL.3812 2RS</v>
          </cell>
        </row>
        <row r="1303">
          <cell r="C1303">
            <v>1422186</v>
          </cell>
          <cell r="D1303" t="str">
            <v>F 295540-01   Materia</v>
          </cell>
        </row>
        <row r="1304">
          <cell r="C1304">
            <v>511210.01</v>
          </cell>
          <cell r="D1304" t="str">
            <v>RO 4X5.6BPM</v>
          </cell>
        </row>
        <row r="1305">
          <cell r="C1305">
            <v>913006</v>
          </cell>
          <cell r="D1305" t="str">
            <v>Box 50x35x50</v>
          </cell>
        </row>
        <row r="1306">
          <cell r="C1306">
            <v>1422186.01</v>
          </cell>
          <cell r="D1306" t="str">
            <v>J 186.01(F 29535401)mater</v>
          </cell>
        </row>
        <row r="1307">
          <cell r="C1307">
            <v>104187</v>
          </cell>
          <cell r="D1307" t="str">
            <v>IR 101.3303</v>
          </cell>
        </row>
        <row r="1308">
          <cell r="C1308">
            <v>208187</v>
          </cell>
          <cell r="D1308" t="str">
            <v>OR 101.3303</v>
          </cell>
        </row>
        <row r="1309">
          <cell r="C1309">
            <v>309187</v>
          </cell>
          <cell r="D1309" t="str">
            <v>NCG 101.3303</v>
          </cell>
        </row>
        <row r="1310">
          <cell r="C1310">
            <v>511187</v>
          </cell>
          <cell r="D1310" t="str">
            <v>BALL 05/32"(IS:2898-1976)</v>
          </cell>
        </row>
        <row r="1311">
          <cell r="C1311">
            <v>717187</v>
          </cell>
          <cell r="D1311" t="str">
            <v>COPPER WASHER 101.3303</v>
          </cell>
        </row>
        <row r="1312">
          <cell r="C1312">
            <v>717187.01</v>
          </cell>
          <cell r="D1312" t="str">
            <v>SURCLIP 101.3303</v>
          </cell>
        </row>
        <row r="1313">
          <cell r="C1313">
            <v>913016</v>
          </cell>
          <cell r="D1313" t="str">
            <v>Box 250x40x50</v>
          </cell>
        </row>
        <row r="1314">
          <cell r="C1314">
            <v>104187.01</v>
          </cell>
          <cell r="D1314" t="str">
            <v>IR 101.3303</v>
          </cell>
        </row>
        <row r="1315">
          <cell r="C1315">
            <v>208187.01</v>
          </cell>
          <cell r="D1315" t="str">
            <v>OR 101.3303 SPL</v>
          </cell>
        </row>
        <row r="1316">
          <cell r="C1316">
            <v>309187</v>
          </cell>
          <cell r="D1316" t="str">
            <v>NCG 101.3303</v>
          </cell>
        </row>
        <row r="1317">
          <cell r="C1317">
            <v>511187</v>
          </cell>
          <cell r="D1317" t="str">
            <v>BALL 05/32"(IS:2898-1976)</v>
          </cell>
        </row>
        <row r="1318">
          <cell r="C1318">
            <v>717187</v>
          </cell>
          <cell r="D1318" t="str">
            <v>COPPER WASHER 101.3303</v>
          </cell>
        </row>
        <row r="1319">
          <cell r="C1319">
            <v>717187.01</v>
          </cell>
          <cell r="D1319" t="str">
            <v>SURCLIP 101.3303</v>
          </cell>
        </row>
        <row r="1320">
          <cell r="C1320">
            <v>913016</v>
          </cell>
          <cell r="D1320" t="str">
            <v>Box 250x40x50</v>
          </cell>
        </row>
        <row r="1321">
          <cell r="C1321">
            <v>208187</v>
          </cell>
          <cell r="D1321" t="str">
            <v>OR 101.3303</v>
          </cell>
        </row>
        <row r="1322">
          <cell r="C1322">
            <v>309187</v>
          </cell>
          <cell r="D1322" t="str">
            <v>NCG 101.3303</v>
          </cell>
        </row>
        <row r="1323">
          <cell r="C1323">
            <v>511187</v>
          </cell>
          <cell r="D1323" t="str">
            <v>BALL 05/32"(IS:2898-1976)</v>
          </cell>
        </row>
        <row r="1324">
          <cell r="C1324">
            <v>717187</v>
          </cell>
          <cell r="D1324" t="str">
            <v>COPPER WASHER 101.3303</v>
          </cell>
        </row>
        <row r="1325">
          <cell r="C1325">
            <v>717187.01</v>
          </cell>
          <cell r="D1325" t="str">
            <v>SURCLIP 101.3303</v>
          </cell>
        </row>
        <row r="1326">
          <cell r="C1326">
            <v>208187</v>
          </cell>
          <cell r="D1326" t="str">
            <v>OR 101.3303</v>
          </cell>
        </row>
        <row r="1327">
          <cell r="C1327">
            <v>100187.3</v>
          </cell>
          <cell r="D1327" t="str">
            <v>IR.IR 25X30X94 PLAIN</v>
          </cell>
        </row>
        <row r="1328">
          <cell r="C1328">
            <v>309187</v>
          </cell>
          <cell r="D1328" t="str">
            <v>NCG 101.3303</v>
          </cell>
        </row>
        <row r="1329">
          <cell r="C1329">
            <v>511187</v>
          </cell>
          <cell r="D1329" t="str">
            <v>BALL 05/32"(IS:2898-1976)</v>
          </cell>
        </row>
        <row r="1330">
          <cell r="C1330">
            <v>717187</v>
          </cell>
          <cell r="D1330" t="str">
            <v>COPPER WASHER 101.3303</v>
          </cell>
        </row>
        <row r="1331">
          <cell r="C1331">
            <v>717187.01</v>
          </cell>
          <cell r="D1331" t="str">
            <v>SURCLIP 101.3303</v>
          </cell>
        </row>
        <row r="1332">
          <cell r="C1332">
            <v>1422188</v>
          </cell>
          <cell r="D1332" t="str">
            <v>JUO-6           Materials</v>
          </cell>
        </row>
        <row r="1333">
          <cell r="C1333">
            <v>104189</v>
          </cell>
          <cell r="D1333" t="str">
            <v>F.IR 92529              T</v>
          </cell>
        </row>
        <row r="1334">
          <cell r="C1334">
            <v>208189</v>
          </cell>
          <cell r="D1334" t="str">
            <v>F.OR 92529              T</v>
          </cell>
        </row>
        <row r="1335">
          <cell r="C1335">
            <v>309189</v>
          </cell>
          <cell r="D1335" t="str">
            <v>F.NCG 92529</v>
          </cell>
        </row>
        <row r="1336">
          <cell r="C1336">
            <v>511189</v>
          </cell>
          <cell r="D1336" t="str">
            <v>BALL 4.5mm(IS:2898-1976)</v>
          </cell>
        </row>
        <row r="1337">
          <cell r="C1337">
            <v>913004</v>
          </cell>
          <cell r="D1337" t="str">
            <v>Box 108x35x108</v>
          </cell>
        </row>
        <row r="1338">
          <cell r="C1338">
            <v>104190</v>
          </cell>
          <cell r="D1338" t="str">
            <v>F.IR 18374506</v>
          </cell>
        </row>
        <row r="1339">
          <cell r="C1339">
            <v>208190</v>
          </cell>
          <cell r="D1339" t="str">
            <v>F.OR 18374506</v>
          </cell>
        </row>
        <row r="1340">
          <cell r="C1340">
            <v>309190</v>
          </cell>
          <cell r="D1340" t="str">
            <v>F.NCG 18374506</v>
          </cell>
        </row>
        <row r="1341">
          <cell r="C1341">
            <v>511190</v>
          </cell>
          <cell r="D1341" t="str">
            <v>BALL 15/64"(IS:2898-1976</v>
          </cell>
        </row>
        <row r="1342">
          <cell r="C1342">
            <v>717480</v>
          </cell>
          <cell r="D1342" t="str">
            <v>WASHER F 18374506</v>
          </cell>
        </row>
        <row r="1343">
          <cell r="C1343">
            <v>913011</v>
          </cell>
          <cell r="D1343" t="str">
            <v>Box 150x40x150</v>
          </cell>
        </row>
        <row r="1344">
          <cell r="C1344">
            <v>1422191</v>
          </cell>
          <cell r="D1344" t="str">
            <v>TOP ROLLERS     Material</v>
          </cell>
        </row>
        <row r="1345">
          <cell r="C1345">
            <v>104192.01</v>
          </cell>
          <cell r="D1345" t="str">
            <v>IR 45 NPPB LMW          F</v>
          </cell>
        </row>
        <row r="1346">
          <cell r="C1346">
            <v>208192.01</v>
          </cell>
          <cell r="D1346" t="str">
            <v>OR 45 NPPB LMW          F</v>
          </cell>
        </row>
        <row r="1347">
          <cell r="C1347">
            <v>309247</v>
          </cell>
          <cell r="D1347" t="str">
            <v>NCG 209 YY</v>
          </cell>
        </row>
        <row r="1348">
          <cell r="C1348">
            <v>511192</v>
          </cell>
          <cell r="D1348" t="str">
            <v>BALL 1/2" (IS:2898-1976)</v>
          </cell>
        </row>
        <row r="1349">
          <cell r="C1349">
            <v>5221208.0199999996</v>
          </cell>
          <cell r="D1349" t="str">
            <v>O Centoplex BE41 103BH</v>
          </cell>
        </row>
        <row r="1350">
          <cell r="C1350">
            <v>612192</v>
          </cell>
          <cell r="D1350" t="str">
            <v>G.SCREW45NPPB(M10X1.25X8)</v>
          </cell>
        </row>
        <row r="1351">
          <cell r="C1351">
            <v>717192.01</v>
          </cell>
          <cell r="D1351" t="str">
            <v>ECCENTRIC COLLAR 45 NPPB</v>
          </cell>
        </row>
        <row r="1352">
          <cell r="C1352">
            <v>717192.03</v>
          </cell>
          <cell r="D1352" t="str">
            <v>SEAL 45 NPPB LMW</v>
          </cell>
        </row>
        <row r="1353">
          <cell r="C1353">
            <v>913008</v>
          </cell>
          <cell r="D1353" t="str">
            <v>Box 95x50x95</v>
          </cell>
        </row>
        <row r="1354">
          <cell r="C1354">
            <v>104192.01</v>
          </cell>
          <cell r="D1354" t="str">
            <v>IR 45 NPPB LMW          F</v>
          </cell>
        </row>
        <row r="1355">
          <cell r="C1355">
            <v>208192.01</v>
          </cell>
          <cell r="D1355" t="str">
            <v>OR 45 NPPB LMW          F</v>
          </cell>
        </row>
        <row r="1356">
          <cell r="C1356">
            <v>309247</v>
          </cell>
          <cell r="D1356" t="str">
            <v>NCG 209 YY</v>
          </cell>
        </row>
        <row r="1357">
          <cell r="C1357">
            <v>511192</v>
          </cell>
          <cell r="D1357" t="str">
            <v>BALL 1/2" (IS:2898-1976)</v>
          </cell>
        </row>
        <row r="1358">
          <cell r="C1358">
            <v>5221208.0199999996</v>
          </cell>
          <cell r="D1358" t="str">
            <v>O Centoplex BE41 103BH</v>
          </cell>
        </row>
        <row r="1359">
          <cell r="C1359">
            <v>612192</v>
          </cell>
          <cell r="D1359" t="str">
            <v>G.SCREW45NPPB(M10X1.25X8)</v>
          </cell>
        </row>
        <row r="1360">
          <cell r="C1360">
            <v>717192.01</v>
          </cell>
          <cell r="D1360" t="str">
            <v>ECCENTRIC COLLAR 45 NPPB</v>
          </cell>
        </row>
        <row r="1361">
          <cell r="C1361">
            <v>717192.03</v>
          </cell>
          <cell r="D1361" t="str">
            <v>SEAL 45 NPPB LMW</v>
          </cell>
        </row>
        <row r="1362">
          <cell r="C1362">
            <v>913008</v>
          </cell>
          <cell r="D1362" t="str">
            <v>Box 95x50x95</v>
          </cell>
        </row>
        <row r="1363">
          <cell r="C1363">
            <v>104192</v>
          </cell>
          <cell r="D1363" t="str">
            <v>IR 45 NPPB</v>
          </cell>
        </row>
        <row r="1364">
          <cell r="C1364">
            <v>208192</v>
          </cell>
          <cell r="D1364" t="str">
            <v>OR 45 NPPB</v>
          </cell>
        </row>
        <row r="1365">
          <cell r="C1365">
            <v>309192</v>
          </cell>
          <cell r="D1365" t="str">
            <v>CAGE 45 NPPB</v>
          </cell>
        </row>
        <row r="1366">
          <cell r="C1366">
            <v>511192</v>
          </cell>
          <cell r="D1366" t="str">
            <v>BALL 1/2" (IS:2898-1976)</v>
          </cell>
        </row>
        <row r="1367">
          <cell r="C1367">
            <v>5221208.0199999996</v>
          </cell>
          <cell r="D1367" t="str">
            <v>O Centoplex BE41 103BH</v>
          </cell>
        </row>
        <row r="1368">
          <cell r="C1368">
            <v>612192</v>
          </cell>
          <cell r="D1368" t="str">
            <v>G.SCREW45NPPB(M10X1.25X8)</v>
          </cell>
        </row>
        <row r="1369">
          <cell r="C1369">
            <v>717192</v>
          </cell>
          <cell r="D1369" t="str">
            <v>SEAL 45 NPPB</v>
          </cell>
        </row>
        <row r="1370">
          <cell r="C1370">
            <v>717192.02</v>
          </cell>
          <cell r="D1370" t="str">
            <v>ECCENTRICCOLLAR45NPPBSPL</v>
          </cell>
        </row>
        <row r="1371">
          <cell r="C1371">
            <v>913008</v>
          </cell>
          <cell r="D1371" t="str">
            <v>Box 95x50x95</v>
          </cell>
        </row>
        <row r="1372">
          <cell r="C1372">
            <v>818192.03</v>
          </cell>
          <cell r="D1372" t="str">
            <v>EBS RING FOR 45 NPPB</v>
          </cell>
        </row>
        <row r="1373">
          <cell r="C1373">
            <v>612192</v>
          </cell>
          <cell r="D1373" t="str">
            <v>G.SCREW45NPPB(M10X1.25X8)</v>
          </cell>
        </row>
        <row r="1374">
          <cell r="C1374">
            <v>717192.01</v>
          </cell>
          <cell r="D1374" t="str">
            <v>ECCENTRIC COLLAR 45 NPPB</v>
          </cell>
        </row>
        <row r="1375">
          <cell r="C1375">
            <v>104193</v>
          </cell>
          <cell r="D1375" t="str">
            <v>J.IR 193(BAHB 636035A)</v>
          </cell>
        </row>
        <row r="1376">
          <cell r="C1376">
            <v>208193</v>
          </cell>
          <cell r="D1376" t="str">
            <v>J.OR 193(BAHB 636035A)</v>
          </cell>
        </row>
        <row r="1377">
          <cell r="C1377">
            <v>22193</v>
          </cell>
          <cell r="D1377" t="str">
            <v/>
          </cell>
        </row>
        <row r="1378">
          <cell r="C1378">
            <v>309193</v>
          </cell>
          <cell r="D1378" t="str">
            <v>J.NCG (BAHB 636035A)</v>
          </cell>
        </row>
        <row r="1379">
          <cell r="C1379">
            <v>511193</v>
          </cell>
          <cell r="D1379" t="str">
            <v>BALL 7/16"(IS:2898-1976)</v>
          </cell>
        </row>
        <row r="1380">
          <cell r="C1380">
            <v>5221208.0199999996</v>
          </cell>
          <cell r="D1380" t="str">
            <v>O Centoplex BE41 103BH</v>
          </cell>
        </row>
        <row r="1381">
          <cell r="C1381">
            <v>717193</v>
          </cell>
          <cell r="D1381" t="str">
            <v>RUBBER SEAL J 193 BIG</v>
          </cell>
        </row>
        <row r="1382">
          <cell r="C1382">
            <v>717193.01</v>
          </cell>
          <cell r="D1382" t="str">
            <v>RUBBER SEAL J 193 SMALL</v>
          </cell>
        </row>
        <row r="1383">
          <cell r="C1383">
            <v>913015</v>
          </cell>
          <cell r="D1383" t="str">
            <v>Box 75X40X75</v>
          </cell>
        </row>
        <row r="1384">
          <cell r="C1384">
            <v>1422194</v>
          </cell>
          <cell r="D1384" t="str">
            <v>2B12Z 1CT       Materia</v>
          </cell>
        </row>
        <row r="1385">
          <cell r="C1385">
            <v>913016</v>
          </cell>
          <cell r="D1385" t="str">
            <v>Box 250x40x50</v>
          </cell>
        </row>
        <row r="1386">
          <cell r="C1386">
            <v>1422195</v>
          </cell>
          <cell r="D1386" t="str">
            <v>2B12Z 2CT       Materia</v>
          </cell>
        </row>
        <row r="1387">
          <cell r="C1387">
            <v>913016</v>
          </cell>
          <cell r="D1387" t="str">
            <v>Box 250x40x50</v>
          </cell>
        </row>
        <row r="1388">
          <cell r="C1388">
            <v>104196</v>
          </cell>
          <cell r="D1388" t="str">
            <v>J.IR 196                F</v>
          </cell>
        </row>
        <row r="1389">
          <cell r="C1389">
            <v>208196</v>
          </cell>
          <cell r="D1389" t="str">
            <v>J.OR 196                F</v>
          </cell>
        </row>
        <row r="1390">
          <cell r="C1390">
            <v>208196</v>
          </cell>
          <cell r="D1390" t="str">
            <v>J.OR 196                F</v>
          </cell>
        </row>
        <row r="1391">
          <cell r="C1391">
            <v>104196</v>
          </cell>
          <cell r="D1391" t="str">
            <v>J.IR 196                F</v>
          </cell>
        </row>
        <row r="1392">
          <cell r="C1392">
            <v>104197</v>
          </cell>
          <cell r="D1392" t="str">
            <v>J.IR 197</v>
          </cell>
        </row>
        <row r="1393">
          <cell r="C1393">
            <v>208197</v>
          </cell>
          <cell r="D1393" t="str">
            <v>J.OR 197</v>
          </cell>
        </row>
        <row r="1394">
          <cell r="C1394">
            <v>309197</v>
          </cell>
          <cell r="D1394" t="str">
            <v>J.NCG 197</v>
          </cell>
        </row>
        <row r="1395">
          <cell r="C1395">
            <v>511197</v>
          </cell>
          <cell r="D1395" t="str">
            <v>BALL 9/32"</v>
          </cell>
        </row>
        <row r="1396">
          <cell r="C1396">
            <v>104198.02</v>
          </cell>
          <cell r="D1396" t="str">
            <v>J.IR 198                F</v>
          </cell>
        </row>
        <row r="1397">
          <cell r="C1397">
            <v>208198.01</v>
          </cell>
          <cell r="D1397" t="str">
            <v>J.OR 198                F</v>
          </cell>
        </row>
        <row r="1398">
          <cell r="C1398">
            <v>208198.01</v>
          </cell>
          <cell r="D1398" t="str">
            <v>J.OR 198                F</v>
          </cell>
        </row>
        <row r="1399">
          <cell r="C1399">
            <v>104198.02</v>
          </cell>
          <cell r="D1399" t="str">
            <v>J.IR 198                F</v>
          </cell>
        </row>
        <row r="1400">
          <cell r="C1400">
            <v>208199</v>
          </cell>
          <cell r="D1400" t="str">
            <v>J.OR 199                F</v>
          </cell>
        </row>
        <row r="1401">
          <cell r="C1401">
            <v>104199</v>
          </cell>
          <cell r="D1401" t="str">
            <v>J.IR 199                F</v>
          </cell>
        </row>
        <row r="1402">
          <cell r="C1402">
            <v>104199</v>
          </cell>
          <cell r="D1402" t="str">
            <v>J.IR 199                F</v>
          </cell>
        </row>
        <row r="1403">
          <cell r="C1403">
            <v>104200</v>
          </cell>
          <cell r="D1403" t="str">
            <v>J.IR 200</v>
          </cell>
        </row>
        <row r="1404">
          <cell r="C1404">
            <v>208200</v>
          </cell>
          <cell r="D1404" t="str">
            <v>J.OR 200</v>
          </cell>
        </row>
        <row r="1405">
          <cell r="C1405">
            <v>309200</v>
          </cell>
          <cell r="D1405" t="str">
            <v>J.MCG 200</v>
          </cell>
        </row>
        <row r="1406">
          <cell r="C1406">
            <v>511464</v>
          </cell>
          <cell r="D1406" t="str">
            <v>BALL 7/32"(IS:2898-1976)</v>
          </cell>
        </row>
        <row r="1407">
          <cell r="C1407">
            <v>913010</v>
          </cell>
          <cell r="D1407" t="str">
            <v>Box 150x40x50</v>
          </cell>
        </row>
        <row r="1408">
          <cell r="C1408">
            <v>104201</v>
          </cell>
          <cell r="D1408" t="str">
            <v>J.IR 201</v>
          </cell>
        </row>
        <row r="1409">
          <cell r="C1409">
            <v>208201</v>
          </cell>
          <cell r="D1409" t="str">
            <v>J.OR 201</v>
          </cell>
        </row>
        <row r="1410">
          <cell r="C1410">
            <v>309201</v>
          </cell>
          <cell r="D1410" t="str">
            <v>J.MCG 201</v>
          </cell>
        </row>
        <row r="1411">
          <cell r="C1411">
            <v>511993</v>
          </cell>
          <cell r="D1411" t="str">
            <v>BALL 5/16"(IS:2898-1976)</v>
          </cell>
        </row>
        <row r="1412">
          <cell r="C1412">
            <v>913021</v>
          </cell>
          <cell r="D1412" t="str">
            <v>Box 55X20X55</v>
          </cell>
        </row>
        <row r="1413">
          <cell r="C1413">
            <v>104202</v>
          </cell>
          <cell r="D1413" t="str">
            <v>J.IR 202(42MM BEARINGS) F</v>
          </cell>
        </row>
        <row r="1414">
          <cell r="C1414">
            <v>208202</v>
          </cell>
          <cell r="D1414" t="str">
            <v>J.OR 202(42MM BEARINGS) F</v>
          </cell>
        </row>
        <row r="1415">
          <cell r="C1415">
            <v>309202</v>
          </cell>
          <cell r="D1415" t="str">
            <v>J.MCG 202(42MM BEARINGS)</v>
          </cell>
        </row>
        <row r="1416">
          <cell r="C1416">
            <v>511183</v>
          </cell>
          <cell r="D1416" t="str">
            <v>BALL 1/8" (IS:2898-1976)</v>
          </cell>
        </row>
        <row r="1417">
          <cell r="C1417">
            <v>717202</v>
          </cell>
          <cell r="D1417" t="str">
            <v>WASHER J 202(42MM)</v>
          </cell>
        </row>
        <row r="1418">
          <cell r="C1418">
            <v>104203</v>
          </cell>
          <cell r="D1418" t="str">
            <v>J.IR 203                F</v>
          </cell>
        </row>
        <row r="1419">
          <cell r="C1419">
            <v>208203</v>
          </cell>
          <cell r="D1419" t="str">
            <v>J.OR 203                F</v>
          </cell>
        </row>
        <row r="1420">
          <cell r="C1420">
            <v>309203</v>
          </cell>
          <cell r="D1420" t="str">
            <v>J.NCG 203</v>
          </cell>
        </row>
        <row r="1421">
          <cell r="C1421">
            <v>511403</v>
          </cell>
          <cell r="D1421" t="str">
            <v>BALL 31/64"(IS:2898-1976)</v>
          </cell>
        </row>
        <row r="1422">
          <cell r="C1422">
            <v>612179</v>
          </cell>
          <cell r="D1422" t="str">
            <v>G.SCREW 179(M10X1.5X10)</v>
          </cell>
        </row>
        <row r="1423">
          <cell r="C1423">
            <v>717203</v>
          </cell>
          <cell r="D1423" t="str">
            <v>SEAL J 203</v>
          </cell>
        </row>
        <row r="1424">
          <cell r="C1424">
            <v>717203.01</v>
          </cell>
          <cell r="D1424" t="str">
            <v>ECCENTRIC COLLAR J 203</v>
          </cell>
        </row>
        <row r="1425">
          <cell r="C1425">
            <v>104204</v>
          </cell>
          <cell r="D1425" t="str">
            <v>J.IR 204                F</v>
          </cell>
        </row>
        <row r="1426">
          <cell r="C1426">
            <v>208204</v>
          </cell>
          <cell r="D1426" t="str">
            <v>J.OR 204                F</v>
          </cell>
        </row>
        <row r="1427">
          <cell r="C1427">
            <v>309204</v>
          </cell>
          <cell r="D1427" t="str">
            <v>J.NCG 204</v>
          </cell>
        </row>
        <row r="1428">
          <cell r="C1428">
            <v>511993</v>
          </cell>
          <cell r="D1428" t="str">
            <v>BALL 5/16"(IS:2898-1976)</v>
          </cell>
        </row>
        <row r="1429">
          <cell r="C1429">
            <v>612204</v>
          </cell>
          <cell r="D1429" t="str">
            <v>BOLT M6X1X6</v>
          </cell>
        </row>
        <row r="1430">
          <cell r="C1430">
            <v>717204</v>
          </cell>
          <cell r="D1430" t="str">
            <v>CUT WASHER J 204</v>
          </cell>
        </row>
        <row r="1431">
          <cell r="C1431">
            <v>717204.01</v>
          </cell>
          <cell r="D1431" t="str">
            <v>FELT J 204</v>
          </cell>
        </row>
        <row r="1432">
          <cell r="C1432">
            <v>104205</v>
          </cell>
          <cell r="D1432" t="str">
            <v>J.IR 205                F</v>
          </cell>
        </row>
        <row r="1433">
          <cell r="C1433">
            <v>208205</v>
          </cell>
          <cell r="D1433" t="str">
            <v>J.OR 205                F</v>
          </cell>
        </row>
        <row r="1434">
          <cell r="C1434">
            <v>309205</v>
          </cell>
          <cell r="D1434" t="str">
            <v>J.NCG 205</v>
          </cell>
        </row>
        <row r="1435">
          <cell r="C1435">
            <v>511205</v>
          </cell>
          <cell r="D1435" t="str">
            <v>BALL 11/32"(IS:2898-1976)</v>
          </cell>
        </row>
        <row r="1436">
          <cell r="C1436">
            <v>612921</v>
          </cell>
          <cell r="D1436" t="str">
            <v>G.SCREW 30 (M08X1.25X08)</v>
          </cell>
        </row>
        <row r="1437">
          <cell r="C1437">
            <v>717205</v>
          </cell>
          <cell r="D1437" t="str">
            <v>CUT WASHER J 205</v>
          </cell>
        </row>
        <row r="1438">
          <cell r="C1438">
            <v>717205.01</v>
          </cell>
          <cell r="D1438" t="str">
            <v>FELT J 205</v>
          </cell>
        </row>
        <row r="1439">
          <cell r="C1439">
            <v>104205</v>
          </cell>
          <cell r="D1439" t="str">
            <v>J.IR 205                F</v>
          </cell>
        </row>
        <row r="1440">
          <cell r="C1440">
            <v>208205</v>
          </cell>
          <cell r="D1440" t="str">
            <v>J.OR 205                F</v>
          </cell>
        </row>
        <row r="1441">
          <cell r="C1441">
            <v>309205</v>
          </cell>
          <cell r="D1441" t="str">
            <v>J.NCG 205</v>
          </cell>
        </row>
        <row r="1442">
          <cell r="C1442">
            <v>511205</v>
          </cell>
          <cell r="D1442" t="str">
            <v>BALL 11/32"(IS:2898-1976)</v>
          </cell>
        </row>
        <row r="1443">
          <cell r="C1443">
            <v>612921</v>
          </cell>
          <cell r="D1443" t="str">
            <v>G.SCREW 30 (M08X1.25X08)</v>
          </cell>
        </row>
        <row r="1444">
          <cell r="C1444">
            <v>717205</v>
          </cell>
          <cell r="D1444" t="str">
            <v>CUT WASHER J 205</v>
          </cell>
        </row>
        <row r="1445">
          <cell r="C1445">
            <v>717205.01</v>
          </cell>
          <cell r="D1445" t="str">
            <v>FELT J 205</v>
          </cell>
        </row>
        <row r="1446">
          <cell r="C1446">
            <v>104206</v>
          </cell>
          <cell r="D1446" t="str">
            <v>J.IR 206                F</v>
          </cell>
        </row>
        <row r="1447">
          <cell r="C1447">
            <v>208206</v>
          </cell>
          <cell r="D1447" t="str">
            <v>J.OR 206                F</v>
          </cell>
        </row>
        <row r="1448">
          <cell r="C1448">
            <v>309206</v>
          </cell>
          <cell r="D1448" t="str">
            <v>J.NCG 206</v>
          </cell>
        </row>
        <row r="1449">
          <cell r="C1449">
            <v>511193</v>
          </cell>
          <cell r="D1449" t="str">
            <v>BALL 7/16"(IS:2898-1976)</v>
          </cell>
        </row>
        <row r="1450">
          <cell r="C1450">
            <v>612921</v>
          </cell>
          <cell r="D1450" t="str">
            <v>G.SCREW 30 (M08X1.25X08)</v>
          </cell>
        </row>
        <row r="1451">
          <cell r="C1451">
            <v>717206</v>
          </cell>
          <cell r="D1451" t="str">
            <v>CUT WASHER J 206</v>
          </cell>
        </row>
        <row r="1452">
          <cell r="C1452">
            <v>717206.01</v>
          </cell>
          <cell r="D1452" t="str">
            <v>FELT J 206</v>
          </cell>
        </row>
        <row r="1453">
          <cell r="C1453">
            <v>104206</v>
          </cell>
          <cell r="D1453" t="str">
            <v>J.IR 206                F</v>
          </cell>
        </row>
        <row r="1454">
          <cell r="C1454">
            <v>208206</v>
          </cell>
          <cell r="D1454" t="str">
            <v>J.OR 206                F</v>
          </cell>
        </row>
        <row r="1455">
          <cell r="C1455">
            <v>309206</v>
          </cell>
          <cell r="D1455" t="str">
            <v>J.NCG 206</v>
          </cell>
        </row>
        <row r="1456">
          <cell r="C1456">
            <v>511193</v>
          </cell>
          <cell r="D1456" t="str">
            <v>BALL 7/16"(IS:2898-1976)</v>
          </cell>
        </row>
        <row r="1457">
          <cell r="C1457">
            <v>612921</v>
          </cell>
          <cell r="D1457" t="str">
            <v>G.SCREW 30 (M08X1.25X08)</v>
          </cell>
        </row>
        <row r="1458">
          <cell r="C1458">
            <v>717206</v>
          </cell>
          <cell r="D1458" t="str">
            <v>CUT WASHER J 206</v>
          </cell>
        </row>
        <row r="1459">
          <cell r="C1459">
            <v>717206.01</v>
          </cell>
          <cell r="D1459" t="str">
            <v>FELT J 206</v>
          </cell>
        </row>
        <row r="1460">
          <cell r="C1460">
            <v>104207</v>
          </cell>
          <cell r="D1460" t="str">
            <v>CF.STADE 20</v>
          </cell>
        </row>
        <row r="1461">
          <cell r="C1461">
            <v>208207</v>
          </cell>
          <cell r="D1461" t="str">
            <v>CF.OR 20                F</v>
          </cell>
        </row>
        <row r="1462">
          <cell r="C1462">
            <v>309207</v>
          </cell>
          <cell r="D1462" t="str">
            <v>CF.MCG 20</v>
          </cell>
        </row>
        <row r="1463">
          <cell r="C1463">
            <v>511481</v>
          </cell>
          <cell r="D1463" t="str">
            <v>RO 2.5X14.8</v>
          </cell>
        </row>
        <row r="1464">
          <cell r="C1464">
            <v>717207</v>
          </cell>
          <cell r="D1464" t="str">
            <v>CF.NUT 20</v>
          </cell>
        </row>
        <row r="1465">
          <cell r="C1465">
            <v>717207.01</v>
          </cell>
          <cell r="D1465" t="str">
            <v>CF.WASHER 20</v>
          </cell>
        </row>
        <row r="1466">
          <cell r="C1466">
            <v>717207.02</v>
          </cell>
          <cell r="D1466" t="str">
            <v>CF.RUBBER RING 20</v>
          </cell>
        </row>
        <row r="1467">
          <cell r="C1467">
            <v>104208</v>
          </cell>
          <cell r="D1467" t="str">
            <v>CF.STADE 5/8 SB         F</v>
          </cell>
        </row>
        <row r="1468">
          <cell r="C1468">
            <v>208208</v>
          </cell>
          <cell r="D1468" t="str">
            <v>CF.OR 5/8 SB            F</v>
          </cell>
        </row>
        <row r="1469">
          <cell r="C1469">
            <v>511208</v>
          </cell>
          <cell r="D1469" t="str">
            <v>RO 1.3X8.3 BR</v>
          </cell>
        </row>
        <row r="1470">
          <cell r="C1470">
            <v>717208</v>
          </cell>
          <cell r="D1470" t="str">
            <v>CF.METAL WASHER 5/8 SB</v>
          </cell>
        </row>
        <row r="1471">
          <cell r="C1471">
            <v>717208.01</v>
          </cell>
          <cell r="D1471" t="str">
            <v>CF.NYLONE WASHER 5/8 SB</v>
          </cell>
        </row>
        <row r="1472">
          <cell r="C1472">
            <v>1422209</v>
          </cell>
          <cell r="D1472" t="str">
            <v>FC 3019          Material</v>
          </cell>
        </row>
        <row r="1473">
          <cell r="C1473">
            <v>511209</v>
          </cell>
          <cell r="D1473" t="str">
            <v>RO 3X8</v>
          </cell>
        </row>
        <row r="1474">
          <cell r="C1474">
            <v>913010</v>
          </cell>
          <cell r="D1474" t="str">
            <v>Box 150x40x50</v>
          </cell>
        </row>
        <row r="1475">
          <cell r="C1475">
            <v>104210</v>
          </cell>
          <cell r="D1475" t="str">
            <v>FC.IR 16644 SPL</v>
          </cell>
        </row>
        <row r="1476">
          <cell r="C1476">
            <v>208210</v>
          </cell>
          <cell r="D1476" t="str">
            <v>FC.OR 16644 SPL</v>
          </cell>
        </row>
        <row r="1477">
          <cell r="C1477">
            <v>511210</v>
          </cell>
          <cell r="D1477" t="str">
            <v>RO 4X5</v>
          </cell>
        </row>
        <row r="1478">
          <cell r="C1478">
            <v>9210</v>
          </cell>
          <cell r="D1478" t="str">
            <v/>
          </cell>
        </row>
        <row r="1479">
          <cell r="C1479">
            <v>104211</v>
          </cell>
          <cell r="D1479" t="str">
            <v>FC.IR 1506</v>
          </cell>
        </row>
        <row r="1480">
          <cell r="C1480">
            <v>1422211</v>
          </cell>
          <cell r="D1480" t="str">
            <v>FC 1506     material</v>
          </cell>
        </row>
        <row r="1481">
          <cell r="C1481">
            <v>208211</v>
          </cell>
          <cell r="D1481" t="str">
            <v>FC.OR 1506</v>
          </cell>
        </row>
        <row r="1482">
          <cell r="C1482">
            <v>309211</v>
          </cell>
          <cell r="D1482" t="str">
            <v>FC.NCG 1506</v>
          </cell>
        </row>
        <row r="1483">
          <cell r="C1483">
            <v>511211</v>
          </cell>
          <cell r="D1483" t="str">
            <v/>
          </cell>
        </row>
        <row r="1484">
          <cell r="C1484">
            <v>511927</v>
          </cell>
          <cell r="D1484" t="str">
            <v>RO 2X4</v>
          </cell>
        </row>
        <row r="1485">
          <cell r="C1485">
            <v>913011</v>
          </cell>
          <cell r="D1485" t="str">
            <v>Box 150x40x150</v>
          </cell>
        </row>
        <row r="1486">
          <cell r="C1486">
            <v>1422211.01</v>
          </cell>
          <cell r="D1486" t="str">
            <v>FC 1506 STADELENTH 15 R.M</v>
          </cell>
        </row>
        <row r="1487">
          <cell r="C1487">
            <v>104212</v>
          </cell>
          <cell r="D1487" t="str">
            <v>FC.IR 401507 SPL</v>
          </cell>
        </row>
        <row r="1488">
          <cell r="C1488">
            <v>208212</v>
          </cell>
          <cell r="D1488" t="str">
            <v>FC.OR 401507 SPL</v>
          </cell>
        </row>
        <row r="1489">
          <cell r="C1489">
            <v>511212</v>
          </cell>
          <cell r="D1489" t="str">
            <v>RO 4X4</v>
          </cell>
        </row>
        <row r="1490">
          <cell r="C1490">
            <v>9212</v>
          </cell>
          <cell r="D1490" t="str">
            <v/>
          </cell>
        </row>
        <row r="1491">
          <cell r="C1491">
            <v>104213.01</v>
          </cell>
          <cell r="D1491" t="str">
            <v>NAST.IR 50</v>
          </cell>
        </row>
        <row r="1492">
          <cell r="C1492">
            <v>208213.01</v>
          </cell>
          <cell r="D1492" t="str">
            <v>NAST.OR 50 (RNAST 50)</v>
          </cell>
        </row>
        <row r="1493">
          <cell r="C1493">
            <v>309213.01</v>
          </cell>
          <cell r="D1493" t="str">
            <v>NAST.MCG 50 (RNAST 50)</v>
          </cell>
        </row>
        <row r="1494">
          <cell r="C1494">
            <v>511436</v>
          </cell>
          <cell r="D1494" t="str">
            <v>RO 4X15.8 (CRA)</v>
          </cell>
        </row>
        <row r="1495">
          <cell r="C1495">
            <v>913017</v>
          </cell>
          <cell r="D1495" t="str">
            <v>Box 83X83X105</v>
          </cell>
        </row>
        <row r="1496">
          <cell r="C1496">
            <v>208213.01</v>
          </cell>
          <cell r="D1496" t="str">
            <v>NAST.OR 50 (RNAST 50)</v>
          </cell>
        </row>
        <row r="1497">
          <cell r="C1497">
            <v>309213.01</v>
          </cell>
          <cell r="D1497" t="str">
            <v>NAST.MCG 50 (RNAST 50)</v>
          </cell>
        </row>
        <row r="1498">
          <cell r="C1498">
            <v>511436</v>
          </cell>
          <cell r="D1498" t="str">
            <v>RO 4X15.8 (CRA)</v>
          </cell>
        </row>
        <row r="1499">
          <cell r="C1499">
            <v>104213.01</v>
          </cell>
          <cell r="D1499" t="str">
            <v>NAST.IR 50</v>
          </cell>
        </row>
        <row r="1500">
          <cell r="C1500">
            <v>104214</v>
          </cell>
          <cell r="D1500" t="str">
            <v>J.IR 214                F</v>
          </cell>
        </row>
        <row r="1501">
          <cell r="C1501">
            <v>208214</v>
          </cell>
          <cell r="D1501" t="str">
            <v>R.OR 214                F</v>
          </cell>
        </row>
        <row r="1502">
          <cell r="C1502">
            <v>309214</v>
          </cell>
          <cell r="D1502" t="str">
            <v>J.NCG 214</v>
          </cell>
        </row>
        <row r="1503">
          <cell r="C1503">
            <v>511180</v>
          </cell>
          <cell r="D1503" t="str">
            <v>BALL 3/8"(IS:2898-1976)</v>
          </cell>
        </row>
        <row r="1504">
          <cell r="C1504">
            <v>717214</v>
          </cell>
          <cell r="D1504" t="str">
            <v>J.SEAL 214</v>
          </cell>
        </row>
        <row r="1505">
          <cell r="C1505">
            <v>913023</v>
          </cell>
          <cell r="D1505" t="str">
            <v>Box 75X25X75</v>
          </cell>
        </row>
        <row r="1506">
          <cell r="C1506">
            <v>104215</v>
          </cell>
          <cell r="D1506" t="str">
            <v>CF.STADE 6              F</v>
          </cell>
        </row>
        <row r="1507">
          <cell r="C1507">
            <v>208215</v>
          </cell>
          <cell r="D1507" t="str">
            <v>CF.OR 06                F</v>
          </cell>
        </row>
        <row r="1508">
          <cell r="C1508">
            <v>309215</v>
          </cell>
          <cell r="D1508" t="str">
            <v>CF.MCG 06</v>
          </cell>
        </row>
        <row r="1509">
          <cell r="C1509">
            <v>511699</v>
          </cell>
          <cell r="D1509" t="str">
            <v>RO 1.5X5.8</v>
          </cell>
        </row>
        <row r="1510">
          <cell r="C1510">
            <v>717215</v>
          </cell>
          <cell r="D1510" t="str">
            <v>CF.NUT 06(M6)</v>
          </cell>
        </row>
        <row r="1511">
          <cell r="C1511">
            <v>717215.01</v>
          </cell>
          <cell r="D1511" t="str">
            <v>CF.WASHER 06</v>
          </cell>
        </row>
        <row r="1512">
          <cell r="C1512">
            <v>717215.02</v>
          </cell>
          <cell r="D1512" t="str">
            <v>CF.RUBBER WAWSHER 06</v>
          </cell>
        </row>
        <row r="1513">
          <cell r="C1513">
            <v>104216</v>
          </cell>
          <cell r="D1513" t="str">
            <v>CF.STADE 8              F</v>
          </cell>
        </row>
        <row r="1514">
          <cell r="C1514">
            <v>208216</v>
          </cell>
          <cell r="D1514" t="str">
            <v>CF.OR 08                F</v>
          </cell>
        </row>
        <row r="1515">
          <cell r="C1515">
            <v>309216</v>
          </cell>
          <cell r="D1515" t="str">
            <v>CF.MCG 08</v>
          </cell>
        </row>
        <row r="1516">
          <cell r="C1516">
            <v>511699</v>
          </cell>
          <cell r="D1516" t="str">
            <v>RO 1.5X5.8</v>
          </cell>
        </row>
        <row r="1517">
          <cell r="C1517">
            <v>717216</v>
          </cell>
          <cell r="D1517" t="str">
            <v>CF.NUT 08(M8)</v>
          </cell>
        </row>
        <row r="1518">
          <cell r="C1518">
            <v>717216.01</v>
          </cell>
          <cell r="D1518" t="str">
            <v>CF.WASHER 08</v>
          </cell>
        </row>
        <row r="1519">
          <cell r="C1519">
            <v>717216.02</v>
          </cell>
          <cell r="D1519" t="str">
            <v>CF.RUBBER WASHER 08</v>
          </cell>
        </row>
        <row r="1520">
          <cell r="C1520">
            <v>104217</v>
          </cell>
          <cell r="D1520" t="str">
            <v>CF.STADE 10             F</v>
          </cell>
        </row>
        <row r="1521">
          <cell r="C1521">
            <v>208217</v>
          </cell>
          <cell r="D1521" t="str">
            <v>CF.OR 10                F</v>
          </cell>
        </row>
        <row r="1522">
          <cell r="C1522">
            <v>309217</v>
          </cell>
          <cell r="D1522" t="str">
            <v>CF.MCG 10</v>
          </cell>
        </row>
        <row r="1523">
          <cell r="C1523">
            <v>511217</v>
          </cell>
          <cell r="D1523" t="str">
            <v>RO 1.5X6.8</v>
          </cell>
        </row>
        <row r="1524">
          <cell r="C1524">
            <v>717217</v>
          </cell>
          <cell r="D1524" t="str">
            <v>CF.NUT 10(M10)</v>
          </cell>
        </row>
        <row r="1525">
          <cell r="C1525">
            <v>717217.01</v>
          </cell>
          <cell r="D1525" t="str">
            <v>CF.WASHER 10</v>
          </cell>
        </row>
        <row r="1526">
          <cell r="C1526">
            <v>717217.02</v>
          </cell>
          <cell r="D1526" t="str">
            <v>CF.RUBBER WASHER 10</v>
          </cell>
        </row>
        <row r="1527">
          <cell r="C1527">
            <v>104217</v>
          </cell>
          <cell r="D1527" t="str">
            <v>CF.STADE 10             F</v>
          </cell>
        </row>
        <row r="1528">
          <cell r="C1528">
            <v>208218</v>
          </cell>
          <cell r="D1528" t="str">
            <v>CF.OR 10-1              F</v>
          </cell>
        </row>
        <row r="1529">
          <cell r="C1529">
            <v>309217</v>
          </cell>
          <cell r="D1529" t="str">
            <v>CF.MCG 10</v>
          </cell>
        </row>
        <row r="1530">
          <cell r="C1530">
            <v>511217</v>
          </cell>
          <cell r="D1530" t="str">
            <v>RO 1.5X6.8</v>
          </cell>
        </row>
        <row r="1531">
          <cell r="C1531">
            <v>717217</v>
          </cell>
          <cell r="D1531" t="str">
            <v>CF.NUT 10(M10)</v>
          </cell>
        </row>
        <row r="1532">
          <cell r="C1532">
            <v>717217.01</v>
          </cell>
          <cell r="D1532" t="str">
            <v>CF.WASHER 10</v>
          </cell>
        </row>
        <row r="1533">
          <cell r="C1533">
            <v>717217.02</v>
          </cell>
          <cell r="D1533" t="str">
            <v>CF.RUBBER WASHER 10</v>
          </cell>
        </row>
        <row r="1534">
          <cell r="C1534">
            <v>104219</v>
          </cell>
          <cell r="D1534" t="str">
            <v>CF.STADE 12             F</v>
          </cell>
        </row>
        <row r="1535">
          <cell r="C1535">
            <v>208219</v>
          </cell>
          <cell r="D1535" t="str">
            <v>CF.OR 12                F</v>
          </cell>
        </row>
        <row r="1536">
          <cell r="C1536">
            <v>309219</v>
          </cell>
          <cell r="D1536" t="str">
            <v>CF.MCG 12</v>
          </cell>
        </row>
        <row r="1537">
          <cell r="C1537">
            <v>511090</v>
          </cell>
          <cell r="D1537" t="str">
            <v>RO 2X7.8</v>
          </cell>
        </row>
        <row r="1538">
          <cell r="C1538">
            <v>717219</v>
          </cell>
          <cell r="D1538" t="str">
            <v>CF.NUT 12(M12)</v>
          </cell>
        </row>
        <row r="1539">
          <cell r="C1539">
            <v>717219.01</v>
          </cell>
          <cell r="D1539" t="str">
            <v>CF.WASHER 12</v>
          </cell>
        </row>
        <row r="1540">
          <cell r="C1540">
            <v>717219.02</v>
          </cell>
          <cell r="D1540" t="str">
            <v>CF.RUBBER WASHER 12</v>
          </cell>
        </row>
        <row r="1541">
          <cell r="C1541">
            <v>104219</v>
          </cell>
          <cell r="D1541" t="str">
            <v>CF.STADE 12             F</v>
          </cell>
        </row>
        <row r="1542">
          <cell r="C1542">
            <v>208220</v>
          </cell>
          <cell r="D1542" t="str">
            <v>CF.OR 12-1              F</v>
          </cell>
        </row>
        <row r="1543">
          <cell r="C1543">
            <v>309219</v>
          </cell>
          <cell r="D1543" t="str">
            <v>CF.MCG 12</v>
          </cell>
        </row>
        <row r="1544">
          <cell r="C1544">
            <v>511090</v>
          </cell>
          <cell r="D1544" t="str">
            <v>RO 2X7.8</v>
          </cell>
        </row>
        <row r="1545">
          <cell r="C1545">
            <v>717219</v>
          </cell>
          <cell r="D1545" t="str">
            <v>CF.NUT 12(M12)</v>
          </cell>
        </row>
        <row r="1546">
          <cell r="C1546">
            <v>717219.01</v>
          </cell>
          <cell r="D1546" t="str">
            <v>CF.WASHER 12</v>
          </cell>
        </row>
        <row r="1547">
          <cell r="C1547">
            <v>717219.02</v>
          </cell>
          <cell r="D1547" t="str">
            <v>CF.RUBBER WASHER 12</v>
          </cell>
        </row>
        <row r="1548">
          <cell r="C1548">
            <v>104221</v>
          </cell>
          <cell r="D1548" t="str">
            <v>CF.STADE 16             F</v>
          </cell>
        </row>
        <row r="1549">
          <cell r="C1549">
            <v>208221</v>
          </cell>
          <cell r="D1549" t="str">
            <v>CF.OR 16                F</v>
          </cell>
        </row>
        <row r="1550">
          <cell r="C1550">
            <v>309221</v>
          </cell>
          <cell r="D1550" t="str">
            <v>CF.MCG 16</v>
          </cell>
        </row>
        <row r="1551">
          <cell r="C1551">
            <v>511221</v>
          </cell>
          <cell r="D1551" t="str">
            <v>RO 2X10.8</v>
          </cell>
        </row>
        <row r="1552">
          <cell r="C1552">
            <v>717221</v>
          </cell>
          <cell r="D1552" t="str">
            <v>CF.NUT 16(M16)</v>
          </cell>
        </row>
        <row r="1553">
          <cell r="C1553">
            <v>717221.01</v>
          </cell>
          <cell r="D1553" t="str">
            <v>CF.WASHER 16</v>
          </cell>
        </row>
        <row r="1554">
          <cell r="C1554">
            <v>717221.02</v>
          </cell>
          <cell r="D1554" t="str">
            <v>CF.RUBBER WASHER 16</v>
          </cell>
        </row>
        <row r="1555">
          <cell r="C1555">
            <v>104222</v>
          </cell>
          <cell r="D1555" t="str">
            <v>CF.STADE 18             F</v>
          </cell>
        </row>
        <row r="1556">
          <cell r="C1556">
            <v>208222</v>
          </cell>
          <cell r="D1556" t="str">
            <v>CF.OR 18                F</v>
          </cell>
        </row>
        <row r="1557">
          <cell r="C1557">
            <v>309222</v>
          </cell>
          <cell r="D1557" t="str">
            <v>CF.MCG 18</v>
          </cell>
        </row>
        <row r="1558">
          <cell r="C1558">
            <v>511807.01</v>
          </cell>
          <cell r="D1558" t="str">
            <v>RO 2X12.8</v>
          </cell>
        </row>
        <row r="1559">
          <cell r="C1559">
            <v>717222</v>
          </cell>
          <cell r="D1559" t="str">
            <v>CF.NUT 18(M18)</v>
          </cell>
        </row>
        <row r="1560">
          <cell r="C1560">
            <v>717222.01</v>
          </cell>
          <cell r="D1560" t="str">
            <v>CF.WASHER 18</v>
          </cell>
        </row>
        <row r="1561">
          <cell r="C1561">
            <v>717222.02</v>
          </cell>
          <cell r="D1561" t="str">
            <v>CF.RUBBER WASHER 18</v>
          </cell>
        </row>
        <row r="1562">
          <cell r="C1562">
            <v>1422223</v>
          </cell>
          <cell r="D1562" t="str">
            <v>SR90JOCKEYPULLOY material</v>
          </cell>
        </row>
        <row r="1563">
          <cell r="C1563">
            <v>1422223.01</v>
          </cell>
          <cell r="D1563" t="str">
            <v>SR90 BEARING material</v>
          </cell>
        </row>
        <row r="1564">
          <cell r="C1564">
            <v>1422223.02</v>
          </cell>
          <cell r="D1564" t="str">
            <v>SR90 BEARING WITH CUP mat</v>
          </cell>
        </row>
        <row r="1565">
          <cell r="C1565">
            <v>1422224</v>
          </cell>
          <cell r="D1565" t="str">
            <v>SR 6JOCKEYPULLOY material</v>
          </cell>
        </row>
        <row r="1566">
          <cell r="C1566">
            <v>1422225</v>
          </cell>
          <cell r="D1566" t="str">
            <v>SR 7JOCKEYPULLOY material</v>
          </cell>
        </row>
        <row r="1567">
          <cell r="C1567">
            <v>913015</v>
          </cell>
          <cell r="D1567" t="str">
            <v>Box 75X40X75</v>
          </cell>
        </row>
        <row r="1568">
          <cell r="C1568">
            <v>717225.01</v>
          </cell>
          <cell r="D1568" t="str">
            <v>SR 7 FORK BOLT/WASHER</v>
          </cell>
        </row>
        <row r="1569">
          <cell r="C1569">
            <v>717225.02</v>
          </cell>
          <cell r="D1569" t="str">
            <v>SR 7 FORK NUT</v>
          </cell>
        </row>
        <row r="1570">
          <cell r="C1570">
            <v>717225.04</v>
          </cell>
          <cell r="D1570" t="str">
            <v>SR 7 FORK  SPRING WASHER</v>
          </cell>
        </row>
        <row r="1571">
          <cell r="C1571">
            <v>1422226</v>
          </cell>
          <cell r="D1571" t="str">
            <v>BSR 72JOCKEYPULLOY materi</v>
          </cell>
        </row>
        <row r="1572">
          <cell r="C1572">
            <v>1422227</v>
          </cell>
          <cell r="D1572" t="str">
            <v>SR 71JOCKEYPULLOY materi</v>
          </cell>
        </row>
        <row r="1573">
          <cell r="C1573">
            <v>913015</v>
          </cell>
          <cell r="D1573" t="str">
            <v>Box 75X40X75</v>
          </cell>
        </row>
        <row r="1574">
          <cell r="C1574">
            <v>1422228</v>
          </cell>
          <cell r="D1574" t="str">
            <v>BSR 71 JOCKEYPULLEY Mater</v>
          </cell>
        </row>
        <row r="1575">
          <cell r="C1575">
            <v>104229</v>
          </cell>
          <cell r="D1575" t="str">
            <v>W 324134                F</v>
          </cell>
        </row>
        <row r="1576">
          <cell r="C1576">
            <v>1422229</v>
          </cell>
          <cell r="D1576" t="str">
            <v>W 324134  ROUND MATERIAL</v>
          </cell>
        </row>
        <row r="1577">
          <cell r="C1577">
            <v>104230</v>
          </cell>
          <cell r="D1577" t="str">
            <v>W 324132                F</v>
          </cell>
        </row>
        <row r="1578">
          <cell r="C1578">
            <v>104231</v>
          </cell>
          <cell r="D1578" t="str">
            <v>W 394122                F</v>
          </cell>
        </row>
        <row r="1579">
          <cell r="C1579">
            <v>208232</v>
          </cell>
          <cell r="D1579" t="str">
            <v>OR J 232(9904)          F</v>
          </cell>
        </row>
        <row r="1580">
          <cell r="C1580">
            <v>104232</v>
          </cell>
          <cell r="D1580" t="str">
            <v>IR J 232(9904)          F</v>
          </cell>
        </row>
        <row r="1581">
          <cell r="C1581">
            <v>208232</v>
          </cell>
          <cell r="D1581" t="str">
            <v>OR J 232(9904)          F</v>
          </cell>
        </row>
        <row r="1582">
          <cell r="C1582">
            <v>104232</v>
          </cell>
          <cell r="D1582" t="str">
            <v>IR J 232(9904)          F</v>
          </cell>
        </row>
        <row r="1583">
          <cell r="C1583">
            <v>208233</v>
          </cell>
          <cell r="D1583" t="str">
            <v>OR J 233(9903)          F</v>
          </cell>
        </row>
        <row r="1584">
          <cell r="C1584">
            <v>104233</v>
          </cell>
          <cell r="D1584" t="str">
            <v>IR J 233(9903)          F</v>
          </cell>
        </row>
        <row r="1585">
          <cell r="C1585">
            <v>208233</v>
          </cell>
          <cell r="D1585" t="str">
            <v>OR J 233(9903)          F</v>
          </cell>
        </row>
        <row r="1586">
          <cell r="C1586">
            <v>104233</v>
          </cell>
          <cell r="D1586" t="str">
            <v>IR J 233(9903)          F</v>
          </cell>
        </row>
        <row r="1587">
          <cell r="C1587">
            <v>104234</v>
          </cell>
          <cell r="D1587" t="str">
            <v>BALL.PHS 30             F</v>
          </cell>
        </row>
        <row r="1588">
          <cell r="C1588">
            <v>1224234.01</v>
          </cell>
          <cell r="D1588" t="str">
            <v>FORGING STADE.PHS 30</v>
          </cell>
        </row>
        <row r="1589">
          <cell r="C1589">
            <v>208234</v>
          </cell>
          <cell r="D1589" t="str">
            <v>STADE.PHS 30            F</v>
          </cell>
        </row>
        <row r="1590">
          <cell r="C1590">
            <v>612234</v>
          </cell>
          <cell r="D1590" t="str">
            <v>NIPPLE PHS 30</v>
          </cell>
        </row>
        <row r="1591">
          <cell r="C1591">
            <v>717234</v>
          </cell>
          <cell r="D1591" t="str">
            <v>BRASS SLIVE PHS 30</v>
          </cell>
        </row>
        <row r="1592">
          <cell r="C1592">
            <v>104234</v>
          </cell>
          <cell r="D1592" t="str">
            <v>BALL.PHS 30             F</v>
          </cell>
        </row>
        <row r="1593">
          <cell r="C1593">
            <v>1224234.01</v>
          </cell>
          <cell r="D1593" t="str">
            <v>FORGING STADE.PHS 30</v>
          </cell>
        </row>
        <row r="1594">
          <cell r="C1594">
            <v>208234</v>
          </cell>
          <cell r="D1594" t="str">
            <v>STADE.PHS 30            F</v>
          </cell>
        </row>
        <row r="1595">
          <cell r="C1595">
            <v>612234</v>
          </cell>
          <cell r="D1595" t="str">
            <v>NIPPLE PHS 30</v>
          </cell>
        </row>
        <row r="1596">
          <cell r="C1596">
            <v>717234</v>
          </cell>
          <cell r="D1596" t="str">
            <v>BRASS SLIVE PHS 30</v>
          </cell>
        </row>
        <row r="1597">
          <cell r="C1597">
            <v>104235</v>
          </cell>
          <cell r="D1597" t="str">
            <v>VCF.STADE 4 1/2         F</v>
          </cell>
        </row>
        <row r="1598">
          <cell r="C1598">
            <v>208235</v>
          </cell>
          <cell r="D1598" t="str">
            <v>VCF.OR 4 1/2            F</v>
          </cell>
        </row>
        <row r="1599">
          <cell r="C1599">
            <v>309235</v>
          </cell>
          <cell r="D1599" t="str">
            <v>BEARING LM67048/10</v>
          </cell>
        </row>
        <row r="1600">
          <cell r="C1600">
            <v>717235</v>
          </cell>
          <cell r="D1600" t="str">
            <v>VCF.CUTW DIA(61.5) 4 1/2</v>
          </cell>
        </row>
        <row r="1601">
          <cell r="C1601">
            <v>717235.01</v>
          </cell>
          <cell r="D1601" t="str">
            <v>VCF.CUTW DIA(32.2) 4 1/2</v>
          </cell>
        </row>
        <row r="1602">
          <cell r="C1602">
            <v>717235.02</v>
          </cell>
          <cell r="D1602" t="str">
            <v>VCF.W DIA(44.45)4 1/2</v>
          </cell>
        </row>
        <row r="1603">
          <cell r="C1603">
            <v>717235.03</v>
          </cell>
          <cell r="D1603" t="str">
            <v>VCF.CUPW DIA(64.250)4 1/2</v>
          </cell>
        </row>
        <row r="1604">
          <cell r="C1604">
            <v>717235.04</v>
          </cell>
          <cell r="D1604" t="str">
            <v>VCF.RUBBER SEAL4 1/2</v>
          </cell>
        </row>
        <row r="1605">
          <cell r="C1605">
            <v>913032</v>
          </cell>
          <cell r="D1605" t="str">
            <v>BOX 139X139X121(VCI 41/2)</v>
          </cell>
        </row>
        <row r="1606">
          <cell r="C1606">
            <v>104236</v>
          </cell>
          <cell r="D1606" t="str">
            <v>IR.D07026 REV.03        F</v>
          </cell>
        </row>
        <row r="1607">
          <cell r="C1607">
            <v>208237</v>
          </cell>
          <cell r="D1607" t="str">
            <v>OR.D0147/D07026         F</v>
          </cell>
        </row>
        <row r="1608">
          <cell r="C1608">
            <v>309237</v>
          </cell>
          <cell r="D1608" t="str">
            <v>NCG.D01470/D07026</v>
          </cell>
        </row>
        <row r="1609">
          <cell r="C1609">
            <v>511237</v>
          </cell>
          <cell r="D1609" t="str">
            <v>BALL 17/32" (IS:2898-1976</v>
          </cell>
        </row>
        <row r="1610">
          <cell r="C1610">
            <v>5221201.0599999996</v>
          </cell>
          <cell r="D1610" t="str">
            <v>O G PETAMO GY 193(KLUBER)</v>
          </cell>
        </row>
        <row r="1611">
          <cell r="C1611">
            <v>717236</v>
          </cell>
          <cell r="D1611" t="str">
            <v>SEAL.FKM D07026</v>
          </cell>
        </row>
        <row r="1612">
          <cell r="C1612">
            <v>913064</v>
          </cell>
          <cell r="D1612" t="str">
            <v>BOX 131X45mm 3ply</v>
          </cell>
        </row>
        <row r="1613">
          <cell r="C1613">
            <v>104236.01</v>
          </cell>
          <cell r="D1613" t="str">
            <v>IR.D07026 REV.02        G</v>
          </cell>
        </row>
        <row r="1614">
          <cell r="C1614">
            <v>208237</v>
          </cell>
          <cell r="D1614" t="str">
            <v>OR.D0147/D07026         F</v>
          </cell>
        </row>
        <row r="1615">
          <cell r="C1615">
            <v>309237</v>
          </cell>
          <cell r="D1615" t="str">
            <v>NCG.D01470/D07026</v>
          </cell>
        </row>
        <row r="1616">
          <cell r="C1616">
            <v>511237</v>
          </cell>
          <cell r="D1616" t="str">
            <v>BALL 17/32" (IS:2898-1976</v>
          </cell>
        </row>
        <row r="1617">
          <cell r="C1617">
            <v>5221201.0599999996</v>
          </cell>
          <cell r="D1617" t="str">
            <v>O G PETAMO GY 193(KLUBER)</v>
          </cell>
        </row>
        <row r="1618">
          <cell r="C1618">
            <v>717236</v>
          </cell>
          <cell r="D1618" t="str">
            <v>SEAL.FKM D07026</v>
          </cell>
        </row>
        <row r="1619">
          <cell r="C1619">
            <v>913064</v>
          </cell>
          <cell r="D1619" t="str">
            <v>BOX 131X45mm 3ply</v>
          </cell>
        </row>
        <row r="1620">
          <cell r="C1620">
            <v>104237</v>
          </cell>
          <cell r="D1620" t="str">
            <v>IR.D01470               F</v>
          </cell>
        </row>
        <row r="1621">
          <cell r="C1621">
            <v>208237</v>
          </cell>
          <cell r="D1621" t="str">
            <v>OR.D0147/D07026         F</v>
          </cell>
        </row>
        <row r="1622">
          <cell r="C1622">
            <v>309237</v>
          </cell>
          <cell r="D1622" t="str">
            <v>NCG.D01470/D07026</v>
          </cell>
        </row>
        <row r="1623">
          <cell r="C1623">
            <v>511237</v>
          </cell>
          <cell r="D1623" t="str">
            <v>BALL 17/32" (IS:2898-1976</v>
          </cell>
        </row>
        <row r="1624">
          <cell r="C1624">
            <v>5221201.0599999996</v>
          </cell>
          <cell r="D1624" t="str">
            <v>O G PETAMO GY 193(KLUBER)</v>
          </cell>
        </row>
        <row r="1625">
          <cell r="C1625">
            <v>717237</v>
          </cell>
          <cell r="D1625" t="str">
            <v>SEAL.NBR D01470</v>
          </cell>
        </row>
        <row r="1626">
          <cell r="C1626">
            <v>913065</v>
          </cell>
          <cell r="D1626" t="str">
            <v>BOX 151X50mm 3ply</v>
          </cell>
        </row>
        <row r="1627">
          <cell r="C1627">
            <v>104237</v>
          </cell>
          <cell r="D1627" t="str">
            <v>IR.D01470               F</v>
          </cell>
        </row>
        <row r="1628">
          <cell r="C1628">
            <v>208237</v>
          </cell>
          <cell r="D1628" t="str">
            <v>OR.D0147/D07026         F</v>
          </cell>
        </row>
        <row r="1629">
          <cell r="C1629">
            <v>309237</v>
          </cell>
          <cell r="D1629" t="str">
            <v>NCG.D01470/D07026</v>
          </cell>
        </row>
        <row r="1630">
          <cell r="C1630">
            <v>511237</v>
          </cell>
          <cell r="D1630" t="str">
            <v>BALL 17/32" (IS:2898-1976</v>
          </cell>
        </row>
        <row r="1631">
          <cell r="C1631">
            <v>5221201.0599999996</v>
          </cell>
          <cell r="D1631" t="str">
            <v>O G PETAMO GY 193(KLUBER)</v>
          </cell>
        </row>
        <row r="1632">
          <cell r="C1632">
            <v>717237</v>
          </cell>
          <cell r="D1632" t="str">
            <v>SEAL.NBR D01470</v>
          </cell>
        </row>
        <row r="1633">
          <cell r="C1633">
            <v>913065</v>
          </cell>
          <cell r="D1633" t="str">
            <v>BOX 151X50mm 3ply</v>
          </cell>
        </row>
        <row r="1634">
          <cell r="C1634">
            <v>104238</v>
          </cell>
          <cell r="D1634" t="str">
            <v>J.IR 238                F</v>
          </cell>
        </row>
        <row r="1635">
          <cell r="C1635">
            <v>208238</v>
          </cell>
          <cell r="D1635" t="str">
            <v>J.OR 238                F</v>
          </cell>
        </row>
        <row r="1636">
          <cell r="C1636">
            <v>309238</v>
          </cell>
          <cell r="D1636" t="str">
            <v>J.MCG 238</v>
          </cell>
        </row>
        <row r="1637">
          <cell r="C1637">
            <v>511197</v>
          </cell>
          <cell r="D1637" t="str">
            <v>BALL 9/32"</v>
          </cell>
        </row>
        <row r="1638">
          <cell r="C1638">
            <v>612238</v>
          </cell>
          <cell r="D1638" t="str">
            <v>GRUB SCRRES UNF 1/4X1/4</v>
          </cell>
        </row>
        <row r="1639">
          <cell r="C1639">
            <v>717238</v>
          </cell>
          <cell r="D1639" t="str">
            <v>J.SEAL 238</v>
          </cell>
        </row>
        <row r="1640">
          <cell r="C1640">
            <v>717238.01</v>
          </cell>
          <cell r="D1640" t="str">
            <v>ECCENTRIC COLLAR J 238</v>
          </cell>
        </row>
        <row r="1641">
          <cell r="C1641">
            <v>104239</v>
          </cell>
          <cell r="D1641" t="str">
            <v>J.IR 239(GB 41073)      F</v>
          </cell>
        </row>
        <row r="1642">
          <cell r="C1642">
            <v>208239</v>
          </cell>
          <cell r="D1642" t="str">
            <v>J.OR 239(GB 41073)      F</v>
          </cell>
        </row>
        <row r="1643">
          <cell r="C1643">
            <v>309239</v>
          </cell>
          <cell r="D1643" t="str">
            <v>J.NCG 239(GB 41073)</v>
          </cell>
        </row>
        <row r="1644">
          <cell r="C1644">
            <v>511192</v>
          </cell>
          <cell r="D1644" t="str">
            <v>BALL 1/2" (IS:2898-1976)</v>
          </cell>
        </row>
        <row r="1645">
          <cell r="C1645">
            <v>717239</v>
          </cell>
          <cell r="D1645" t="str">
            <v>WASHER GB 41073</v>
          </cell>
        </row>
        <row r="1646">
          <cell r="C1646">
            <v>104207</v>
          </cell>
          <cell r="D1646" t="str">
            <v>CF.STADE 20</v>
          </cell>
        </row>
        <row r="1647">
          <cell r="C1647">
            <v>208240</v>
          </cell>
          <cell r="D1647" t="str">
            <v>CF.OR 20-1              F</v>
          </cell>
        </row>
        <row r="1648">
          <cell r="C1648">
            <v>309207</v>
          </cell>
          <cell r="D1648" t="str">
            <v>CF.MCG 20</v>
          </cell>
        </row>
        <row r="1649">
          <cell r="C1649">
            <v>511481</v>
          </cell>
          <cell r="D1649" t="str">
            <v>RO 2.5X14.8</v>
          </cell>
        </row>
        <row r="1650">
          <cell r="C1650">
            <v>717207</v>
          </cell>
          <cell r="D1650" t="str">
            <v>CF.NUT 20</v>
          </cell>
        </row>
        <row r="1651">
          <cell r="C1651">
            <v>717207.01</v>
          </cell>
          <cell r="D1651" t="str">
            <v>CF.WASHER 20</v>
          </cell>
        </row>
        <row r="1652">
          <cell r="C1652">
            <v>717207.02</v>
          </cell>
          <cell r="D1652" t="str">
            <v>CF.RUBBER RING 20</v>
          </cell>
        </row>
        <row r="1653">
          <cell r="C1653">
            <v>104241</v>
          </cell>
          <cell r="D1653" t="str">
            <v>CF.STADE 24             F</v>
          </cell>
        </row>
        <row r="1654">
          <cell r="C1654">
            <v>208241</v>
          </cell>
          <cell r="D1654" t="str">
            <v>CF.OR 24                F</v>
          </cell>
        </row>
        <row r="1655">
          <cell r="C1655">
            <v>309241</v>
          </cell>
          <cell r="D1655" t="str">
            <v>CF.MCG 24</v>
          </cell>
        </row>
        <row r="1656">
          <cell r="C1656">
            <v>511241</v>
          </cell>
          <cell r="D1656" t="str">
            <v>RO 3X18.8</v>
          </cell>
        </row>
        <row r="1657">
          <cell r="C1657">
            <v>717241</v>
          </cell>
          <cell r="D1657" t="str">
            <v>CF.NUT 24(M24)</v>
          </cell>
        </row>
        <row r="1658">
          <cell r="C1658">
            <v>717241.01</v>
          </cell>
          <cell r="D1658" t="str">
            <v>CF.WASHER 24</v>
          </cell>
        </row>
        <row r="1659">
          <cell r="C1659">
            <v>717241.02</v>
          </cell>
          <cell r="D1659" t="str">
            <v>CF.RUBBER WASHER 24</v>
          </cell>
        </row>
        <row r="1660">
          <cell r="C1660">
            <v>104241</v>
          </cell>
          <cell r="D1660" t="str">
            <v>CF.STADE 24             F</v>
          </cell>
        </row>
        <row r="1661">
          <cell r="C1661">
            <v>208242</v>
          </cell>
          <cell r="D1661" t="str">
            <v>CF.OR 24-1              F</v>
          </cell>
        </row>
        <row r="1662">
          <cell r="C1662">
            <v>309241</v>
          </cell>
          <cell r="D1662" t="str">
            <v>CF.MCG 24</v>
          </cell>
        </row>
        <row r="1663">
          <cell r="C1663">
            <v>511241</v>
          </cell>
          <cell r="D1663" t="str">
            <v>RO 3X18.8</v>
          </cell>
        </row>
        <row r="1664">
          <cell r="C1664">
            <v>717241</v>
          </cell>
          <cell r="D1664" t="str">
            <v>CF.NUT 24(M24)</v>
          </cell>
        </row>
        <row r="1665">
          <cell r="C1665">
            <v>717241.01</v>
          </cell>
          <cell r="D1665" t="str">
            <v>CF.WASHER 24</v>
          </cell>
        </row>
        <row r="1666">
          <cell r="C1666">
            <v>717241.02</v>
          </cell>
          <cell r="D1666" t="str">
            <v>CF.RUBBER WASHER 24</v>
          </cell>
        </row>
        <row r="1667">
          <cell r="C1667">
            <v>104243</v>
          </cell>
          <cell r="D1667" t="str">
            <v>CF.STADE 30             F</v>
          </cell>
        </row>
        <row r="1668">
          <cell r="C1668">
            <v>208243</v>
          </cell>
          <cell r="D1668" t="str">
            <v>CF.OR 30                F</v>
          </cell>
        </row>
        <row r="1669">
          <cell r="C1669">
            <v>309243</v>
          </cell>
          <cell r="D1669" t="str">
            <v>CF.MCG 30</v>
          </cell>
        </row>
        <row r="1670">
          <cell r="C1670">
            <v>511243</v>
          </cell>
          <cell r="D1670" t="str">
            <v>RO 3.5X23.8</v>
          </cell>
        </row>
        <row r="1671">
          <cell r="C1671">
            <v>717243</v>
          </cell>
          <cell r="D1671" t="str">
            <v>CF.NUT 30(M30)</v>
          </cell>
        </row>
        <row r="1672">
          <cell r="C1672">
            <v>717243.01</v>
          </cell>
          <cell r="D1672" t="str">
            <v>CF.WASHER 30</v>
          </cell>
        </row>
        <row r="1673">
          <cell r="C1673">
            <v>717243.02</v>
          </cell>
          <cell r="D1673" t="str">
            <v>CF.RUBBER WASHER 30</v>
          </cell>
        </row>
        <row r="1674">
          <cell r="C1674">
            <v>104243</v>
          </cell>
          <cell r="D1674" t="str">
            <v>CF.STADE 30             F</v>
          </cell>
        </row>
        <row r="1675">
          <cell r="C1675">
            <v>208244</v>
          </cell>
          <cell r="D1675" t="str">
            <v>CF.OR 30-1              F</v>
          </cell>
        </row>
        <row r="1676">
          <cell r="C1676">
            <v>309243</v>
          </cell>
          <cell r="D1676" t="str">
            <v>CF.MCG 30</v>
          </cell>
        </row>
        <row r="1677">
          <cell r="C1677">
            <v>511243</v>
          </cell>
          <cell r="D1677" t="str">
            <v>RO 3.5X23.8</v>
          </cell>
        </row>
        <row r="1678">
          <cell r="C1678">
            <v>717243</v>
          </cell>
          <cell r="D1678" t="str">
            <v>CF.NUT 30(M30)</v>
          </cell>
        </row>
        <row r="1679">
          <cell r="C1679">
            <v>717243.01</v>
          </cell>
          <cell r="D1679" t="str">
            <v>CF.WASHER 30</v>
          </cell>
        </row>
        <row r="1680">
          <cell r="C1680">
            <v>717243.02</v>
          </cell>
          <cell r="D1680" t="str">
            <v>CF.RUBBER WASHER 30</v>
          </cell>
        </row>
        <row r="1681">
          <cell r="C1681">
            <v>104245</v>
          </cell>
          <cell r="D1681" t="str">
            <v>IR.207 RR2              F</v>
          </cell>
        </row>
        <row r="1682">
          <cell r="C1682">
            <v>208245</v>
          </cell>
          <cell r="D1682" t="str">
            <v>OR.207 RR2              F</v>
          </cell>
        </row>
        <row r="1683">
          <cell r="C1683">
            <v>309245</v>
          </cell>
          <cell r="D1683" t="str">
            <v>NCG.207 YY2</v>
          </cell>
        </row>
        <row r="1684">
          <cell r="C1684">
            <v>511193</v>
          </cell>
          <cell r="D1684" t="str">
            <v>BALL 7/16"(IS:2898-1976)</v>
          </cell>
        </row>
        <row r="1685">
          <cell r="C1685">
            <v>5221247</v>
          </cell>
          <cell r="D1685" t="str">
            <v>O G SHELL GADUS S2 V100 3</v>
          </cell>
        </row>
        <row r="1686">
          <cell r="C1686">
            <v>5221247.01</v>
          </cell>
          <cell r="D1686" t="str">
            <v/>
          </cell>
        </row>
        <row r="1687">
          <cell r="C1687">
            <v>717245</v>
          </cell>
          <cell r="D1687" t="str">
            <v>SEAL.207 RR2</v>
          </cell>
        </row>
        <row r="1688">
          <cell r="C1688">
            <v>913023</v>
          </cell>
          <cell r="D1688" t="str">
            <v>Box 75X25X75</v>
          </cell>
        </row>
        <row r="1689">
          <cell r="C1689">
            <v>104246</v>
          </cell>
          <cell r="D1689" t="str">
            <v>IR. 208 YY2             F</v>
          </cell>
        </row>
        <row r="1690">
          <cell r="C1690">
            <v>208246</v>
          </cell>
          <cell r="D1690" t="str">
            <v>OR. 208 YY2             F</v>
          </cell>
        </row>
        <row r="1691">
          <cell r="C1691">
            <v>309246</v>
          </cell>
          <cell r="D1691" t="str">
            <v>NCG.208 YY2</v>
          </cell>
        </row>
        <row r="1692">
          <cell r="C1692">
            <v>511192</v>
          </cell>
          <cell r="D1692" t="str">
            <v>BALL 1/2" (IS:2898-1976)</v>
          </cell>
        </row>
        <row r="1693">
          <cell r="C1693">
            <v>5221247</v>
          </cell>
          <cell r="D1693" t="str">
            <v>O G SHELL GADUS S2 V100 3</v>
          </cell>
        </row>
        <row r="1694">
          <cell r="C1694">
            <v>5221247.01</v>
          </cell>
          <cell r="D1694" t="str">
            <v/>
          </cell>
        </row>
        <row r="1695">
          <cell r="C1695">
            <v>717246</v>
          </cell>
          <cell r="D1695" t="str">
            <v>SEAL.208 YY2</v>
          </cell>
        </row>
        <row r="1696">
          <cell r="C1696">
            <v>913024</v>
          </cell>
          <cell r="D1696" t="str">
            <v>Box 85X25X85</v>
          </cell>
        </row>
        <row r="1697">
          <cell r="C1697">
            <v>104246.01</v>
          </cell>
          <cell r="D1697" t="str">
            <v>IR. 408021              F</v>
          </cell>
        </row>
        <row r="1698">
          <cell r="C1698">
            <v>208246</v>
          </cell>
          <cell r="D1698" t="str">
            <v>OR. 208 YY2             F</v>
          </cell>
        </row>
        <row r="1699">
          <cell r="C1699">
            <v>309246</v>
          </cell>
          <cell r="D1699" t="str">
            <v>NCG.208 YY2</v>
          </cell>
        </row>
        <row r="1700">
          <cell r="C1700">
            <v>511192</v>
          </cell>
          <cell r="D1700" t="str">
            <v>BALL 1/2" (IS:2898-1976)</v>
          </cell>
        </row>
        <row r="1701">
          <cell r="C1701">
            <v>5221247</v>
          </cell>
          <cell r="D1701" t="str">
            <v>O G SHELL GADUS S2 V100 3</v>
          </cell>
        </row>
        <row r="1702">
          <cell r="C1702">
            <v>5221247.01</v>
          </cell>
          <cell r="D1702" t="str">
            <v/>
          </cell>
        </row>
        <row r="1703">
          <cell r="C1703">
            <v>717246</v>
          </cell>
          <cell r="D1703" t="str">
            <v>SEAL.208 YY2</v>
          </cell>
        </row>
        <row r="1704">
          <cell r="C1704">
            <v>913024</v>
          </cell>
          <cell r="D1704" t="str">
            <v>Box 85X25X85</v>
          </cell>
        </row>
        <row r="1705">
          <cell r="C1705">
            <v>104247</v>
          </cell>
          <cell r="D1705" t="str">
            <v>IR.209 YY2              F</v>
          </cell>
        </row>
        <row r="1706">
          <cell r="C1706">
            <v>208247</v>
          </cell>
          <cell r="D1706" t="str">
            <v>OR.209 YY2              F</v>
          </cell>
        </row>
        <row r="1707">
          <cell r="C1707">
            <v>309247</v>
          </cell>
          <cell r="D1707" t="str">
            <v>NCG 209 YY</v>
          </cell>
        </row>
        <row r="1708">
          <cell r="C1708">
            <v>511192</v>
          </cell>
          <cell r="D1708" t="str">
            <v>BALL 1/2" (IS:2898-1976)</v>
          </cell>
        </row>
        <row r="1709">
          <cell r="C1709">
            <v>5221247</v>
          </cell>
          <cell r="D1709" t="str">
            <v>O G SHELL GADUS S2 V100 3</v>
          </cell>
        </row>
        <row r="1710">
          <cell r="C1710">
            <v>5221247.01</v>
          </cell>
          <cell r="D1710" t="str">
            <v/>
          </cell>
        </row>
        <row r="1711">
          <cell r="C1711">
            <v>717247</v>
          </cell>
          <cell r="D1711" t="str">
            <v>SEAL.209 YY2</v>
          </cell>
        </row>
        <row r="1712">
          <cell r="C1712">
            <v>913024</v>
          </cell>
          <cell r="D1712" t="str">
            <v>Box 85X25X85</v>
          </cell>
        </row>
        <row r="1713">
          <cell r="C1713">
            <v>913026</v>
          </cell>
          <cell r="D1713" t="str">
            <v>Box 95X25X95</v>
          </cell>
        </row>
        <row r="1714">
          <cell r="C1714">
            <v>208248</v>
          </cell>
          <cell r="D1714" t="str">
            <v>OW-BDA-4002             F</v>
          </cell>
        </row>
        <row r="1715">
          <cell r="C1715">
            <v>104248</v>
          </cell>
          <cell r="D1715" t="str">
            <v>IW-BDA-4002             F</v>
          </cell>
        </row>
        <row r="1716">
          <cell r="C1716">
            <v>208249</v>
          </cell>
          <cell r="D1716" t="str">
            <v>OW-BDA-4003             F</v>
          </cell>
        </row>
        <row r="1717">
          <cell r="C1717">
            <v>104249</v>
          </cell>
          <cell r="D1717" t="str">
            <v>IW-BDA-4003             F</v>
          </cell>
        </row>
        <row r="1718">
          <cell r="C1718">
            <v>208250</v>
          </cell>
          <cell r="D1718" t="str">
            <v>324015 (BALL CUP SMALL) F</v>
          </cell>
        </row>
        <row r="1719">
          <cell r="C1719">
            <v>208250.01</v>
          </cell>
          <cell r="D1719" t="str">
            <v>324019 (BALL CUP BIG)   F</v>
          </cell>
        </row>
        <row r="1720">
          <cell r="C1720">
            <v>4251.01</v>
          </cell>
          <cell r="D1720" t="str">
            <v/>
          </cell>
        </row>
        <row r="1721">
          <cell r="C1721">
            <v>1422252</v>
          </cell>
          <cell r="D1721" t="str">
            <v>6208 MATERIAL</v>
          </cell>
        </row>
        <row r="1722">
          <cell r="C1722">
            <v>913029</v>
          </cell>
          <cell r="D1722" t="str">
            <v>BOX 85X20X85</v>
          </cell>
        </row>
        <row r="1723">
          <cell r="C1723">
            <v>1422252</v>
          </cell>
          <cell r="D1723" t="str">
            <v>6208 MATERIAL</v>
          </cell>
        </row>
        <row r="1724">
          <cell r="C1724">
            <v>1422252.08</v>
          </cell>
          <cell r="D1724" t="str">
            <v>6208 2RS MATERIA</v>
          </cell>
        </row>
        <row r="1725">
          <cell r="C1725">
            <v>1422252.09</v>
          </cell>
          <cell r="D1725" t="str">
            <v>6209 2RS MATERIAL</v>
          </cell>
        </row>
        <row r="1726">
          <cell r="C1726">
            <v>1422252.1</v>
          </cell>
          <cell r="D1726" t="str">
            <v>6208 ZZ NR MATERIAL</v>
          </cell>
        </row>
        <row r="1727">
          <cell r="C1727">
            <v>1422252</v>
          </cell>
          <cell r="D1727" t="str">
            <v>6208 MATERIAL</v>
          </cell>
        </row>
        <row r="1728">
          <cell r="C1728">
            <v>1422252.08</v>
          </cell>
          <cell r="D1728" t="str">
            <v>6208 2RS MATERIA</v>
          </cell>
        </row>
        <row r="1729">
          <cell r="C1729">
            <v>1422253</v>
          </cell>
          <cell r="D1729" t="str">
            <v>6309 Material</v>
          </cell>
        </row>
        <row r="1730">
          <cell r="C1730">
            <v>913027</v>
          </cell>
          <cell r="D1730" t="str">
            <v>Box 105X30X105</v>
          </cell>
        </row>
        <row r="1731">
          <cell r="C1731">
            <v>1422253</v>
          </cell>
          <cell r="D1731" t="str">
            <v>6309 Material</v>
          </cell>
        </row>
        <row r="1732">
          <cell r="C1732">
            <v>1422253.08</v>
          </cell>
          <cell r="D1732" t="str">
            <v>6309 2RS MATERIAL</v>
          </cell>
        </row>
        <row r="1733">
          <cell r="C1733">
            <v>1422253.08</v>
          </cell>
          <cell r="D1733" t="str">
            <v>6309 2RS MATERIAL</v>
          </cell>
        </row>
        <row r="1734">
          <cell r="C1734">
            <v>1422253.08</v>
          </cell>
          <cell r="D1734" t="str">
            <v>6309 2RS MATERIAL</v>
          </cell>
        </row>
        <row r="1735">
          <cell r="C1735">
            <v>1422253.1</v>
          </cell>
          <cell r="D1735" t="str">
            <v>6309 ZZ MATERIAL</v>
          </cell>
        </row>
        <row r="1736">
          <cell r="C1736">
            <v>1422254</v>
          </cell>
          <cell r="D1736" t="str">
            <v>6011  Material</v>
          </cell>
        </row>
        <row r="1737">
          <cell r="C1737">
            <v>913030</v>
          </cell>
          <cell r="D1737" t="str">
            <v>BOX 95X20X95</v>
          </cell>
        </row>
        <row r="1738">
          <cell r="C1738">
            <v>1400254.08</v>
          </cell>
          <cell r="D1738" t="str">
            <v>6011 2RS MATERIAL</v>
          </cell>
        </row>
        <row r="1739">
          <cell r="C1739">
            <v>1400254.08</v>
          </cell>
          <cell r="D1739" t="str">
            <v>6011 2RS MATERIAL</v>
          </cell>
        </row>
        <row r="1740">
          <cell r="C1740">
            <v>1422254</v>
          </cell>
          <cell r="D1740" t="str">
            <v>6011  Material</v>
          </cell>
        </row>
        <row r="1741">
          <cell r="C1741">
            <v>1400254.08</v>
          </cell>
          <cell r="D1741" t="str">
            <v>6011 2RS MATERIAL</v>
          </cell>
        </row>
        <row r="1742">
          <cell r="C1742">
            <v>1422255</v>
          </cell>
          <cell r="D1742" t="str">
            <v>6007  Material</v>
          </cell>
        </row>
        <row r="1743">
          <cell r="C1743">
            <v>913031</v>
          </cell>
          <cell r="D1743" t="str">
            <v>BOX 67X16X67</v>
          </cell>
        </row>
        <row r="1744">
          <cell r="C1744">
            <v>1422255</v>
          </cell>
          <cell r="D1744" t="str">
            <v>6007  Material</v>
          </cell>
        </row>
        <row r="1745">
          <cell r="C1745">
            <v>1400255.08</v>
          </cell>
          <cell r="D1745" t="str">
            <v>6007 2RS MATERIAL</v>
          </cell>
        </row>
        <row r="1746">
          <cell r="C1746">
            <v>1400255.08</v>
          </cell>
          <cell r="D1746" t="str">
            <v>6007 2RS MATERIAL</v>
          </cell>
        </row>
        <row r="1747">
          <cell r="C1747">
            <v>1422255.1</v>
          </cell>
          <cell r="D1747" t="str">
            <v>6307 2RS  MATERIAL</v>
          </cell>
        </row>
        <row r="1748">
          <cell r="C1748">
            <v>1422255.2</v>
          </cell>
          <cell r="D1748" t="str">
            <v>6307 ZZ MATERIAL</v>
          </cell>
        </row>
        <row r="1749">
          <cell r="C1749">
            <v>1422255.25</v>
          </cell>
          <cell r="D1749" t="str">
            <v>6307 C3 MATERIAL</v>
          </cell>
        </row>
        <row r="1750">
          <cell r="C1750">
            <v>1400255.08</v>
          </cell>
          <cell r="D1750" t="str">
            <v>6007 2RS MATERIAL</v>
          </cell>
        </row>
        <row r="1751">
          <cell r="C1751">
            <v>1422256</v>
          </cell>
          <cell r="D1751" t="str">
            <v>6010  Material</v>
          </cell>
        </row>
        <row r="1752">
          <cell r="C1752">
            <v>1422256</v>
          </cell>
          <cell r="D1752" t="str">
            <v>6010  Material</v>
          </cell>
        </row>
        <row r="1753">
          <cell r="C1753">
            <v>104257</v>
          </cell>
          <cell r="D1753" t="str">
            <v>BAHB.IR 633528F         F</v>
          </cell>
        </row>
        <row r="1754">
          <cell r="C1754">
            <v>208257</v>
          </cell>
          <cell r="D1754" t="str">
            <v>BAHB.OR 633528F         F</v>
          </cell>
        </row>
        <row r="1755">
          <cell r="C1755">
            <v>309257</v>
          </cell>
          <cell r="D1755" t="str">
            <v>BAHB.NCG 633528F</v>
          </cell>
        </row>
        <row r="1756">
          <cell r="C1756">
            <v>511257</v>
          </cell>
          <cell r="D1756" t="str">
            <v>BALL 13/32"(IS:2898-1976)</v>
          </cell>
        </row>
        <row r="1757">
          <cell r="C1757">
            <v>717257</v>
          </cell>
          <cell r="D1757" t="str">
            <v>BAHB.SEALNYLONGRIP633528</v>
          </cell>
        </row>
        <row r="1758">
          <cell r="C1758">
            <v>717257.01</v>
          </cell>
          <cell r="D1758" t="str">
            <v>BAHB.METALSEAL633528</v>
          </cell>
        </row>
        <row r="1759">
          <cell r="C1759">
            <v>104258</v>
          </cell>
          <cell r="D1759" t="str">
            <v>IR.D01464               F</v>
          </cell>
        </row>
        <row r="1760">
          <cell r="C1760">
            <v>208258</v>
          </cell>
          <cell r="D1760" t="str">
            <v>OR.D01464               F</v>
          </cell>
        </row>
        <row r="1761">
          <cell r="C1761">
            <v>309237</v>
          </cell>
          <cell r="D1761" t="str">
            <v>NCG.D01470/D07026</v>
          </cell>
        </row>
        <row r="1762">
          <cell r="C1762">
            <v>511237</v>
          </cell>
          <cell r="D1762" t="str">
            <v>BALL 17/32" (IS:2898-1976</v>
          </cell>
        </row>
        <row r="1763">
          <cell r="C1763">
            <v>5221201.0599999996</v>
          </cell>
          <cell r="D1763" t="str">
            <v>O G PETAMO GY 193(KLUBER)</v>
          </cell>
        </row>
        <row r="1764">
          <cell r="C1764">
            <v>717237</v>
          </cell>
          <cell r="D1764" t="str">
            <v>SEAL.NBR D01470</v>
          </cell>
        </row>
        <row r="1765">
          <cell r="C1765">
            <v>104258</v>
          </cell>
          <cell r="D1765" t="str">
            <v>IR.D01464               F</v>
          </cell>
        </row>
        <row r="1766">
          <cell r="C1766">
            <v>208258</v>
          </cell>
          <cell r="D1766" t="str">
            <v>OR.D01464               F</v>
          </cell>
        </row>
        <row r="1767">
          <cell r="C1767">
            <v>104259</v>
          </cell>
          <cell r="D1767" t="str">
            <v>IR.14 00 1740           F</v>
          </cell>
        </row>
        <row r="1768">
          <cell r="C1768">
            <v>208259</v>
          </cell>
          <cell r="D1768" t="str">
            <v>OR.14 00 1740           F</v>
          </cell>
        </row>
        <row r="1769">
          <cell r="C1769">
            <v>309259</v>
          </cell>
          <cell r="D1769" t="str">
            <v>NCG.14 00 1740</v>
          </cell>
        </row>
        <row r="1770">
          <cell r="C1770">
            <v>511257</v>
          </cell>
          <cell r="D1770" t="str">
            <v>BALL 13/32"(IS:2898-1976)</v>
          </cell>
        </row>
        <row r="1771">
          <cell r="C1771">
            <v>5221247</v>
          </cell>
          <cell r="D1771" t="str">
            <v>O G SHELL GADUS S2 V100 3</v>
          </cell>
        </row>
        <row r="1772">
          <cell r="C1772">
            <v>5221247.01</v>
          </cell>
          <cell r="D1772" t="str">
            <v/>
          </cell>
        </row>
        <row r="1773">
          <cell r="C1773">
            <v>717259</v>
          </cell>
          <cell r="D1773" t="str">
            <v>SEAL.14 00 1740</v>
          </cell>
        </row>
        <row r="1774">
          <cell r="C1774">
            <v>104260</v>
          </cell>
          <cell r="D1774" t="str">
            <v>ZARN.IR 1545            F</v>
          </cell>
        </row>
        <row r="1775">
          <cell r="C1775">
            <v>208260</v>
          </cell>
          <cell r="D1775" t="str">
            <v>ZARN.OR 1545            F</v>
          </cell>
        </row>
        <row r="1776">
          <cell r="C1776">
            <v>100261</v>
          </cell>
          <cell r="D1776" t="str">
            <v>IR.211 YY4</v>
          </cell>
        </row>
        <row r="1777">
          <cell r="C1777">
            <v>200261</v>
          </cell>
          <cell r="D1777" t="str">
            <v>OR.211 YY4</v>
          </cell>
        </row>
        <row r="1778">
          <cell r="C1778">
            <v>300261</v>
          </cell>
          <cell r="D1778" t="str">
            <v>NCG.211 YY4</v>
          </cell>
        </row>
        <row r="1779">
          <cell r="C1779">
            <v>511257</v>
          </cell>
          <cell r="D1779" t="str">
            <v>BALL 13/32"(IS:2898-1976)</v>
          </cell>
        </row>
        <row r="1780">
          <cell r="C1780">
            <v>5221247</v>
          </cell>
          <cell r="D1780" t="str">
            <v>O G SHELL GADUS S2 V100 3</v>
          </cell>
        </row>
        <row r="1781">
          <cell r="C1781">
            <v>700261</v>
          </cell>
          <cell r="D1781" t="str">
            <v>SEAL.211 YY4 2RS</v>
          </cell>
        </row>
        <row r="1782">
          <cell r="C1782">
            <v>700261.01</v>
          </cell>
          <cell r="D1782" t="str">
            <v>SEAL.211 YY4 2BRS</v>
          </cell>
        </row>
        <row r="1783">
          <cell r="C1783">
            <v>100261</v>
          </cell>
          <cell r="D1783" t="str">
            <v>IR.211 YY4</v>
          </cell>
        </row>
        <row r="1784">
          <cell r="C1784">
            <v>200261</v>
          </cell>
          <cell r="D1784" t="str">
            <v>OR.211 YY4</v>
          </cell>
        </row>
        <row r="1785">
          <cell r="C1785">
            <v>300261</v>
          </cell>
          <cell r="D1785" t="str">
            <v>NCG.211 YY4</v>
          </cell>
        </row>
        <row r="1786">
          <cell r="C1786">
            <v>511257</v>
          </cell>
          <cell r="D1786" t="str">
            <v>BALL 13/32"(IS:2898-1976)</v>
          </cell>
        </row>
        <row r="1787">
          <cell r="C1787">
            <v>5221247</v>
          </cell>
          <cell r="D1787" t="str">
            <v>O G SHELL GADUS S2 V100 3</v>
          </cell>
        </row>
        <row r="1788">
          <cell r="C1788">
            <v>700261</v>
          </cell>
          <cell r="D1788" t="str">
            <v>SEAL.211 YY4 2RS</v>
          </cell>
        </row>
        <row r="1789">
          <cell r="C1789">
            <v>700261.01</v>
          </cell>
          <cell r="D1789" t="str">
            <v>SEAL.211 YY4 2BRS</v>
          </cell>
        </row>
        <row r="1790">
          <cell r="C1790">
            <v>100262</v>
          </cell>
          <cell r="D1790" t="str">
            <v>IR.214 YY4</v>
          </cell>
        </row>
        <row r="1791">
          <cell r="C1791">
            <v>100262</v>
          </cell>
          <cell r="D1791" t="str">
            <v>IR.214 YY4</v>
          </cell>
        </row>
        <row r="1792">
          <cell r="C1792">
            <v>200264</v>
          </cell>
          <cell r="D1792" t="str">
            <v>OR.215 YY4</v>
          </cell>
        </row>
        <row r="1793">
          <cell r="C1793">
            <v>200264</v>
          </cell>
          <cell r="D1793" t="str">
            <v>OR.215 YY4</v>
          </cell>
        </row>
        <row r="1794">
          <cell r="C1794">
            <v>300264</v>
          </cell>
          <cell r="D1794" t="str">
            <v>NCG.215 YY4</v>
          </cell>
        </row>
        <row r="1795">
          <cell r="C1795">
            <v>300264</v>
          </cell>
          <cell r="D1795" t="str">
            <v>NCG.215 YY4</v>
          </cell>
        </row>
        <row r="1796">
          <cell r="C1796">
            <v>511181</v>
          </cell>
          <cell r="D1796" t="str">
            <v>BALL 15/32"(IS:2898-1976)</v>
          </cell>
        </row>
        <row r="1797">
          <cell r="C1797">
            <v>511181</v>
          </cell>
          <cell r="D1797" t="str">
            <v>BALL 15/32"(IS:2898-1976)</v>
          </cell>
        </row>
        <row r="1798">
          <cell r="C1798">
            <v>5221247</v>
          </cell>
          <cell r="D1798" t="str">
            <v>O G SHELL GADUS S2 V100 3</v>
          </cell>
        </row>
        <row r="1799">
          <cell r="C1799">
            <v>5221247</v>
          </cell>
          <cell r="D1799" t="str">
            <v>O G SHELL GADUS S2 V100 3</v>
          </cell>
        </row>
        <row r="1800">
          <cell r="C1800">
            <v>700262</v>
          </cell>
          <cell r="D1800" t="str">
            <v>SEAL.214 YY4 BOTTOM</v>
          </cell>
        </row>
        <row r="1801">
          <cell r="C1801">
            <v>700262.1</v>
          </cell>
          <cell r="D1801" t="str">
            <v>SEAL.214 YY4 TOP</v>
          </cell>
        </row>
        <row r="1802">
          <cell r="C1802">
            <v>700264</v>
          </cell>
          <cell r="D1802" t="str">
            <v>SEAL.215 YY4 BOTTOM</v>
          </cell>
        </row>
        <row r="1803">
          <cell r="C1803">
            <v>700264.1</v>
          </cell>
          <cell r="D1803" t="str">
            <v>SEAL.215 YY4 TOP</v>
          </cell>
        </row>
        <row r="1804">
          <cell r="C1804">
            <v>100263</v>
          </cell>
          <cell r="D1804" t="str">
            <v>IR.62211 2RS</v>
          </cell>
        </row>
        <row r="1805">
          <cell r="C1805">
            <v>1422263</v>
          </cell>
          <cell r="D1805" t="str">
            <v>62211 2RS MATERIAL</v>
          </cell>
        </row>
        <row r="1806">
          <cell r="C1806">
            <v>200263</v>
          </cell>
          <cell r="D1806" t="str">
            <v>OR.62211 2RS</v>
          </cell>
        </row>
        <row r="1807">
          <cell r="C1807">
            <v>300263</v>
          </cell>
          <cell r="D1807" t="str">
            <v>NCG.62211 2RS</v>
          </cell>
        </row>
        <row r="1808">
          <cell r="C1808">
            <v>511357</v>
          </cell>
          <cell r="D1808" t="str">
            <v>BALL 9/16" (IS:2898-1976)</v>
          </cell>
        </row>
        <row r="1809">
          <cell r="C1809">
            <v>5221247</v>
          </cell>
          <cell r="D1809" t="str">
            <v>O G SHELL GADUS S2 V100 3</v>
          </cell>
        </row>
        <row r="1810">
          <cell r="C1810">
            <v>700263</v>
          </cell>
          <cell r="D1810" t="str">
            <v>SEAL.62211 2RS</v>
          </cell>
        </row>
        <row r="1811">
          <cell r="C1811">
            <v>1422263</v>
          </cell>
          <cell r="D1811" t="str">
            <v>62211 2RS MATERIAL</v>
          </cell>
        </row>
        <row r="1812">
          <cell r="C1812">
            <v>100264</v>
          </cell>
          <cell r="D1812" t="str">
            <v>IR.215 YY4</v>
          </cell>
        </row>
        <row r="1813">
          <cell r="C1813">
            <v>100264</v>
          </cell>
          <cell r="D1813" t="str">
            <v>IR.215 YY4</v>
          </cell>
        </row>
        <row r="1814">
          <cell r="C1814">
            <v>200264</v>
          </cell>
          <cell r="D1814" t="str">
            <v>OR.215 YY4</v>
          </cell>
        </row>
        <row r="1815">
          <cell r="C1815">
            <v>200264</v>
          </cell>
          <cell r="D1815" t="str">
            <v>OR.215 YY4</v>
          </cell>
        </row>
        <row r="1816">
          <cell r="C1816">
            <v>300264</v>
          </cell>
          <cell r="D1816" t="str">
            <v>NCG.215 YY4</v>
          </cell>
        </row>
        <row r="1817">
          <cell r="C1817">
            <v>300264</v>
          </cell>
          <cell r="D1817" t="str">
            <v>NCG.215 YY4</v>
          </cell>
        </row>
        <row r="1818">
          <cell r="C1818">
            <v>511181</v>
          </cell>
          <cell r="D1818" t="str">
            <v>BALL 15/32"(IS:2898-1976)</v>
          </cell>
        </row>
        <row r="1819">
          <cell r="C1819">
            <v>511181</v>
          </cell>
          <cell r="D1819" t="str">
            <v>BALL 15/32"(IS:2898-1976)</v>
          </cell>
        </row>
        <row r="1820">
          <cell r="C1820">
            <v>5221247</v>
          </cell>
          <cell r="D1820" t="str">
            <v>O G SHELL GADUS S2 V100 3</v>
          </cell>
        </row>
        <row r="1821">
          <cell r="C1821">
            <v>5221247</v>
          </cell>
          <cell r="D1821" t="str">
            <v>O G SHELL GADUS S2 V100 3</v>
          </cell>
        </row>
        <row r="1822">
          <cell r="C1822">
            <v>700264</v>
          </cell>
          <cell r="D1822" t="str">
            <v>SEAL.215 YY4 BOTTOM</v>
          </cell>
        </row>
        <row r="1823">
          <cell r="C1823">
            <v>700264</v>
          </cell>
          <cell r="D1823" t="str">
            <v>SEAL.215 YY4 BOTTOM</v>
          </cell>
        </row>
        <row r="1824">
          <cell r="C1824">
            <v>700264.1</v>
          </cell>
          <cell r="D1824" t="str">
            <v>SEAL.215 YY4 TOP</v>
          </cell>
        </row>
        <row r="1825">
          <cell r="C1825">
            <v>700264.1</v>
          </cell>
          <cell r="D1825" t="str">
            <v>SEAL.215 YY4 TOP</v>
          </cell>
        </row>
        <row r="1826">
          <cell r="C1826">
            <v>104266</v>
          </cell>
          <cell r="D1826" t="str">
            <v>ZARN.IR 3062            F</v>
          </cell>
        </row>
        <row r="1827">
          <cell r="C1827">
            <v>208266</v>
          </cell>
          <cell r="D1827" t="str">
            <v>ZARN.OR 3062            F</v>
          </cell>
        </row>
        <row r="1828">
          <cell r="C1828">
            <v>208266.01</v>
          </cell>
          <cell r="D1828" t="str">
            <v>ZARN.WASHER 3062        F</v>
          </cell>
        </row>
        <row r="1829">
          <cell r="C1829">
            <v>309582</v>
          </cell>
          <cell r="D1829" t="str">
            <v>NCG 81107</v>
          </cell>
        </row>
        <row r="1830">
          <cell r="C1830">
            <v>309823.01</v>
          </cell>
          <cell r="D1830" t="str">
            <v>NKI.MCG 30/20(NK 35/20)</v>
          </cell>
        </row>
        <row r="1831">
          <cell r="C1831">
            <v>511410</v>
          </cell>
          <cell r="D1831" t="str">
            <v>RO 5X5 BPM</v>
          </cell>
        </row>
        <row r="1832">
          <cell r="C1832">
            <v>511819.01</v>
          </cell>
          <cell r="D1832" t="str">
            <v>RO 3X15.8</v>
          </cell>
        </row>
        <row r="1833">
          <cell r="C1833">
            <v>104268</v>
          </cell>
          <cell r="D1833" t="str">
            <v>ZARN.IR 3570            F</v>
          </cell>
        </row>
        <row r="1834">
          <cell r="C1834">
            <v>208268</v>
          </cell>
          <cell r="D1834" t="str">
            <v>ZARN.OR 3570            F</v>
          </cell>
        </row>
        <row r="1835">
          <cell r="C1835">
            <v>208268.01</v>
          </cell>
          <cell r="D1835" t="str">
            <v>ZARN.WASHER 3570        F</v>
          </cell>
        </row>
        <row r="1836">
          <cell r="C1836">
            <v>309583</v>
          </cell>
          <cell r="D1836" t="str">
            <v>NCG 81108</v>
          </cell>
        </row>
        <row r="1837">
          <cell r="C1837">
            <v>309827.01</v>
          </cell>
          <cell r="D1837" t="str">
            <v>NKI.MCG 35/20(NK 40/20)</v>
          </cell>
        </row>
        <row r="1838">
          <cell r="C1838">
            <v>511461</v>
          </cell>
          <cell r="D1838" t="str">
            <v>RO 6X6</v>
          </cell>
        </row>
        <row r="1839">
          <cell r="C1839">
            <v>511819.01</v>
          </cell>
          <cell r="D1839" t="str">
            <v>RO 3X15.8</v>
          </cell>
        </row>
        <row r="1840">
          <cell r="C1840">
            <v>104268.21</v>
          </cell>
          <cell r="D1840" t="str">
            <v>ZARF.IR 3590</v>
          </cell>
        </row>
        <row r="1841">
          <cell r="C1841">
            <v>208268.21</v>
          </cell>
          <cell r="D1841" t="str">
            <v>ZARF.OR 3590</v>
          </cell>
        </row>
        <row r="1842">
          <cell r="C1842">
            <v>208268.22</v>
          </cell>
          <cell r="D1842" t="str">
            <v>ZARF.WASHER 3590</v>
          </cell>
        </row>
        <row r="1843">
          <cell r="C1843">
            <v>309583</v>
          </cell>
          <cell r="D1843" t="str">
            <v>NCG 81108</v>
          </cell>
        </row>
        <row r="1844">
          <cell r="C1844">
            <v>309827.01</v>
          </cell>
          <cell r="D1844" t="str">
            <v>NKI.MCG 35/20(NK 40/20)</v>
          </cell>
        </row>
        <row r="1845">
          <cell r="C1845">
            <v>511461</v>
          </cell>
          <cell r="D1845" t="str">
            <v>RO 6X6</v>
          </cell>
        </row>
        <row r="1846">
          <cell r="C1846">
            <v>511819.01</v>
          </cell>
          <cell r="D1846" t="str">
            <v>RO 3X15.8</v>
          </cell>
        </row>
        <row r="1847">
          <cell r="C1847">
            <v>104270</v>
          </cell>
          <cell r="D1847" t="str">
            <v>ZARN.IR 4075            F</v>
          </cell>
        </row>
        <row r="1848">
          <cell r="C1848">
            <v>208270</v>
          </cell>
          <cell r="D1848" t="str">
            <v>ZARN.OR 4075            F</v>
          </cell>
        </row>
        <row r="1849">
          <cell r="C1849">
            <v>208270.01</v>
          </cell>
          <cell r="D1849" t="str">
            <v>ZARN.WASHER 4075        F</v>
          </cell>
        </row>
        <row r="1850">
          <cell r="C1850">
            <v>309584</v>
          </cell>
          <cell r="D1850" t="str">
            <v>NCG 81109</v>
          </cell>
        </row>
        <row r="1851">
          <cell r="C1851">
            <v>309831.01</v>
          </cell>
          <cell r="D1851" t="str">
            <v>NKI.MCG 40/20(NK 45/20)</v>
          </cell>
        </row>
        <row r="1852">
          <cell r="C1852">
            <v>511461</v>
          </cell>
          <cell r="D1852" t="str">
            <v>RO 6X6</v>
          </cell>
        </row>
        <row r="1853">
          <cell r="C1853">
            <v>511819.01</v>
          </cell>
          <cell r="D1853" t="str">
            <v>RO 3X15.8</v>
          </cell>
        </row>
        <row r="1854">
          <cell r="C1854">
            <v>104272</v>
          </cell>
          <cell r="D1854" t="str">
            <v>ZARN.IR 4580            F</v>
          </cell>
        </row>
        <row r="1855">
          <cell r="C1855">
            <v>208272</v>
          </cell>
          <cell r="D1855" t="str">
            <v>ZARN.OR 4580            F</v>
          </cell>
        </row>
        <row r="1856">
          <cell r="C1856">
            <v>208272.01</v>
          </cell>
          <cell r="D1856" t="str">
            <v>ZARN.WASHER 4580        F</v>
          </cell>
        </row>
        <row r="1857">
          <cell r="C1857">
            <v>309585</v>
          </cell>
          <cell r="D1857" t="str">
            <v>NCG 81110</v>
          </cell>
        </row>
        <row r="1858">
          <cell r="C1858">
            <v>309835.01</v>
          </cell>
          <cell r="D1858" t="str">
            <v>NKI.MCG 45/25(NK 50/25)</v>
          </cell>
        </row>
        <row r="1859">
          <cell r="C1859">
            <v>511230.01</v>
          </cell>
          <cell r="D1859" t="str">
            <v>RO 3.5X18.8</v>
          </cell>
        </row>
        <row r="1860">
          <cell r="C1860">
            <v>511461</v>
          </cell>
          <cell r="D1860" t="str">
            <v>RO 6X6</v>
          </cell>
        </row>
        <row r="1861">
          <cell r="C1861">
            <v>208272</v>
          </cell>
          <cell r="D1861" t="str">
            <v>ZARN.OR 4580            F</v>
          </cell>
        </row>
        <row r="1862">
          <cell r="C1862">
            <v>208272.01</v>
          </cell>
          <cell r="D1862" t="str">
            <v>ZARN.WASHER 4580        F</v>
          </cell>
        </row>
        <row r="1863">
          <cell r="C1863">
            <v>309585</v>
          </cell>
          <cell r="D1863" t="str">
            <v>NCG 81110</v>
          </cell>
        </row>
        <row r="1864">
          <cell r="C1864">
            <v>309835.01</v>
          </cell>
          <cell r="D1864" t="str">
            <v>NKI.MCG 45/25(NK 50/25)</v>
          </cell>
        </row>
        <row r="1865">
          <cell r="C1865">
            <v>511230.01</v>
          </cell>
          <cell r="D1865" t="str">
            <v>RO 3.5X18.8</v>
          </cell>
        </row>
        <row r="1866">
          <cell r="C1866">
            <v>511461</v>
          </cell>
          <cell r="D1866" t="str">
            <v>RO 6X6</v>
          </cell>
        </row>
        <row r="1867">
          <cell r="C1867">
            <v>104274</v>
          </cell>
          <cell r="D1867" t="str">
            <v>ZARN.IR 5090            F</v>
          </cell>
        </row>
        <row r="1868">
          <cell r="C1868">
            <v>208274</v>
          </cell>
          <cell r="D1868" t="str">
            <v>ZARN.OR 5090            F</v>
          </cell>
        </row>
        <row r="1869">
          <cell r="C1869">
            <v>208274.01</v>
          </cell>
          <cell r="D1869" t="str">
            <v>ZARN.WASHER 5090        F</v>
          </cell>
        </row>
        <row r="1870">
          <cell r="C1870">
            <v>309586</v>
          </cell>
          <cell r="D1870" t="str">
            <v>NCG 81111</v>
          </cell>
        </row>
        <row r="1871">
          <cell r="C1871">
            <v>309837.01</v>
          </cell>
          <cell r="D1871" t="str">
            <v>NKI.MCG 50/25(NK 55/25)</v>
          </cell>
        </row>
        <row r="1872">
          <cell r="C1872">
            <v>511230.01</v>
          </cell>
          <cell r="D1872" t="str">
            <v>RO 3.5X18.8</v>
          </cell>
        </row>
        <row r="1873">
          <cell r="C1873">
            <v>511586</v>
          </cell>
          <cell r="D1873" t="str">
            <v>RO 6X8</v>
          </cell>
        </row>
        <row r="1874">
          <cell r="C1874">
            <v>104275</v>
          </cell>
          <cell r="D1874" t="str">
            <v>ZARN.IR 50110           F</v>
          </cell>
        </row>
        <row r="1875">
          <cell r="C1875">
            <v>208275</v>
          </cell>
          <cell r="D1875" t="str">
            <v>ZARN.OR 50110           F</v>
          </cell>
        </row>
        <row r="1876">
          <cell r="C1876">
            <v>208275.01</v>
          </cell>
          <cell r="D1876" t="str">
            <v>ZARN.WASHER 50110       F</v>
          </cell>
        </row>
        <row r="1877">
          <cell r="C1877">
            <v>309596</v>
          </cell>
          <cell r="D1877" t="str">
            <v>NCG 81212</v>
          </cell>
        </row>
        <row r="1878">
          <cell r="C1878">
            <v>309839.01</v>
          </cell>
          <cell r="D1878" t="str">
            <v>NKI.MCG 55/25(NK 60/25)</v>
          </cell>
        </row>
        <row r="1879">
          <cell r="C1879">
            <v>511230.01</v>
          </cell>
          <cell r="D1879" t="str">
            <v>RO 3.5X18.8</v>
          </cell>
        </row>
        <row r="1880">
          <cell r="C1880">
            <v>511475</v>
          </cell>
          <cell r="D1880" t="str">
            <v>RO 11X11 BPM</v>
          </cell>
        </row>
        <row r="1881">
          <cell r="C1881">
            <v>9415</v>
          </cell>
          <cell r="D1881" t="str">
            <v/>
          </cell>
        </row>
        <row r="1882">
          <cell r="C1882">
            <v>100279</v>
          </cell>
          <cell r="D1882" t="str">
            <v>TK.IR 40 4A</v>
          </cell>
        </row>
        <row r="1883">
          <cell r="C1883">
            <v>200279</v>
          </cell>
          <cell r="D1883" t="str">
            <v>TK.OR 40 4A</v>
          </cell>
        </row>
        <row r="1884">
          <cell r="C1884">
            <v>300279</v>
          </cell>
          <cell r="D1884" t="str">
            <v>TK.MCG 40 4A</v>
          </cell>
        </row>
        <row r="1885">
          <cell r="C1885">
            <v>511993</v>
          </cell>
          <cell r="D1885" t="str">
            <v>BALL 5/16"(IS:2898-1976)</v>
          </cell>
        </row>
        <row r="1886">
          <cell r="C1886">
            <v>5221279</v>
          </cell>
          <cell r="D1886" t="str">
            <v>O G MOBIL UNIREX N3</v>
          </cell>
        </row>
        <row r="1887">
          <cell r="C1887">
            <v>717279</v>
          </cell>
          <cell r="D1887" t="str">
            <v>TK.COVER 40 4A</v>
          </cell>
        </row>
        <row r="1888">
          <cell r="C1888">
            <v>104280.4</v>
          </cell>
          <cell r="D1888" t="str">
            <v>STADE.4910662/0         F</v>
          </cell>
        </row>
        <row r="1889">
          <cell r="C1889">
            <v>208280.4</v>
          </cell>
          <cell r="D1889" t="str">
            <v>OR.4910662/2</v>
          </cell>
        </row>
        <row r="1890">
          <cell r="C1890">
            <v>208280.41</v>
          </cell>
          <cell r="D1890" t="str">
            <v>WASHER.4910662/0</v>
          </cell>
        </row>
        <row r="1891">
          <cell r="C1891">
            <v>511428</v>
          </cell>
          <cell r="D1891" t="str">
            <v>RO 8X12</v>
          </cell>
        </row>
        <row r="1892">
          <cell r="C1892">
            <v>612280.4</v>
          </cell>
          <cell r="D1892" t="str">
            <v>NIPPLE.4910662/0</v>
          </cell>
        </row>
        <row r="1893">
          <cell r="C1893">
            <v>717280.4</v>
          </cell>
          <cell r="D1893" t="str">
            <v>NUT 4910662/0 (M30)</v>
          </cell>
        </row>
        <row r="1894">
          <cell r="C1894">
            <v>717280.41</v>
          </cell>
          <cell r="D1894" t="str">
            <v>CUPWASHER.4910662/0</v>
          </cell>
        </row>
        <row r="1895">
          <cell r="C1895">
            <v>104281</v>
          </cell>
          <cell r="D1895" t="str">
            <v>D.IR 14536              F</v>
          </cell>
        </row>
        <row r="1896">
          <cell r="C1896">
            <v>208281</v>
          </cell>
          <cell r="D1896" t="str">
            <v>D.OR 14536              F</v>
          </cell>
        </row>
        <row r="1897">
          <cell r="C1897">
            <v>309281</v>
          </cell>
          <cell r="D1897" t="str">
            <v>D.NCG 14536(A3HG5)</v>
          </cell>
        </row>
        <row r="1898">
          <cell r="C1898">
            <v>511181</v>
          </cell>
          <cell r="D1898" t="str">
            <v>BALL 15/32"(IS:2898-1976)</v>
          </cell>
        </row>
        <row r="1899">
          <cell r="C1899">
            <v>5221201.0599999996</v>
          </cell>
          <cell r="D1899" t="str">
            <v>O G PETAMO GY 193(KLUBER)</v>
          </cell>
        </row>
        <row r="1900">
          <cell r="C1900">
            <v>717281</v>
          </cell>
          <cell r="D1900" t="str">
            <v>D.SEAL 14536(FKM)</v>
          </cell>
        </row>
        <row r="1901">
          <cell r="C1901">
            <v>104281</v>
          </cell>
          <cell r="D1901" t="str">
            <v>D.IR 14536              F</v>
          </cell>
        </row>
        <row r="1902">
          <cell r="C1902">
            <v>208281</v>
          </cell>
          <cell r="D1902" t="str">
            <v>D.OR 14536              F</v>
          </cell>
        </row>
        <row r="1903">
          <cell r="C1903">
            <v>309281</v>
          </cell>
          <cell r="D1903" t="str">
            <v>D.NCG 14536(A3HG5)</v>
          </cell>
        </row>
        <row r="1904">
          <cell r="C1904">
            <v>511181</v>
          </cell>
          <cell r="D1904" t="str">
            <v>BALL 15/32"(IS:2898-1976)</v>
          </cell>
        </row>
        <row r="1905">
          <cell r="C1905">
            <v>5221201.0599999996</v>
          </cell>
          <cell r="D1905" t="str">
            <v>O G PETAMO GY 193(KLUBER)</v>
          </cell>
        </row>
        <row r="1906">
          <cell r="C1906">
            <v>717281</v>
          </cell>
          <cell r="D1906" t="str">
            <v>D.SEAL 14536(FKM)</v>
          </cell>
        </row>
        <row r="1907">
          <cell r="C1907">
            <v>100281.21</v>
          </cell>
          <cell r="D1907" t="str">
            <v>D.IR 14536 SPL</v>
          </cell>
        </row>
        <row r="1908">
          <cell r="C1908">
            <v>200281.21</v>
          </cell>
          <cell r="D1908" t="str">
            <v>D.OR 14536 W.C.</v>
          </cell>
        </row>
        <row r="1909">
          <cell r="C1909">
            <v>309281</v>
          </cell>
          <cell r="D1909" t="str">
            <v>D.NCG 14536(A3HG5)</v>
          </cell>
        </row>
        <row r="1910">
          <cell r="C1910">
            <v>511181</v>
          </cell>
          <cell r="D1910" t="str">
            <v>BALL 15/32"(IS:2898-1976)</v>
          </cell>
        </row>
        <row r="1911">
          <cell r="C1911">
            <v>5221201.0599999996</v>
          </cell>
          <cell r="D1911" t="str">
            <v>O G PETAMO GY 193(KLUBER)</v>
          </cell>
        </row>
        <row r="1912">
          <cell r="C1912">
            <v>5221201.0999999996</v>
          </cell>
          <cell r="D1912" t="str">
            <v>G KLUBERSYNTH BEP 72-82</v>
          </cell>
        </row>
        <row r="1913">
          <cell r="C1913">
            <v>717281</v>
          </cell>
          <cell r="D1913" t="str">
            <v>D.SEAL 14536(FKM)</v>
          </cell>
        </row>
        <row r="1914">
          <cell r="C1914">
            <v>717281.01</v>
          </cell>
          <cell r="D1914" t="str">
            <v>D.MC 14536/14537 SPL</v>
          </cell>
        </row>
        <row r="1915">
          <cell r="C1915">
            <v>104282</v>
          </cell>
          <cell r="D1915" t="str">
            <v>D.IR 14537              F</v>
          </cell>
        </row>
        <row r="1916">
          <cell r="C1916">
            <v>208281</v>
          </cell>
          <cell r="D1916" t="str">
            <v>D.OR 14536              F</v>
          </cell>
        </row>
        <row r="1917">
          <cell r="C1917">
            <v>309281</v>
          </cell>
          <cell r="D1917" t="str">
            <v>D.NCG 14536(A3HG5)</v>
          </cell>
        </row>
        <row r="1918">
          <cell r="C1918">
            <v>511181</v>
          </cell>
          <cell r="D1918" t="str">
            <v>BALL 15/32"(IS:2898-1976)</v>
          </cell>
        </row>
        <row r="1919">
          <cell r="C1919">
            <v>5221201.0599999996</v>
          </cell>
          <cell r="D1919" t="str">
            <v>O G PETAMO GY 193(KLUBER)</v>
          </cell>
        </row>
        <row r="1920">
          <cell r="C1920">
            <v>717281</v>
          </cell>
          <cell r="D1920" t="str">
            <v>D.SEAL 14536(FKM)</v>
          </cell>
        </row>
        <row r="1921">
          <cell r="C1921">
            <v>104282</v>
          </cell>
          <cell r="D1921" t="str">
            <v>D.IR 14537              F</v>
          </cell>
        </row>
        <row r="1922">
          <cell r="C1922">
            <v>208281</v>
          </cell>
          <cell r="D1922" t="str">
            <v>D.OR 14536              F</v>
          </cell>
        </row>
        <row r="1923">
          <cell r="C1923">
            <v>309281</v>
          </cell>
          <cell r="D1923" t="str">
            <v>D.NCG 14536(A3HG5)</v>
          </cell>
        </row>
        <row r="1924">
          <cell r="C1924">
            <v>511181</v>
          </cell>
          <cell r="D1924" t="str">
            <v>BALL 15/32"(IS:2898-1976)</v>
          </cell>
        </row>
        <row r="1925">
          <cell r="C1925">
            <v>5221201.0599999996</v>
          </cell>
          <cell r="D1925" t="str">
            <v>O G PETAMO GY 193(KLUBER)</v>
          </cell>
        </row>
        <row r="1926">
          <cell r="C1926">
            <v>717281</v>
          </cell>
          <cell r="D1926" t="str">
            <v>D.SEAL 14536(FKM)</v>
          </cell>
        </row>
        <row r="1927">
          <cell r="C1927">
            <v>104282.11</v>
          </cell>
          <cell r="D1927" t="str">
            <v>D.IR 14537  R1</v>
          </cell>
        </row>
        <row r="1928">
          <cell r="C1928">
            <v>208282.11</v>
          </cell>
          <cell r="D1928" t="str">
            <v>D.OR 14537 R1</v>
          </cell>
        </row>
        <row r="1929">
          <cell r="C1929">
            <v>309281</v>
          </cell>
          <cell r="D1929" t="str">
            <v>D.NCG 14536(A3HG5)</v>
          </cell>
        </row>
        <row r="1930">
          <cell r="C1930">
            <v>511181</v>
          </cell>
          <cell r="D1930" t="str">
            <v>BALL 15/32"(IS:2898-1976)</v>
          </cell>
        </row>
        <row r="1931">
          <cell r="C1931">
            <v>5221201.0599999996</v>
          </cell>
          <cell r="D1931" t="str">
            <v>O G PETAMO GY 193(KLUBER)</v>
          </cell>
        </row>
        <row r="1932">
          <cell r="C1932">
            <v>717281</v>
          </cell>
          <cell r="D1932" t="str">
            <v>D.SEAL 14536(FKM)</v>
          </cell>
        </row>
        <row r="1933">
          <cell r="C1933">
            <v>100282.21</v>
          </cell>
          <cell r="D1933" t="str">
            <v>D.IR 14537 W.C.</v>
          </cell>
        </row>
        <row r="1934">
          <cell r="C1934">
            <v>200281.21</v>
          </cell>
          <cell r="D1934" t="str">
            <v>D.OR 14536 W.C.</v>
          </cell>
        </row>
        <row r="1935">
          <cell r="C1935">
            <v>309281</v>
          </cell>
          <cell r="D1935" t="str">
            <v>D.NCG 14536(A3HG5)</v>
          </cell>
        </row>
        <row r="1936">
          <cell r="C1936">
            <v>511181</v>
          </cell>
          <cell r="D1936" t="str">
            <v>BALL 15/32"(IS:2898-1976)</v>
          </cell>
        </row>
        <row r="1937">
          <cell r="C1937">
            <v>5221201.0599999996</v>
          </cell>
          <cell r="D1937" t="str">
            <v>O G PETAMO GY 193(KLUBER)</v>
          </cell>
        </row>
        <row r="1938">
          <cell r="C1938">
            <v>5221201.0999999996</v>
          </cell>
          <cell r="D1938" t="str">
            <v>G KLUBERSYNTH BEP 72-82</v>
          </cell>
        </row>
        <row r="1939">
          <cell r="C1939">
            <v>717281</v>
          </cell>
          <cell r="D1939" t="str">
            <v>D.SEAL 14536(FKM)</v>
          </cell>
        </row>
        <row r="1940">
          <cell r="C1940">
            <v>717281.01</v>
          </cell>
          <cell r="D1940" t="str">
            <v>D.MC 14536/14537 SPL</v>
          </cell>
        </row>
        <row r="1941">
          <cell r="C1941">
            <v>104282.31</v>
          </cell>
          <cell r="D1941" t="str">
            <v>D.IR 14537 R2</v>
          </cell>
        </row>
        <row r="1942">
          <cell r="C1942">
            <v>208282.31</v>
          </cell>
          <cell r="D1942" t="str">
            <v>D.OR 14537 R2</v>
          </cell>
        </row>
        <row r="1943">
          <cell r="C1943">
            <v>309281</v>
          </cell>
          <cell r="D1943" t="str">
            <v>D.NCG 14536(A3HG5)</v>
          </cell>
        </row>
        <row r="1944">
          <cell r="C1944">
            <v>511181</v>
          </cell>
          <cell r="D1944" t="str">
            <v>BALL 15/32"(IS:2898-1976)</v>
          </cell>
        </row>
        <row r="1945">
          <cell r="C1945">
            <v>5221201.0999999996</v>
          </cell>
          <cell r="D1945" t="str">
            <v>G KLUBERSYNTH BEP 72-82</v>
          </cell>
        </row>
        <row r="1946">
          <cell r="C1946">
            <v>717281</v>
          </cell>
          <cell r="D1946" t="str">
            <v>D.SEAL 14536(FKM)</v>
          </cell>
        </row>
        <row r="1947">
          <cell r="C1947">
            <v>100282.4</v>
          </cell>
          <cell r="D1947" t="str">
            <v>D.IR 14537 SPL</v>
          </cell>
        </row>
        <row r="1948">
          <cell r="C1948">
            <v>208281</v>
          </cell>
          <cell r="D1948" t="str">
            <v>D.OR 14536              F</v>
          </cell>
        </row>
        <row r="1949">
          <cell r="C1949">
            <v>309281</v>
          </cell>
          <cell r="D1949" t="str">
            <v>D.NCG 14536(A3HG5)</v>
          </cell>
        </row>
        <row r="1950">
          <cell r="C1950">
            <v>511181</v>
          </cell>
          <cell r="D1950" t="str">
            <v>BALL 15/32"(IS:2898-1976)</v>
          </cell>
        </row>
        <row r="1951">
          <cell r="C1951">
            <v>5221201.0599999996</v>
          </cell>
          <cell r="D1951" t="str">
            <v>O G PETAMO GY 193(KLUBER)</v>
          </cell>
        </row>
        <row r="1952">
          <cell r="C1952">
            <v>717281</v>
          </cell>
          <cell r="D1952" t="str">
            <v>D.SEAL 14536(FKM)</v>
          </cell>
        </row>
        <row r="1953">
          <cell r="C1953">
            <v>104283</v>
          </cell>
          <cell r="D1953" t="str">
            <v>IR.6006 2RS             F</v>
          </cell>
        </row>
        <row r="1954">
          <cell r="C1954">
            <v>1422283</v>
          </cell>
          <cell r="D1954" t="str">
            <v>6006 2RS MATERIAL</v>
          </cell>
        </row>
        <row r="1955">
          <cell r="C1955">
            <v>208283</v>
          </cell>
          <cell r="D1955" t="str">
            <v>OR.6006 2RS             F</v>
          </cell>
        </row>
        <row r="1956">
          <cell r="C1956">
            <v>309283</v>
          </cell>
          <cell r="D1956" t="str">
            <v>MCG.6006 2RS</v>
          </cell>
        </row>
        <row r="1957">
          <cell r="C1957">
            <v>511197</v>
          </cell>
          <cell r="D1957" t="str">
            <v>BALL 9/32"</v>
          </cell>
        </row>
        <row r="1958">
          <cell r="C1958">
            <v>717283</v>
          </cell>
          <cell r="D1958" t="str">
            <v>SEAL.6006 2RS</v>
          </cell>
        </row>
        <row r="1959">
          <cell r="C1959">
            <v>1422283.1</v>
          </cell>
          <cell r="D1959" t="str">
            <v>6006 C3 MATERIAL</v>
          </cell>
        </row>
        <row r="1960">
          <cell r="C1960">
            <v>1422283.2</v>
          </cell>
          <cell r="D1960" t="str">
            <v>6312 C3 MATERIAL</v>
          </cell>
        </row>
        <row r="1961">
          <cell r="C1961">
            <v>1422283.21</v>
          </cell>
          <cell r="D1961" t="str">
            <v>6312 2RS MATERIAL</v>
          </cell>
        </row>
        <row r="1962">
          <cell r="C1962">
            <v>1422283.3</v>
          </cell>
          <cell r="D1962" t="str">
            <v>6006 ZZ NR  MATERIAL</v>
          </cell>
        </row>
        <row r="1963">
          <cell r="C1963">
            <v>104284</v>
          </cell>
          <cell r="D1963" t="str">
            <v>IR.LB2YT9001A(72X37X37) F</v>
          </cell>
        </row>
        <row r="1964">
          <cell r="C1964">
            <v>208284</v>
          </cell>
          <cell r="D1964" t="str">
            <v>OR.LB2YT9001A(72X37X37) F</v>
          </cell>
        </row>
        <row r="1965">
          <cell r="C1965">
            <v>309284</v>
          </cell>
          <cell r="D1965" t="str">
            <v>NCG.LB2YT9001A(72X37X37)</v>
          </cell>
        </row>
        <row r="1966">
          <cell r="C1966">
            <v>511181</v>
          </cell>
          <cell r="D1966" t="str">
            <v>BALL 15/32"(IS:2898-1976)</v>
          </cell>
        </row>
        <row r="1967">
          <cell r="C1967">
            <v>717284</v>
          </cell>
          <cell r="D1967" t="str">
            <v>MSEAL.LB2YT9001A</v>
          </cell>
        </row>
        <row r="1968">
          <cell r="C1968">
            <v>717284.01</v>
          </cell>
          <cell r="D1968" t="str">
            <v>RSEAL.LB2YT9001A</v>
          </cell>
        </row>
        <row r="1969">
          <cell r="C1969">
            <v>104284.01</v>
          </cell>
          <cell r="D1969" t="str">
            <v>IRB.IR 1016</v>
          </cell>
        </row>
        <row r="1970">
          <cell r="C1970">
            <v>104285.01</v>
          </cell>
          <cell r="D1970" t="str">
            <v>IRB.IR 1616</v>
          </cell>
        </row>
        <row r="1971">
          <cell r="C1971">
            <v>104286</v>
          </cell>
          <cell r="D1971" t="str">
            <v>NAF.IR 558530</v>
          </cell>
        </row>
        <row r="1972">
          <cell r="C1972">
            <v>208286</v>
          </cell>
          <cell r="D1972" t="str">
            <v>NAF.OR 558530</v>
          </cell>
        </row>
        <row r="1973">
          <cell r="C1973">
            <v>309286</v>
          </cell>
          <cell r="D1973" t="str">
            <v>NAF.MCG 558530</v>
          </cell>
        </row>
        <row r="1974">
          <cell r="C1974">
            <v>511283.01</v>
          </cell>
          <cell r="D1974" t="str">
            <v>RO 4X25.4 BR</v>
          </cell>
        </row>
        <row r="1975">
          <cell r="C1975">
            <v>104286.01</v>
          </cell>
          <cell r="D1975" t="str">
            <v>IRB.IR 1212</v>
          </cell>
        </row>
        <row r="1976">
          <cell r="C1976">
            <v>100286.02</v>
          </cell>
          <cell r="D1976" t="str">
            <v>IR.IR 364255</v>
          </cell>
        </row>
        <row r="1977">
          <cell r="C1977">
            <v>104286</v>
          </cell>
          <cell r="D1977" t="str">
            <v>NAF.IR 558530</v>
          </cell>
        </row>
        <row r="1978">
          <cell r="C1978">
            <v>100286.04</v>
          </cell>
          <cell r="D1978" t="str">
            <v>IR.IR 28X35X48</v>
          </cell>
        </row>
        <row r="1979">
          <cell r="C1979">
            <v>100286.05</v>
          </cell>
          <cell r="D1979" t="str">
            <v>IR.IR 45X58X77</v>
          </cell>
        </row>
        <row r="1980">
          <cell r="C1980">
            <v>309286</v>
          </cell>
          <cell r="D1980" t="str">
            <v>NAF.MCG 558530</v>
          </cell>
        </row>
        <row r="1981">
          <cell r="C1981">
            <v>511283.01</v>
          </cell>
          <cell r="D1981" t="str">
            <v>RO 4X25.4 BR</v>
          </cell>
        </row>
        <row r="1982">
          <cell r="C1982">
            <v>100286.07</v>
          </cell>
          <cell r="D1982" t="str">
            <v>IR.IR 60X75X32</v>
          </cell>
        </row>
        <row r="1983">
          <cell r="C1983">
            <v>104287</v>
          </cell>
          <cell r="D1983" t="str">
            <v>NKM.IR 5565</v>
          </cell>
        </row>
        <row r="1984">
          <cell r="C1984">
            <v>208287</v>
          </cell>
          <cell r="D1984" t="str">
            <v>NKM.OR 5565</v>
          </cell>
        </row>
        <row r="1985">
          <cell r="C1985">
            <v>309287</v>
          </cell>
          <cell r="D1985" t="str">
            <v>NKM.MCG 5565</v>
          </cell>
        </row>
        <row r="1986">
          <cell r="C1986">
            <v>511264.01</v>
          </cell>
          <cell r="D1986" t="str">
            <v>RO 3X19.8 BR</v>
          </cell>
        </row>
        <row r="1987">
          <cell r="C1987">
            <v>913002</v>
          </cell>
          <cell r="D1987" t="str">
            <v>Box 75x30x75</v>
          </cell>
        </row>
        <row r="1988">
          <cell r="C1988">
            <v>104287.01</v>
          </cell>
          <cell r="D1988" t="str">
            <v>IRB.IR 2424</v>
          </cell>
        </row>
        <row r="1989">
          <cell r="C1989">
            <v>208287</v>
          </cell>
          <cell r="D1989" t="str">
            <v>NKM.OR 5565</v>
          </cell>
        </row>
        <row r="1990">
          <cell r="C1990">
            <v>309287</v>
          </cell>
          <cell r="D1990" t="str">
            <v>NKM.MCG 5565</v>
          </cell>
        </row>
        <row r="1991">
          <cell r="C1991">
            <v>511264.01</v>
          </cell>
          <cell r="D1991" t="str">
            <v>RO 3X19.8 BR</v>
          </cell>
        </row>
        <row r="1992">
          <cell r="C1992">
            <v>104287</v>
          </cell>
          <cell r="D1992" t="str">
            <v>NKM.IR 5565</v>
          </cell>
        </row>
        <row r="1993">
          <cell r="C1993">
            <v>208288</v>
          </cell>
          <cell r="D1993" t="str">
            <v>OW-BDA-4007</v>
          </cell>
        </row>
        <row r="1994">
          <cell r="C1994">
            <v>104288</v>
          </cell>
          <cell r="D1994" t="str">
            <v>IW-BDA-4007</v>
          </cell>
        </row>
        <row r="1995">
          <cell r="C1995">
            <v>104289.01</v>
          </cell>
          <cell r="D1995" t="str">
            <v>NA/RNA.IR 3055</v>
          </cell>
        </row>
        <row r="1996">
          <cell r="C1996">
            <v>208289.01</v>
          </cell>
          <cell r="D1996" t="str">
            <v>NA/RNA.OR 3055</v>
          </cell>
        </row>
        <row r="1997">
          <cell r="C1997">
            <v>309289.01</v>
          </cell>
          <cell r="D1997" t="str">
            <v>NA/RNA.MCG 3055</v>
          </cell>
        </row>
        <row r="1998">
          <cell r="C1998">
            <v>511996</v>
          </cell>
          <cell r="D1998" t="str">
            <v>RO 4X28.8</v>
          </cell>
        </row>
        <row r="1999">
          <cell r="C1999">
            <v>913008</v>
          </cell>
          <cell r="D1999" t="str">
            <v>Box 95x50x95</v>
          </cell>
        </row>
        <row r="2000">
          <cell r="C2000">
            <v>208289.01</v>
          </cell>
          <cell r="D2000" t="str">
            <v>NA/RNA.OR 3055</v>
          </cell>
        </row>
        <row r="2001">
          <cell r="C2001">
            <v>309289.01</v>
          </cell>
          <cell r="D2001" t="str">
            <v>NA/RNA.MCG 3055</v>
          </cell>
        </row>
        <row r="2002">
          <cell r="C2002">
            <v>511996</v>
          </cell>
          <cell r="D2002" t="str">
            <v>RO 4X28.8</v>
          </cell>
        </row>
        <row r="2003">
          <cell r="C2003">
            <v>913008</v>
          </cell>
          <cell r="D2003" t="str">
            <v>Box 95x50x95</v>
          </cell>
        </row>
        <row r="2004">
          <cell r="C2004">
            <v>104289.01</v>
          </cell>
          <cell r="D2004" t="str">
            <v>NA/RNA.IR 3055</v>
          </cell>
        </row>
        <row r="2005">
          <cell r="C2005">
            <v>104290.01</v>
          </cell>
          <cell r="D2005" t="str">
            <v>IR 17X22.350X17.2</v>
          </cell>
        </row>
        <row r="2006">
          <cell r="C2006">
            <v>104291.01</v>
          </cell>
          <cell r="D2006" t="str">
            <v>IR 17X20X16.500</v>
          </cell>
        </row>
        <row r="2007">
          <cell r="C2007">
            <v>104292.01</v>
          </cell>
          <cell r="D2007" t="str">
            <v>IR 17X20X20.5</v>
          </cell>
        </row>
        <row r="2008">
          <cell r="C2008">
            <v>104293</v>
          </cell>
          <cell r="D2008" t="str">
            <v>IR.210 YY2</v>
          </cell>
        </row>
        <row r="2009">
          <cell r="C2009">
            <v>208293</v>
          </cell>
          <cell r="D2009" t="str">
            <v>OR.210 YY2</v>
          </cell>
        </row>
        <row r="2010">
          <cell r="C2010">
            <v>309293</v>
          </cell>
          <cell r="D2010" t="str">
            <v>NCG 210 YY2</v>
          </cell>
        </row>
        <row r="2011">
          <cell r="C2011">
            <v>511192</v>
          </cell>
          <cell r="D2011" t="str">
            <v>BALL 1/2" (IS:2898-1976)</v>
          </cell>
        </row>
        <row r="2012">
          <cell r="C2012">
            <v>5221247</v>
          </cell>
          <cell r="D2012" t="str">
            <v>O G SHELL GADUS S2 V100 3</v>
          </cell>
        </row>
        <row r="2013">
          <cell r="C2013">
            <v>717293</v>
          </cell>
          <cell r="D2013" t="str">
            <v>SEAL 210 YY2</v>
          </cell>
        </row>
        <row r="2014">
          <cell r="C2014">
            <v>100293.5</v>
          </cell>
          <cell r="D2014" t="str">
            <v>IR. 212 YY4</v>
          </cell>
        </row>
        <row r="2015">
          <cell r="C2015">
            <v>200293.5</v>
          </cell>
          <cell r="D2015" t="str">
            <v>OR. 212 YY4</v>
          </cell>
        </row>
        <row r="2016">
          <cell r="C2016">
            <v>300293.5</v>
          </cell>
          <cell r="D2016" t="str">
            <v>NCG. 212 YY4</v>
          </cell>
        </row>
        <row r="2017">
          <cell r="C2017">
            <v>511257</v>
          </cell>
          <cell r="D2017" t="str">
            <v>BALL 13/32"(IS:2898-1976)</v>
          </cell>
        </row>
        <row r="2018">
          <cell r="C2018">
            <v>5221247</v>
          </cell>
          <cell r="D2018" t="str">
            <v>O G SHELL GADUS S2 V100 3</v>
          </cell>
        </row>
        <row r="2019">
          <cell r="C2019">
            <v>700293.5</v>
          </cell>
          <cell r="D2019" t="str">
            <v>SEAL. 212 YY4 (BOTTOM)</v>
          </cell>
        </row>
        <row r="2020">
          <cell r="C2020">
            <v>700293.51</v>
          </cell>
          <cell r="D2020" t="str">
            <v>SEAL. 212 YY4 (TOP)</v>
          </cell>
        </row>
        <row r="2021">
          <cell r="C2021">
            <v>208294</v>
          </cell>
          <cell r="D2021" t="str">
            <v>NKXR.OR 50              F</v>
          </cell>
        </row>
        <row r="2022">
          <cell r="C2022">
            <v>208294.01</v>
          </cell>
          <cell r="D2022" t="str">
            <v>NKXR.WASHER 50          F</v>
          </cell>
        </row>
        <row r="2023">
          <cell r="C2023">
            <v>309294</v>
          </cell>
          <cell r="D2023" t="str">
            <v>NKXR.MCG 50</v>
          </cell>
        </row>
        <row r="2024">
          <cell r="C2024">
            <v>309585</v>
          </cell>
          <cell r="D2024" t="str">
            <v>NCG 81110</v>
          </cell>
        </row>
        <row r="2025">
          <cell r="C2025">
            <v>511209.01</v>
          </cell>
          <cell r="D2025" t="str">
            <v>RO 2.5X16.8</v>
          </cell>
        </row>
        <row r="2026">
          <cell r="C2026">
            <v>511461</v>
          </cell>
          <cell r="D2026" t="str">
            <v>RO 6X6</v>
          </cell>
        </row>
        <row r="2027">
          <cell r="C2027">
            <v>717294</v>
          </cell>
          <cell r="D2027" t="str">
            <v>NKXR.METAL WASHER 50</v>
          </cell>
        </row>
        <row r="2028">
          <cell r="C2028">
            <v>717294.01</v>
          </cell>
          <cell r="D2028" t="str">
            <v>NKXR.METAL CUP 50</v>
          </cell>
        </row>
        <row r="2029">
          <cell r="C2029">
            <v>104294.02</v>
          </cell>
          <cell r="D2029" t="str">
            <v>NKSR.IR 50</v>
          </cell>
        </row>
        <row r="2030">
          <cell r="C2030">
            <v>208295</v>
          </cell>
          <cell r="D2030" t="str">
            <v>NKXR.OR 35              F</v>
          </cell>
        </row>
        <row r="2031">
          <cell r="C2031">
            <v>208295.01</v>
          </cell>
          <cell r="D2031" t="str">
            <v>NKXR.WASHER 35          F</v>
          </cell>
        </row>
        <row r="2032">
          <cell r="C2032">
            <v>309582</v>
          </cell>
          <cell r="D2032" t="str">
            <v>NCG 81107</v>
          </cell>
        </row>
        <row r="2033">
          <cell r="C2033">
            <v>309823.01</v>
          </cell>
          <cell r="D2033" t="str">
            <v>NKI.MCG 30/20(NK 35/20)</v>
          </cell>
        </row>
        <row r="2034">
          <cell r="C2034">
            <v>511410</v>
          </cell>
          <cell r="D2034" t="str">
            <v>RO 5X5 BPM</v>
          </cell>
        </row>
        <row r="2035">
          <cell r="C2035">
            <v>511819.01</v>
          </cell>
          <cell r="D2035" t="str">
            <v>RO 3X15.8</v>
          </cell>
        </row>
        <row r="2036">
          <cell r="C2036">
            <v>717295.01</v>
          </cell>
          <cell r="D2036" t="str">
            <v>NKXR.METAL CUP 35</v>
          </cell>
        </row>
        <row r="2037">
          <cell r="C2037">
            <v>104296</v>
          </cell>
          <cell r="D2037" t="str">
            <v>IR.3697001 [60X110]     F</v>
          </cell>
        </row>
        <row r="2038">
          <cell r="C2038">
            <v>208296</v>
          </cell>
          <cell r="D2038" t="str">
            <v>OR.3697001 [60X110]     F</v>
          </cell>
        </row>
        <row r="2039">
          <cell r="C2039">
            <v>309296</v>
          </cell>
          <cell r="D2039" t="str">
            <v>MCG.3697001 [60X110]</v>
          </cell>
        </row>
        <row r="2040">
          <cell r="C2040">
            <v>511296</v>
          </cell>
          <cell r="D2040" t="str">
            <v>BALL 5/8"</v>
          </cell>
        </row>
        <row r="2041">
          <cell r="C2041">
            <v>5221247</v>
          </cell>
          <cell r="D2041" t="str">
            <v>O G SHELL GADUS S2 V100 3</v>
          </cell>
        </row>
        <row r="2042">
          <cell r="C2042">
            <v>5221247.01</v>
          </cell>
          <cell r="D2042" t="str">
            <v/>
          </cell>
        </row>
        <row r="2043">
          <cell r="C2043">
            <v>717296</v>
          </cell>
          <cell r="D2043" t="str">
            <v>SEAL.3697001 [60X110]</v>
          </cell>
        </row>
        <row r="2044">
          <cell r="C2044">
            <v>104259</v>
          </cell>
          <cell r="D2044" t="str">
            <v>IR.14 00 1740           F</v>
          </cell>
        </row>
        <row r="2045">
          <cell r="C2045">
            <v>208297</v>
          </cell>
          <cell r="D2045" t="str">
            <v>OR.3697002 [60X97]      F</v>
          </cell>
        </row>
        <row r="2046">
          <cell r="C2046">
            <v>309259</v>
          </cell>
          <cell r="D2046" t="str">
            <v>NCG.14 00 1740</v>
          </cell>
        </row>
        <row r="2047">
          <cell r="C2047">
            <v>511257</v>
          </cell>
          <cell r="D2047" t="str">
            <v>BALL 13/32"(IS:2898-1976)</v>
          </cell>
        </row>
        <row r="2048">
          <cell r="C2048">
            <v>5221247</v>
          </cell>
          <cell r="D2048" t="str">
            <v>O G SHELL GADUS S2 V100 3</v>
          </cell>
        </row>
        <row r="2049">
          <cell r="C2049">
            <v>5221247.01</v>
          </cell>
          <cell r="D2049" t="str">
            <v/>
          </cell>
        </row>
        <row r="2050">
          <cell r="C2050">
            <v>717259</v>
          </cell>
          <cell r="D2050" t="str">
            <v>SEAL.14 00 1740</v>
          </cell>
        </row>
        <row r="2051">
          <cell r="C2051">
            <v>104298</v>
          </cell>
          <cell r="D2051" t="str">
            <v>IR.4303                 F</v>
          </cell>
        </row>
        <row r="2052">
          <cell r="C2052">
            <v>208298</v>
          </cell>
          <cell r="D2052" t="str">
            <v>OR.4303                 F</v>
          </cell>
        </row>
        <row r="2053">
          <cell r="C2053">
            <v>309298</v>
          </cell>
          <cell r="D2053" t="str">
            <v>NCG.4303</v>
          </cell>
        </row>
        <row r="2054">
          <cell r="C2054">
            <v>511993</v>
          </cell>
          <cell r="D2054" t="str">
            <v>BALL 5/16"(IS:2898-1976)</v>
          </cell>
        </row>
        <row r="2055">
          <cell r="C2055">
            <v>208299</v>
          </cell>
          <cell r="D2055" t="str">
            <v>OR.9916                 F</v>
          </cell>
        </row>
        <row r="2056">
          <cell r="C2056">
            <v>104299</v>
          </cell>
          <cell r="D2056" t="str">
            <v>IR.9916                 F</v>
          </cell>
        </row>
        <row r="2057">
          <cell r="C2057">
            <v>200299.11</v>
          </cell>
          <cell r="D2057" t="str">
            <v>OR.9913</v>
          </cell>
        </row>
        <row r="2058">
          <cell r="C2058">
            <v>100299.12</v>
          </cell>
          <cell r="D2058" t="str">
            <v>IR.9913</v>
          </cell>
        </row>
        <row r="2059">
          <cell r="C2059">
            <v>200299.13</v>
          </cell>
          <cell r="D2059" t="str">
            <v>OR.9913 C</v>
          </cell>
        </row>
        <row r="2060">
          <cell r="C2060">
            <v>100299.14</v>
          </cell>
          <cell r="D2060" t="str">
            <v>IR.9913 C</v>
          </cell>
        </row>
        <row r="2061">
          <cell r="C2061">
            <v>200299.21</v>
          </cell>
          <cell r="D2061" t="str">
            <v>OR 9937</v>
          </cell>
        </row>
        <row r="2062">
          <cell r="C2062">
            <v>100299.22</v>
          </cell>
          <cell r="D2062" t="str">
            <v>IR 9937</v>
          </cell>
        </row>
        <row r="2063">
          <cell r="C2063">
            <v>100299.24</v>
          </cell>
          <cell r="D2063" t="str">
            <v>IR 4008</v>
          </cell>
        </row>
        <row r="2064">
          <cell r="C2064">
            <v>200299.23</v>
          </cell>
          <cell r="D2064" t="str">
            <v>OR 4008</v>
          </cell>
        </row>
        <row r="2065">
          <cell r="C2065">
            <v>100299.24</v>
          </cell>
          <cell r="D2065" t="str">
            <v>IR 4008</v>
          </cell>
        </row>
        <row r="2066">
          <cell r="C2066">
            <v>200299.23</v>
          </cell>
          <cell r="D2066" t="str">
            <v>OR 4008</v>
          </cell>
        </row>
        <row r="2067">
          <cell r="C2067">
            <v>200299.25</v>
          </cell>
          <cell r="D2067" t="str">
            <v>OR. 9935</v>
          </cell>
        </row>
        <row r="2068">
          <cell r="C2068">
            <v>100299.26</v>
          </cell>
          <cell r="D2068" t="str">
            <v>IR. 9935</v>
          </cell>
        </row>
        <row r="2069">
          <cell r="C2069">
            <v>100299.28</v>
          </cell>
          <cell r="D2069" t="str">
            <v>IR.9938</v>
          </cell>
        </row>
        <row r="2070">
          <cell r="C2070">
            <v>100299.3</v>
          </cell>
          <cell r="D2070" t="str">
            <v>IR.IW-SK-V0068</v>
          </cell>
        </row>
        <row r="2071">
          <cell r="C2071">
            <v>104300.01</v>
          </cell>
          <cell r="D2071" t="str">
            <v>NA/RNA.IR 4900</v>
          </cell>
        </row>
        <row r="2072">
          <cell r="C2072">
            <v>208300.01</v>
          </cell>
          <cell r="D2072" t="str">
            <v>NA/RNA.OR 4900</v>
          </cell>
        </row>
        <row r="2073">
          <cell r="C2073">
            <v>309300.01</v>
          </cell>
          <cell r="D2073" t="str">
            <v>NA/RNA.MCG 4900</v>
          </cell>
        </row>
        <row r="2074">
          <cell r="C2074">
            <v>511060</v>
          </cell>
          <cell r="D2074" t="str">
            <v>RO 2.5X9.8</v>
          </cell>
        </row>
        <row r="2075">
          <cell r="C2075">
            <v>913016</v>
          </cell>
          <cell r="D2075" t="str">
            <v>Box 250x40x50</v>
          </cell>
        </row>
        <row r="2076">
          <cell r="C2076">
            <v>208300.01</v>
          </cell>
          <cell r="D2076" t="str">
            <v>NA/RNA.OR 4900</v>
          </cell>
        </row>
        <row r="2077">
          <cell r="C2077">
            <v>309300.01</v>
          </cell>
          <cell r="D2077" t="str">
            <v>NA/RNA.MCG 4900</v>
          </cell>
        </row>
        <row r="2078">
          <cell r="C2078">
            <v>511060</v>
          </cell>
          <cell r="D2078" t="str">
            <v>RO 2.5X9.8</v>
          </cell>
        </row>
        <row r="2079">
          <cell r="C2079">
            <v>913016</v>
          </cell>
          <cell r="D2079" t="str">
            <v>Box 250x40x50</v>
          </cell>
        </row>
        <row r="2080">
          <cell r="C2080">
            <v>104300.01</v>
          </cell>
          <cell r="D2080" t="str">
            <v>NA/RNA.IR 4900</v>
          </cell>
        </row>
        <row r="2081">
          <cell r="C2081">
            <v>104301.01</v>
          </cell>
          <cell r="D2081" t="str">
            <v>NA/RNA.IR 4901</v>
          </cell>
        </row>
        <row r="2082">
          <cell r="C2082">
            <v>208301.01</v>
          </cell>
          <cell r="D2082" t="str">
            <v>NA/RNA.OR 4901</v>
          </cell>
        </row>
        <row r="2083">
          <cell r="C2083">
            <v>309301.01</v>
          </cell>
          <cell r="D2083" t="str">
            <v>NA/RNA.MCG 4901</v>
          </cell>
        </row>
        <row r="2084">
          <cell r="C2084">
            <v>511060</v>
          </cell>
          <cell r="D2084" t="str">
            <v>RO 2.5X9.8</v>
          </cell>
        </row>
        <row r="2085">
          <cell r="C2085">
            <v>913016</v>
          </cell>
          <cell r="D2085" t="str">
            <v>Box 250x40x50</v>
          </cell>
        </row>
        <row r="2086">
          <cell r="C2086">
            <v>208301.01</v>
          </cell>
          <cell r="D2086" t="str">
            <v>NA/RNA.OR 4901</v>
          </cell>
        </row>
        <row r="2087">
          <cell r="C2087">
            <v>309301.01</v>
          </cell>
          <cell r="D2087" t="str">
            <v>NA/RNA.MCG 4901</v>
          </cell>
        </row>
        <row r="2088">
          <cell r="C2088">
            <v>511060</v>
          </cell>
          <cell r="D2088" t="str">
            <v>RO 2.5X9.8</v>
          </cell>
        </row>
        <row r="2089">
          <cell r="C2089">
            <v>913016</v>
          </cell>
          <cell r="D2089" t="str">
            <v>Box 250x40x50</v>
          </cell>
        </row>
        <row r="2090">
          <cell r="C2090">
            <v>104301.01</v>
          </cell>
          <cell r="D2090" t="str">
            <v>NA/RNA.IR 4901</v>
          </cell>
        </row>
        <row r="2091">
          <cell r="C2091">
            <v>104301.11</v>
          </cell>
          <cell r="D2091" t="str">
            <v>NA/RNA.IR 4901 2RS</v>
          </cell>
        </row>
        <row r="2092">
          <cell r="C2092">
            <v>208301.11</v>
          </cell>
          <cell r="D2092" t="str">
            <v>NA/RNA.OR 4901  2RS</v>
          </cell>
        </row>
        <row r="2093">
          <cell r="C2093">
            <v>104301.11</v>
          </cell>
          <cell r="D2093" t="str">
            <v>NA/RNA.IR 4901 2RS</v>
          </cell>
        </row>
        <row r="2094">
          <cell r="C2094">
            <v>104302.01</v>
          </cell>
          <cell r="D2094" t="str">
            <v>NA/RNA.IR 4902</v>
          </cell>
        </row>
        <row r="2095">
          <cell r="C2095">
            <v>208302.01</v>
          </cell>
          <cell r="D2095" t="str">
            <v>NA/RNA.OR 4902</v>
          </cell>
        </row>
        <row r="2096">
          <cell r="C2096">
            <v>309302.01</v>
          </cell>
          <cell r="D2096" t="str">
            <v>NA/RNA.MCG 4902</v>
          </cell>
        </row>
        <row r="2097">
          <cell r="C2097">
            <v>511060</v>
          </cell>
          <cell r="D2097" t="str">
            <v>RO 2.5X9.8</v>
          </cell>
        </row>
        <row r="2098">
          <cell r="C2098">
            <v>913016</v>
          </cell>
          <cell r="D2098" t="str">
            <v>Box 250x40x50</v>
          </cell>
        </row>
        <row r="2099">
          <cell r="C2099">
            <v>208302.01</v>
          </cell>
          <cell r="D2099" t="str">
            <v>NA/RNA.OR 4902</v>
          </cell>
        </row>
        <row r="2100">
          <cell r="C2100">
            <v>309302.01</v>
          </cell>
          <cell r="D2100" t="str">
            <v>NA/RNA.MCG 4902</v>
          </cell>
        </row>
        <row r="2101">
          <cell r="C2101">
            <v>511060</v>
          </cell>
          <cell r="D2101" t="str">
            <v>RO 2.5X9.8</v>
          </cell>
        </row>
        <row r="2102">
          <cell r="C2102">
            <v>913016</v>
          </cell>
          <cell r="D2102" t="str">
            <v>Box 250x40x50</v>
          </cell>
        </row>
        <row r="2103">
          <cell r="C2103">
            <v>104302.01</v>
          </cell>
          <cell r="D2103" t="str">
            <v>NA/RNA.IR 4902</v>
          </cell>
        </row>
        <row r="2104">
          <cell r="C2104">
            <v>200302.1</v>
          </cell>
          <cell r="D2104" t="str">
            <v>RNA.OR 4902 TN</v>
          </cell>
        </row>
        <row r="2105">
          <cell r="C2105">
            <v>300302.09999999998</v>
          </cell>
          <cell r="D2105" t="str">
            <v>RNA.NCG 4902</v>
          </cell>
        </row>
        <row r="2106">
          <cell r="C2106">
            <v>500302.1</v>
          </cell>
          <cell r="D2106" t="str">
            <v>RO 2.5X8 BPM</v>
          </cell>
        </row>
        <row r="2107">
          <cell r="C2107">
            <v>208302.01</v>
          </cell>
          <cell r="D2107" t="str">
            <v>NA/RNA.OR 4902</v>
          </cell>
        </row>
        <row r="2108">
          <cell r="C2108">
            <v>309302.01</v>
          </cell>
          <cell r="D2108" t="str">
            <v>NA/RNA.MCG 4902</v>
          </cell>
        </row>
        <row r="2109">
          <cell r="C2109">
            <v>511060</v>
          </cell>
          <cell r="D2109" t="str">
            <v>RO 2.5X9.8</v>
          </cell>
        </row>
        <row r="2110">
          <cell r="C2110">
            <v>104303.01</v>
          </cell>
          <cell r="D2110" t="str">
            <v>NA/RNA.IR 4903</v>
          </cell>
        </row>
        <row r="2111">
          <cell r="C2111">
            <v>208303.01</v>
          </cell>
          <cell r="D2111" t="str">
            <v>NA/RNA.OR 4903</v>
          </cell>
        </row>
        <row r="2112">
          <cell r="C2112">
            <v>309303.01</v>
          </cell>
          <cell r="D2112" t="str">
            <v>NA/RNA.MCG 4903</v>
          </cell>
        </row>
        <row r="2113">
          <cell r="C2113">
            <v>511060</v>
          </cell>
          <cell r="D2113" t="str">
            <v>RO 2.5X9.8</v>
          </cell>
        </row>
        <row r="2114">
          <cell r="C2114">
            <v>913016</v>
          </cell>
          <cell r="D2114" t="str">
            <v>Box 250x40x50</v>
          </cell>
        </row>
        <row r="2115">
          <cell r="C2115">
            <v>208303.01</v>
          </cell>
          <cell r="D2115" t="str">
            <v>NA/RNA.OR 4903</v>
          </cell>
        </row>
        <row r="2116">
          <cell r="C2116">
            <v>309303.01</v>
          </cell>
          <cell r="D2116" t="str">
            <v>NA/RNA.MCG 4903</v>
          </cell>
        </row>
        <row r="2117">
          <cell r="C2117">
            <v>511060</v>
          </cell>
          <cell r="D2117" t="str">
            <v>RO 2.5X9.8</v>
          </cell>
        </row>
        <row r="2118">
          <cell r="C2118">
            <v>913016</v>
          </cell>
          <cell r="D2118" t="str">
            <v>Box 250x40x50</v>
          </cell>
        </row>
        <row r="2119">
          <cell r="C2119">
            <v>104303.01</v>
          </cell>
          <cell r="D2119" t="str">
            <v>NA/RNA.IR 4903</v>
          </cell>
        </row>
        <row r="2120">
          <cell r="C2120">
            <v>104303.11</v>
          </cell>
          <cell r="D2120" t="str">
            <v>NA/RNA.IR 4903      2RS</v>
          </cell>
        </row>
        <row r="2121">
          <cell r="C2121">
            <v>208303.11</v>
          </cell>
          <cell r="D2121" t="str">
            <v>NA/RNA.OR 4903      2RS</v>
          </cell>
        </row>
        <row r="2122">
          <cell r="C2122">
            <v>309303.11</v>
          </cell>
          <cell r="D2122" t="str">
            <v>NA/RNA.MCG 4903     2RS</v>
          </cell>
        </row>
        <row r="2123">
          <cell r="C2123">
            <v>511450</v>
          </cell>
          <cell r="D2123" t="str">
            <v>RO 2.5X7.8</v>
          </cell>
        </row>
        <row r="2124">
          <cell r="C2124">
            <v>717303.11</v>
          </cell>
          <cell r="D2124" t="str">
            <v>SEAL 4903             2RS</v>
          </cell>
        </row>
        <row r="2125">
          <cell r="C2125">
            <v>913016</v>
          </cell>
          <cell r="D2125" t="str">
            <v>Box 250x40x50</v>
          </cell>
        </row>
        <row r="2126">
          <cell r="C2126">
            <v>208303.11</v>
          </cell>
          <cell r="D2126" t="str">
            <v>NA/RNA.OR 4903      2RS</v>
          </cell>
        </row>
        <row r="2127">
          <cell r="C2127">
            <v>309303.11</v>
          </cell>
          <cell r="D2127" t="str">
            <v>NA/RNA.MCG 4903     2RS</v>
          </cell>
        </row>
        <row r="2128">
          <cell r="C2128">
            <v>511450</v>
          </cell>
          <cell r="D2128" t="str">
            <v>RO 2.5X7.8</v>
          </cell>
        </row>
        <row r="2129">
          <cell r="C2129">
            <v>913016</v>
          </cell>
          <cell r="D2129" t="str">
            <v>Box 250x40x50</v>
          </cell>
        </row>
        <row r="2130">
          <cell r="C2130">
            <v>104303.11</v>
          </cell>
          <cell r="D2130" t="str">
            <v>NA/RNA.IR 4903      2RS</v>
          </cell>
        </row>
        <row r="2131">
          <cell r="C2131">
            <v>104304.01</v>
          </cell>
          <cell r="D2131" t="str">
            <v>NA/RNA.IR 4904</v>
          </cell>
        </row>
        <row r="2132">
          <cell r="C2132">
            <v>208304.01</v>
          </cell>
          <cell r="D2132" t="str">
            <v>NA/RNA.OR 4904</v>
          </cell>
        </row>
        <row r="2133">
          <cell r="C2133">
            <v>309304.01</v>
          </cell>
          <cell r="D2133" t="str">
            <v>NA/RNA.MCG 4904</v>
          </cell>
        </row>
        <row r="2134">
          <cell r="C2134">
            <v>511304.01</v>
          </cell>
          <cell r="D2134" t="str">
            <v>RO 4X12.8</v>
          </cell>
        </row>
        <row r="2135">
          <cell r="C2135">
            <v>913016</v>
          </cell>
          <cell r="D2135" t="str">
            <v>Box 250x40x50</v>
          </cell>
        </row>
        <row r="2136">
          <cell r="C2136">
            <v>208304.01</v>
          </cell>
          <cell r="D2136" t="str">
            <v>NA/RNA.OR 4904</v>
          </cell>
        </row>
        <row r="2137">
          <cell r="C2137">
            <v>309304.01</v>
          </cell>
          <cell r="D2137" t="str">
            <v>NA/RNA.MCG 4904</v>
          </cell>
        </row>
        <row r="2138">
          <cell r="C2138">
            <v>511304.01</v>
          </cell>
          <cell r="D2138" t="str">
            <v>RO 4X12.8</v>
          </cell>
        </row>
        <row r="2139">
          <cell r="C2139">
            <v>913016</v>
          </cell>
          <cell r="D2139" t="str">
            <v>Box 250x40x50</v>
          </cell>
        </row>
        <row r="2140">
          <cell r="C2140">
            <v>104304.01</v>
          </cell>
          <cell r="D2140" t="str">
            <v>NA/RNA.IR 4904</v>
          </cell>
        </row>
        <row r="2141">
          <cell r="C2141">
            <v>104304.01</v>
          </cell>
          <cell r="D2141" t="str">
            <v>NA/RNA.IR 4904</v>
          </cell>
        </row>
        <row r="2142">
          <cell r="C2142">
            <v>208304.01</v>
          </cell>
          <cell r="D2142" t="str">
            <v>NA/RNA.OR 4904</v>
          </cell>
        </row>
        <row r="2143">
          <cell r="C2143">
            <v>309304.01</v>
          </cell>
          <cell r="D2143" t="str">
            <v>NA/RNA.MCG 4904</v>
          </cell>
        </row>
        <row r="2144">
          <cell r="C2144">
            <v>511304.01</v>
          </cell>
          <cell r="D2144" t="str">
            <v>RO 4X12.8</v>
          </cell>
        </row>
        <row r="2145">
          <cell r="C2145">
            <v>913016.01</v>
          </cell>
          <cell r="D2145" t="str">
            <v>Box 250x40x50(BR 3200)</v>
          </cell>
        </row>
        <row r="2146">
          <cell r="C2146">
            <v>104304.01</v>
          </cell>
          <cell r="D2146" t="str">
            <v>NA/RNA.IR 4904</v>
          </cell>
        </row>
        <row r="2147">
          <cell r="C2147">
            <v>104305.01</v>
          </cell>
          <cell r="D2147" t="str">
            <v>NA/RNA.IR 4905</v>
          </cell>
        </row>
        <row r="2148">
          <cell r="C2148">
            <v>208305.01</v>
          </cell>
          <cell r="D2148" t="str">
            <v>NA/RNA.OR 4905</v>
          </cell>
        </row>
        <row r="2149">
          <cell r="C2149">
            <v>309305.01</v>
          </cell>
          <cell r="D2149" t="str">
            <v>NA/RNA.MCG 4905</v>
          </cell>
        </row>
        <row r="2150">
          <cell r="C2150">
            <v>511304.01</v>
          </cell>
          <cell r="D2150" t="str">
            <v>RO 4X12.8</v>
          </cell>
        </row>
        <row r="2151">
          <cell r="C2151">
            <v>913016</v>
          </cell>
          <cell r="D2151" t="str">
            <v>Box 250x40x50</v>
          </cell>
        </row>
        <row r="2152">
          <cell r="C2152">
            <v>208305.01</v>
          </cell>
          <cell r="D2152" t="str">
            <v>NA/RNA.OR 4905</v>
          </cell>
        </row>
        <row r="2153">
          <cell r="C2153">
            <v>309305.01</v>
          </cell>
          <cell r="D2153" t="str">
            <v>NA/RNA.MCG 4905</v>
          </cell>
        </row>
        <row r="2154">
          <cell r="C2154">
            <v>511304.01</v>
          </cell>
          <cell r="D2154" t="str">
            <v>RO 4X12.8</v>
          </cell>
        </row>
        <row r="2155">
          <cell r="C2155">
            <v>913016</v>
          </cell>
          <cell r="D2155" t="str">
            <v>Box 250x40x50</v>
          </cell>
        </row>
        <row r="2156">
          <cell r="C2156">
            <v>104305.01</v>
          </cell>
          <cell r="D2156" t="str">
            <v>NA/RNA.IR 4905</v>
          </cell>
        </row>
        <row r="2157">
          <cell r="C2157">
            <v>208305.01</v>
          </cell>
          <cell r="D2157" t="str">
            <v>NA/RNA.OR 4905</v>
          </cell>
        </row>
        <row r="2158">
          <cell r="C2158">
            <v>309305.01</v>
          </cell>
          <cell r="D2158" t="str">
            <v>NA/RNA.MCG 4905</v>
          </cell>
        </row>
        <row r="2159">
          <cell r="C2159">
            <v>511304.01</v>
          </cell>
          <cell r="D2159" t="str">
            <v>RO 4X12.8</v>
          </cell>
        </row>
        <row r="2160">
          <cell r="C2160">
            <v>104305.11</v>
          </cell>
          <cell r="D2160" t="str">
            <v>NA/RNA.IR 4905      2RS</v>
          </cell>
        </row>
        <row r="2161">
          <cell r="C2161">
            <v>208305.11</v>
          </cell>
          <cell r="D2161" t="str">
            <v>NA/RNA.OR 4905      2RS</v>
          </cell>
        </row>
        <row r="2162">
          <cell r="C2162">
            <v>309305.11</v>
          </cell>
          <cell r="D2162" t="str">
            <v>NA/RNA.MCG 4905     2RS</v>
          </cell>
        </row>
        <row r="2163">
          <cell r="C2163">
            <v>511305.11</v>
          </cell>
          <cell r="D2163" t="str">
            <v>RO 4X9.8</v>
          </cell>
        </row>
        <row r="2164">
          <cell r="C2164">
            <v>717305.11</v>
          </cell>
          <cell r="D2164" t="str">
            <v>SEAL 4905             2RS</v>
          </cell>
        </row>
        <row r="2165">
          <cell r="C2165">
            <v>913006</v>
          </cell>
          <cell r="D2165" t="str">
            <v>Box 50x35x50</v>
          </cell>
        </row>
        <row r="2166">
          <cell r="C2166">
            <v>208305.11</v>
          </cell>
          <cell r="D2166" t="str">
            <v>NA/RNA.OR 4905      2RS</v>
          </cell>
        </row>
        <row r="2167">
          <cell r="C2167">
            <v>309305.11</v>
          </cell>
          <cell r="D2167" t="str">
            <v>NA/RNA.MCG 4905     2RS</v>
          </cell>
        </row>
        <row r="2168">
          <cell r="C2168">
            <v>511305.11</v>
          </cell>
          <cell r="D2168" t="str">
            <v>RO 4X9.8</v>
          </cell>
        </row>
        <row r="2169">
          <cell r="C2169">
            <v>717305.11</v>
          </cell>
          <cell r="D2169" t="str">
            <v>SEAL 4905             2RS</v>
          </cell>
        </row>
        <row r="2170">
          <cell r="C2170">
            <v>913006</v>
          </cell>
          <cell r="D2170" t="str">
            <v>Box 50x35x50</v>
          </cell>
        </row>
        <row r="2171">
          <cell r="C2171">
            <v>104305.11</v>
          </cell>
          <cell r="D2171" t="str">
            <v>NA/RNA.IR 4905      2RS</v>
          </cell>
        </row>
        <row r="2172">
          <cell r="C2172">
            <v>104305.11</v>
          </cell>
          <cell r="D2172" t="str">
            <v>NA/RNA.IR 4905      2RS</v>
          </cell>
        </row>
        <row r="2173">
          <cell r="C2173">
            <v>208305.11</v>
          </cell>
          <cell r="D2173" t="str">
            <v>NA/RNA.OR 4905      2RS</v>
          </cell>
        </row>
        <row r="2174">
          <cell r="C2174">
            <v>309305.11</v>
          </cell>
          <cell r="D2174" t="str">
            <v>NA/RNA.MCG 4905     2RS</v>
          </cell>
        </row>
        <row r="2175">
          <cell r="C2175">
            <v>511305.11</v>
          </cell>
          <cell r="D2175" t="str">
            <v>RO 4X9.8</v>
          </cell>
        </row>
        <row r="2176">
          <cell r="C2176">
            <v>717305.11</v>
          </cell>
          <cell r="D2176" t="str">
            <v>SEAL 4905             2RS</v>
          </cell>
        </row>
        <row r="2177">
          <cell r="C2177">
            <v>913006</v>
          </cell>
          <cell r="D2177" t="str">
            <v>Box 50x35x50</v>
          </cell>
        </row>
        <row r="2178">
          <cell r="C2178">
            <v>208305.11</v>
          </cell>
          <cell r="D2178" t="str">
            <v>NA/RNA.OR 4905      2RS</v>
          </cell>
        </row>
        <row r="2179">
          <cell r="C2179">
            <v>309305.11</v>
          </cell>
          <cell r="D2179" t="str">
            <v>NA/RNA.MCG 4905     2RS</v>
          </cell>
        </row>
        <row r="2180">
          <cell r="C2180">
            <v>511305.11</v>
          </cell>
          <cell r="D2180" t="str">
            <v>RO 4X9.8</v>
          </cell>
        </row>
        <row r="2181">
          <cell r="C2181">
            <v>717305.11</v>
          </cell>
          <cell r="D2181" t="str">
            <v>SEAL 4905             2RS</v>
          </cell>
        </row>
        <row r="2182">
          <cell r="C2182">
            <v>913006</v>
          </cell>
          <cell r="D2182" t="str">
            <v>Box 50x35x50</v>
          </cell>
        </row>
        <row r="2183">
          <cell r="C2183">
            <v>104306.01</v>
          </cell>
          <cell r="D2183" t="str">
            <v>NA/RNA.IR 4906</v>
          </cell>
        </row>
        <row r="2184">
          <cell r="C2184">
            <v>208306.01</v>
          </cell>
          <cell r="D2184" t="str">
            <v>NA/RNA.OR 4906</v>
          </cell>
        </row>
        <row r="2185">
          <cell r="C2185">
            <v>309306.01</v>
          </cell>
          <cell r="D2185" t="str">
            <v>NA/RNA.MCG 4906</v>
          </cell>
        </row>
        <row r="2186">
          <cell r="C2186">
            <v>511304.01</v>
          </cell>
          <cell r="D2186" t="str">
            <v>RO 4X12.8</v>
          </cell>
        </row>
        <row r="2187">
          <cell r="C2187">
            <v>913006</v>
          </cell>
          <cell r="D2187" t="str">
            <v>Box 50x35x50</v>
          </cell>
        </row>
        <row r="2188">
          <cell r="C2188">
            <v>208306.01</v>
          </cell>
          <cell r="D2188" t="str">
            <v>NA/RNA.OR 4906</v>
          </cell>
        </row>
        <row r="2189">
          <cell r="C2189">
            <v>309306.01</v>
          </cell>
          <cell r="D2189" t="str">
            <v>NA/RNA.MCG 4906</v>
          </cell>
        </row>
        <row r="2190">
          <cell r="C2190">
            <v>511304.01</v>
          </cell>
          <cell r="D2190" t="str">
            <v>RO 4X12.8</v>
          </cell>
        </row>
        <row r="2191">
          <cell r="C2191">
            <v>913006</v>
          </cell>
          <cell r="D2191" t="str">
            <v>Box 50x35x50</v>
          </cell>
        </row>
        <row r="2192">
          <cell r="C2192">
            <v>104306.01</v>
          </cell>
          <cell r="D2192" t="str">
            <v>NA/RNA.IR 4906</v>
          </cell>
        </row>
        <row r="2193">
          <cell r="C2193">
            <v>104306.01</v>
          </cell>
          <cell r="D2193" t="str">
            <v>NA/RNA.IR 4906</v>
          </cell>
        </row>
        <row r="2194">
          <cell r="C2194">
            <v>208306.01</v>
          </cell>
          <cell r="D2194" t="str">
            <v>NA/RNA.OR 4906</v>
          </cell>
        </row>
        <row r="2195">
          <cell r="C2195">
            <v>309306.01</v>
          </cell>
          <cell r="D2195" t="str">
            <v>NA/RNA.MCG 4906</v>
          </cell>
        </row>
        <row r="2196">
          <cell r="C2196">
            <v>511304.01</v>
          </cell>
          <cell r="D2196" t="str">
            <v>RO 4X12.8</v>
          </cell>
        </row>
        <row r="2197">
          <cell r="C2197">
            <v>913006</v>
          </cell>
          <cell r="D2197" t="str">
            <v>Box 50x35x50</v>
          </cell>
        </row>
        <row r="2198">
          <cell r="C2198">
            <v>104307.01</v>
          </cell>
          <cell r="D2198" t="str">
            <v>NA/RNA.IR 4907</v>
          </cell>
        </row>
        <row r="2199">
          <cell r="C2199">
            <v>208307.01</v>
          </cell>
          <cell r="D2199" t="str">
            <v>NA/RNA.OR 4907</v>
          </cell>
        </row>
        <row r="2200">
          <cell r="C2200">
            <v>309307.01</v>
          </cell>
          <cell r="D2200" t="str">
            <v>NA/RNA.MCG 4907</v>
          </cell>
        </row>
        <row r="2201">
          <cell r="C2201">
            <v>511436</v>
          </cell>
          <cell r="D2201" t="str">
            <v>RO 4X15.8 (CRA)</v>
          </cell>
        </row>
        <row r="2202">
          <cell r="C2202">
            <v>208307.01</v>
          </cell>
          <cell r="D2202" t="str">
            <v>NA/RNA.OR 4907</v>
          </cell>
        </row>
        <row r="2203">
          <cell r="C2203">
            <v>309307.01</v>
          </cell>
          <cell r="D2203" t="str">
            <v>NA/RNA.MCG 4907</v>
          </cell>
        </row>
        <row r="2204">
          <cell r="C2204">
            <v>511436</v>
          </cell>
          <cell r="D2204" t="str">
            <v>RO 4X15.8 (CRA)</v>
          </cell>
        </row>
        <row r="2205">
          <cell r="C2205">
            <v>104307.01</v>
          </cell>
          <cell r="D2205" t="str">
            <v>NA/RNA.IR 4907</v>
          </cell>
        </row>
        <row r="2206">
          <cell r="C2206">
            <v>104308.01</v>
          </cell>
          <cell r="D2206" t="str">
            <v>NA/RNA.IR 4908</v>
          </cell>
        </row>
        <row r="2207">
          <cell r="C2207">
            <v>208308.01</v>
          </cell>
          <cell r="D2207" t="str">
            <v>NA/RNA.OR 4908</v>
          </cell>
        </row>
        <row r="2208">
          <cell r="C2208">
            <v>309308.01</v>
          </cell>
          <cell r="D2208" t="str">
            <v>NA/RNA.MCG 4908</v>
          </cell>
        </row>
        <row r="2209">
          <cell r="C2209">
            <v>511308.01</v>
          </cell>
          <cell r="D2209" t="str">
            <v>RO 5X16.8</v>
          </cell>
        </row>
        <row r="2210">
          <cell r="C2210">
            <v>913002</v>
          </cell>
          <cell r="D2210" t="str">
            <v>Box 75x30x75</v>
          </cell>
        </row>
        <row r="2211">
          <cell r="C2211">
            <v>208308.01</v>
          </cell>
          <cell r="D2211" t="str">
            <v>NA/RNA.OR 4908</v>
          </cell>
        </row>
        <row r="2212">
          <cell r="C2212">
            <v>309308.01</v>
          </cell>
          <cell r="D2212" t="str">
            <v>NA/RNA.MCG 4908</v>
          </cell>
        </row>
        <row r="2213">
          <cell r="C2213">
            <v>511308.01</v>
          </cell>
          <cell r="D2213" t="str">
            <v>RO 5X16.8</v>
          </cell>
        </row>
        <row r="2214">
          <cell r="C2214">
            <v>913002</v>
          </cell>
          <cell r="D2214" t="str">
            <v>Box 75x30x75</v>
          </cell>
        </row>
        <row r="2215">
          <cell r="C2215">
            <v>104308.01</v>
          </cell>
          <cell r="D2215" t="str">
            <v>NA/RNA.IR 4908</v>
          </cell>
        </row>
        <row r="2216">
          <cell r="C2216">
            <v>104308.11</v>
          </cell>
          <cell r="D2216" t="str">
            <v>NA/RNA.IR 4908 2RS</v>
          </cell>
        </row>
        <row r="2217">
          <cell r="C2217">
            <v>208308.11</v>
          </cell>
          <cell r="D2217" t="str">
            <v>NA/RNA.OR 4908 2RS</v>
          </cell>
        </row>
        <row r="2218">
          <cell r="C2218">
            <v>309308.11</v>
          </cell>
          <cell r="D2218" t="str">
            <v>NA/RNA.MCG 4908 2RS</v>
          </cell>
        </row>
        <row r="2219">
          <cell r="C2219">
            <v>511308.11</v>
          </cell>
          <cell r="D2219" t="str">
            <v>RO 4.5X13.8</v>
          </cell>
        </row>
        <row r="2220">
          <cell r="C2220">
            <v>717308.11</v>
          </cell>
          <cell r="D2220" t="str">
            <v>SEAL 4908             2RS</v>
          </cell>
        </row>
        <row r="2221">
          <cell r="C2221">
            <v>913002</v>
          </cell>
          <cell r="D2221" t="str">
            <v>Box 75x30x75</v>
          </cell>
        </row>
        <row r="2222">
          <cell r="C2222">
            <v>208308.11</v>
          </cell>
          <cell r="D2222" t="str">
            <v>NA/RNA.OR 4908 2RS</v>
          </cell>
        </row>
        <row r="2223">
          <cell r="C2223">
            <v>309308.11</v>
          </cell>
          <cell r="D2223" t="str">
            <v>NA/RNA.MCG 4908 2RS</v>
          </cell>
        </row>
        <row r="2224">
          <cell r="C2224">
            <v>511308.11</v>
          </cell>
          <cell r="D2224" t="str">
            <v>RO 4.5X13.8</v>
          </cell>
        </row>
        <row r="2225">
          <cell r="C2225">
            <v>913002</v>
          </cell>
          <cell r="D2225" t="str">
            <v>Box 75x30x75</v>
          </cell>
        </row>
        <row r="2226">
          <cell r="C2226">
            <v>104308.11</v>
          </cell>
          <cell r="D2226" t="str">
            <v>NA/RNA.IR 4908 2RS</v>
          </cell>
        </row>
        <row r="2227">
          <cell r="C2227">
            <v>104308.21</v>
          </cell>
          <cell r="D2227" t="str">
            <v>NA/RNA.IR 95072         F</v>
          </cell>
        </row>
        <row r="2228">
          <cell r="C2228">
            <v>208308.21</v>
          </cell>
          <cell r="D2228" t="str">
            <v>NA/RNA.OR 95072         F</v>
          </cell>
        </row>
        <row r="2229">
          <cell r="C2229">
            <v>309308.21000000002</v>
          </cell>
          <cell r="D2229" t="str">
            <v>NA/RNA.MCG 950072</v>
          </cell>
        </row>
        <row r="2230">
          <cell r="C2230">
            <v>511308.21</v>
          </cell>
          <cell r="D2230" t="str">
            <v>RO 4X16.8 BP</v>
          </cell>
        </row>
        <row r="2231">
          <cell r="C2231">
            <v>208308.21</v>
          </cell>
          <cell r="D2231" t="str">
            <v>NA/RNA.OR 95072         F</v>
          </cell>
        </row>
        <row r="2232">
          <cell r="C2232">
            <v>309308.21000000002</v>
          </cell>
          <cell r="D2232" t="str">
            <v>NA/RNA.MCG 950072</v>
          </cell>
        </row>
        <row r="2233">
          <cell r="C2233">
            <v>511308.21</v>
          </cell>
          <cell r="D2233" t="str">
            <v>RO 4X16.8 BP</v>
          </cell>
        </row>
        <row r="2234">
          <cell r="C2234">
            <v>104308.21</v>
          </cell>
          <cell r="D2234" t="str">
            <v>NA/RNA.IR 95072         F</v>
          </cell>
        </row>
        <row r="2235">
          <cell r="C2235">
            <v>208308.01</v>
          </cell>
          <cell r="D2235" t="str">
            <v>NA/RNA.OR 4908</v>
          </cell>
        </row>
        <row r="2236">
          <cell r="C2236">
            <v>309308.01</v>
          </cell>
          <cell r="D2236" t="str">
            <v>NA/RNA.MCG 4908</v>
          </cell>
        </row>
        <row r="2237">
          <cell r="C2237">
            <v>511308.01</v>
          </cell>
          <cell r="D2237" t="str">
            <v>RO 5X16.8</v>
          </cell>
        </row>
        <row r="2238">
          <cell r="C2238">
            <v>913002</v>
          </cell>
          <cell r="D2238" t="str">
            <v>Box 75x30x75</v>
          </cell>
        </row>
        <row r="2239">
          <cell r="C2239">
            <v>104309.01</v>
          </cell>
          <cell r="D2239" t="str">
            <v>NA/RNA.IR 4909</v>
          </cell>
        </row>
        <row r="2240">
          <cell r="C2240">
            <v>208309.01</v>
          </cell>
          <cell r="D2240" t="str">
            <v>NA/RNA.OR 4909</v>
          </cell>
        </row>
        <row r="2241">
          <cell r="C2241">
            <v>309309.01</v>
          </cell>
          <cell r="D2241" t="str">
            <v>NA/RNA.MCG 4909</v>
          </cell>
        </row>
        <row r="2242">
          <cell r="C2242">
            <v>511308.01</v>
          </cell>
          <cell r="D2242" t="str">
            <v>RO 5X16.8</v>
          </cell>
        </row>
        <row r="2243">
          <cell r="C2243">
            <v>913002</v>
          </cell>
          <cell r="D2243" t="str">
            <v>Box 75x30x75</v>
          </cell>
        </row>
        <row r="2244">
          <cell r="C2244">
            <v>208309.01</v>
          </cell>
          <cell r="D2244" t="str">
            <v>NA/RNA.OR 4909</v>
          </cell>
        </row>
        <row r="2245">
          <cell r="C2245">
            <v>309309.01</v>
          </cell>
          <cell r="D2245" t="str">
            <v>NA/RNA.MCG 4909</v>
          </cell>
        </row>
        <row r="2246">
          <cell r="C2246">
            <v>511308.01</v>
          </cell>
          <cell r="D2246" t="str">
            <v>RO 5X16.8</v>
          </cell>
        </row>
        <row r="2247">
          <cell r="C2247">
            <v>913002</v>
          </cell>
          <cell r="D2247" t="str">
            <v>Box 75x30x75</v>
          </cell>
        </row>
        <row r="2248">
          <cell r="C2248">
            <v>104309.01</v>
          </cell>
          <cell r="D2248" t="str">
            <v>NA/RNA.IR 4909</v>
          </cell>
        </row>
        <row r="2249">
          <cell r="C2249">
            <v>208309.01</v>
          </cell>
          <cell r="D2249" t="str">
            <v>NA/RNA.OR 4909</v>
          </cell>
        </row>
        <row r="2250">
          <cell r="C2250">
            <v>309309.01</v>
          </cell>
          <cell r="D2250" t="str">
            <v>NA/RNA.MCG 4909</v>
          </cell>
        </row>
        <row r="2251">
          <cell r="C2251">
            <v>511308.01</v>
          </cell>
          <cell r="D2251" t="str">
            <v>RO 5X16.8</v>
          </cell>
        </row>
        <row r="2252">
          <cell r="C2252">
            <v>913002</v>
          </cell>
          <cell r="D2252" t="str">
            <v>Box 75x30x75</v>
          </cell>
        </row>
        <row r="2253">
          <cell r="C2253">
            <v>104310.01</v>
          </cell>
          <cell r="D2253" t="str">
            <v>NA/RNA.IR 4910</v>
          </cell>
        </row>
        <row r="2254">
          <cell r="C2254">
            <v>208310.01</v>
          </cell>
          <cell r="D2254" t="str">
            <v>NA/RNA.OR 4910</v>
          </cell>
        </row>
        <row r="2255">
          <cell r="C2255">
            <v>309310.01</v>
          </cell>
          <cell r="D2255" t="str">
            <v>NA/RNA.MCG 4910</v>
          </cell>
        </row>
        <row r="2256">
          <cell r="C2256">
            <v>511308.01</v>
          </cell>
          <cell r="D2256" t="str">
            <v>RO 5X16.8</v>
          </cell>
        </row>
        <row r="2257">
          <cell r="C2257">
            <v>913002</v>
          </cell>
          <cell r="D2257" t="str">
            <v>Box 75x30x75</v>
          </cell>
        </row>
        <row r="2258">
          <cell r="C2258">
            <v>208310.01</v>
          </cell>
          <cell r="D2258" t="str">
            <v>NA/RNA.OR 4910</v>
          </cell>
        </row>
        <row r="2259">
          <cell r="C2259">
            <v>309310.01</v>
          </cell>
          <cell r="D2259" t="str">
            <v>NA/RNA.MCG 4910</v>
          </cell>
        </row>
        <row r="2260">
          <cell r="C2260">
            <v>511308.01</v>
          </cell>
          <cell r="D2260" t="str">
            <v>RO 5X16.8</v>
          </cell>
        </row>
        <row r="2261">
          <cell r="C2261">
            <v>913002</v>
          </cell>
          <cell r="D2261" t="str">
            <v>Box 75x30x75</v>
          </cell>
        </row>
        <row r="2262">
          <cell r="C2262">
            <v>104310.01</v>
          </cell>
          <cell r="D2262" t="str">
            <v>NA/RNA.IR 4910</v>
          </cell>
        </row>
        <row r="2263">
          <cell r="C2263">
            <v>104310.06</v>
          </cell>
          <cell r="D2263" t="str">
            <v>NU.IR 4910              F</v>
          </cell>
        </row>
        <row r="2264">
          <cell r="C2264">
            <v>208310.06</v>
          </cell>
          <cell r="D2264" t="str">
            <v>NU.OR 4910              F</v>
          </cell>
        </row>
        <row r="2265">
          <cell r="C2265">
            <v>511310.06</v>
          </cell>
          <cell r="D2265" t="str">
            <v>RO 5X14.8 SP</v>
          </cell>
        </row>
        <row r="2266">
          <cell r="C2266">
            <v>208310.06</v>
          </cell>
          <cell r="D2266" t="str">
            <v>NU.OR 4910              F</v>
          </cell>
        </row>
        <row r="2267">
          <cell r="C2267">
            <v>511310.06</v>
          </cell>
          <cell r="D2267" t="str">
            <v>RO 5X14.8 SP</v>
          </cell>
        </row>
        <row r="2268">
          <cell r="C2268">
            <v>104310.06</v>
          </cell>
          <cell r="D2268" t="str">
            <v>NU.IR 4910              F</v>
          </cell>
        </row>
        <row r="2269">
          <cell r="C2269">
            <v>208310.01</v>
          </cell>
          <cell r="D2269" t="str">
            <v>NA/RNA.OR 4910</v>
          </cell>
        </row>
        <row r="2270">
          <cell r="C2270">
            <v>309310.01</v>
          </cell>
          <cell r="D2270" t="str">
            <v>NA/RNA.MCG 4910</v>
          </cell>
        </row>
        <row r="2271">
          <cell r="C2271">
            <v>511308.01</v>
          </cell>
          <cell r="D2271" t="str">
            <v>RO 5X16.8</v>
          </cell>
        </row>
        <row r="2272">
          <cell r="C2272">
            <v>913002</v>
          </cell>
          <cell r="D2272" t="str">
            <v>Box 75x30x75</v>
          </cell>
        </row>
        <row r="2273">
          <cell r="C2273">
            <v>104311.01</v>
          </cell>
          <cell r="D2273" t="str">
            <v>NA/RNA.IR 4911</v>
          </cell>
        </row>
        <row r="2274">
          <cell r="C2274">
            <v>208311.01</v>
          </cell>
          <cell r="D2274" t="str">
            <v>NA/RNA.OR 4911</v>
          </cell>
        </row>
        <row r="2275">
          <cell r="C2275">
            <v>309311.01</v>
          </cell>
          <cell r="D2275" t="str">
            <v>NA/RNA.MCG 4911</v>
          </cell>
        </row>
        <row r="2276">
          <cell r="C2276">
            <v>511311.02</v>
          </cell>
          <cell r="D2276" t="str">
            <v>RO 5.5X19.8 BP.</v>
          </cell>
        </row>
        <row r="2277">
          <cell r="C2277">
            <v>913017</v>
          </cell>
          <cell r="D2277" t="str">
            <v>Box 83X83X105</v>
          </cell>
        </row>
        <row r="2278">
          <cell r="C2278">
            <v>208311.01</v>
          </cell>
          <cell r="D2278" t="str">
            <v>NA/RNA.OR 4911</v>
          </cell>
        </row>
        <row r="2279">
          <cell r="C2279">
            <v>309311.01</v>
          </cell>
          <cell r="D2279" t="str">
            <v>NA/RNA.MCG 4911</v>
          </cell>
        </row>
        <row r="2280">
          <cell r="C2280">
            <v>511311.02</v>
          </cell>
          <cell r="D2280" t="str">
            <v>RO 5.5X19.8 BP.</v>
          </cell>
        </row>
        <row r="2281">
          <cell r="C2281">
            <v>104311.01</v>
          </cell>
          <cell r="D2281" t="str">
            <v>NA/RNA.IR 4911</v>
          </cell>
        </row>
        <row r="2282">
          <cell r="C2282">
            <v>104311.01</v>
          </cell>
          <cell r="D2282" t="str">
            <v>NA/RNA.IR 4911</v>
          </cell>
        </row>
        <row r="2283">
          <cell r="C2283">
            <v>208311.01</v>
          </cell>
          <cell r="D2283" t="str">
            <v>NA/RNA.OR 4911</v>
          </cell>
        </row>
        <row r="2284">
          <cell r="C2284">
            <v>309311.01</v>
          </cell>
          <cell r="D2284" t="str">
            <v>NA/RNA.MCG 4911</v>
          </cell>
        </row>
        <row r="2285">
          <cell r="C2285">
            <v>511311.02</v>
          </cell>
          <cell r="D2285" t="str">
            <v>RO 5.5X19.8 BP.</v>
          </cell>
        </row>
        <row r="2286">
          <cell r="C2286">
            <v>104311.01</v>
          </cell>
          <cell r="D2286" t="str">
            <v>NA/RNA.IR 4911</v>
          </cell>
        </row>
        <row r="2287">
          <cell r="C2287">
            <v>208311.01</v>
          </cell>
          <cell r="D2287" t="str">
            <v>NA/RNA.OR 4911</v>
          </cell>
        </row>
        <row r="2288">
          <cell r="C2288">
            <v>309311.01</v>
          </cell>
          <cell r="D2288" t="str">
            <v>NA/RNA.MCG 4911</v>
          </cell>
        </row>
        <row r="2289">
          <cell r="C2289">
            <v>511311.02</v>
          </cell>
          <cell r="D2289" t="str">
            <v>RO 5.5X19.8 BP.</v>
          </cell>
        </row>
        <row r="2290">
          <cell r="C2290">
            <v>913017</v>
          </cell>
          <cell r="D2290" t="str">
            <v>Box 83X83X105</v>
          </cell>
        </row>
        <row r="2291">
          <cell r="C2291">
            <v>104311.01</v>
          </cell>
          <cell r="D2291" t="str">
            <v>NA/RNA.IR 4911</v>
          </cell>
        </row>
        <row r="2292">
          <cell r="C2292">
            <v>104311.01</v>
          </cell>
          <cell r="D2292" t="str">
            <v>NA/RNA.IR 4911</v>
          </cell>
        </row>
        <row r="2293">
          <cell r="C2293">
            <v>208311.01</v>
          </cell>
          <cell r="D2293" t="str">
            <v>NA/RNA.OR 4911</v>
          </cell>
        </row>
        <row r="2294">
          <cell r="C2294">
            <v>309311.01</v>
          </cell>
          <cell r="D2294" t="str">
            <v>NA/RNA.MCG 4911</v>
          </cell>
        </row>
        <row r="2295">
          <cell r="C2295">
            <v>511311.02</v>
          </cell>
          <cell r="D2295" t="str">
            <v>RO 5.5X19.8 BP.</v>
          </cell>
        </row>
        <row r="2296">
          <cell r="C2296">
            <v>913017</v>
          </cell>
          <cell r="D2296" t="str">
            <v>Box 83X83X105</v>
          </cell>
        </row>
        <row r="2297">
          <cell r="C2297">
            <v>104311.01</v>
          </cell>
          <cell r="D2297" t="str">
            <v>NA/RNA.IR 4911</v>
          </cell>
        </row>
        <row r="2298">
          <cell r="C2298">
            <v>208311.01</v>
          </cell>
          <cell r="D2298" t="str">
            <v>NA/RNA.OR 4911</v>
          </cell>
        </row>
        <row r="2299">
          <cell r="C2299">
            <v>309311.01</v>
          </cell>
          <cell r="D2299" t="str">
            <v>NA/RNA.MCG 4911</v>
          </cell>
        </row>
        <row r="2300">
          <cell r="C2300">
            <v>511311.02</v>
          </cell>
          <cell r="D2300" t="str">
            <v>RO 5.5X19.8 BP.</v>
          </cell>
        </row>
        <row r="2301">
          <cell r="C2301">
            <v>104311.01</v>
          </cell>
          <cell r="D2301" t="str">
            <v>NA/RNA.IR 4911</v>
          </cell>
        </row>
        <row r="2302">
          <cell r="C2302">
            <v>208311.01</v>
          </cell>
          <cell r="D2302" t="str">
            <v>NA/RNA.OR 4911</v>
          </cell>
        </row>
        <row r="2303">
          <cell r="C2303">
            <v>309311.01</v>
          </cell>
          <cell r="D2303" t="str">
            <v>NA/RNA.MCG 4911</v>
          </cell>
        </row>
        <row r="2304">
          <cell r="C2304">
            <v>511311.02</v>
          </cell>
          <cell r="D2304" t="str">
            <v>RO 5.5X19.8 BP.</v>
          </cell>
        </row>
        <row r="2305">
          <cell r="C2305">
            <v>104311.41</v>
          </cell>
          <cell r="D2305" t="str">
            <v>NA.IR 4911(25) 2RS</v>
          </cell>
        </row>
        <row r="2306">
          <cell r="C2306">
            <v>104311.42</v>
          </cell>
          <cell r="D2306" t="str">
            <v>NA.WASHER 4911(25) 2RS</v>
          </cell>
        </row>
        <row r="2307">
          <cell r="C2307">
            <v>208311.41</v>
          </cell>
          <cell r="D2307" t="str">
            <v>NA.OR 4911(25) 2RS</v>
          </cell>
        </row>
        <row r="2308">
          <cell r="C2308">
            <v>511311.41</v>
          </cell>
          <cell r="D2308" t="str">
            <v>RO 6X15</v>
          </cell>
        </row>
        <row r="2309">
          <cell r="C2309">
            <v>5221311.41</v>
          </cell>
          <cell r="D2309" t="str">
            <v/>
          </cell>
        </row>
        <row r="2310">
          <cell r="C2310">
            <v>717311.41</v>
          </cell>
          <cell r="D2310" t="str">
            <v>SEAL.NA 49119(25) 2RS</v>
          </cell>
        </row>
        <row r="2311">
          <cell r="C2311">
            <v>104311.51</v>
          </cell>
          <cell r="D2311" t="str">
            <v>NA.IR 4911 2RS</v>
          </cell>
        </row>
        <row r="2312">
          <cell r="C2312">
            <v>208311.51</v>
          </cell>
          <cell r="D2312" t="str">
            <v>NA.OR 4911 2RS</v>
          </cell>
        </row>
        <row r="2313">
          <cell r="C2313">
            <v>511311.52</v>
          </cell>
          <cell r="D2313" t="str">
            <v>RO 5.050X19.8</v>
          </cell>
        </row>
        <row r="2314">
          <cell r="C2314">
            <v>717311.51</v>
          </cell>
          <cell r="D2314" t="str">
            <v>SEAL NA 4911 2RS</v>
          </cell>
        </row>
        <row r="2315">
          <cell r="C2315">
            <v>717311.52</v>
          </cell>
          <cell r="D2315" t="str">
            <v>SNAP RING NA 4911 2RS</v>
          </cell>
        </row>
        <row r="2316">
          <cell r="C2316">
            <v>100311.61</v>
          </cell>
          <cell r="D2316" t="str">
            <v>IR.MNG7435EGL</v>
          </cell>
        </row>
        <row r="2317">
          <cell r="C2317">
            <v>200311.61</v>
          </cell>
          <cell r="D2317" t="str">
            <v>OR.MNG7435EGL</v>
          </cell>
        </row>
        <row r="2318">
          <cell r="C2318">
            <v>500311.61</v>
          </cell>
          <cell r="D2318" t="str">
            <v>RO 5.05X25.4 BPM</v>
          </cell>
        </row>
        <row r="2319">
          <cell r="C2319">
            <v>5221208.0199999996</v>
          </cell>
          <cell r="D2319" t="str">
            <v>O Centoplex BE41 103BH</v>
          </cell>
        </row>
        <row r="2320">
          <cell r="C2320">
            <v>717311.51</v>
          </cell>
          <cell r="D2320" t="str">
            <v>SEAL NA 4911 2RS</v>
          </cell>
        </row>
        <row r="2321">
          <cell r="C2321">
            <v>717311.52</v>
          </cell>
          <cell r="D2321" t="str">
            <v>SNAP RING NA 4911 2RS</v>
          </cell>
        </row>
        <row r="2322">
          <cell r="C2322">
            <v>100311.7</v>
          </cell>
          <cell r="D2322" t="str">
            <v>IR.MNG7435EGL SRL</v>
          </cell>
        </row>
        <row r="2323">
          <cell r="C2323">
            <v>200311.7</v>
          </cell>
          <cell r="D2323" t="str">
            <v>OR.MNG7435EGL SRL</v>
          </cell>
        </row>
        <row r="2324">
          <cell r="C2324">
            <v>500311.7</v>
          </cell>
          <cell r="D2324" t="str">
            <v>RO 5.05X23.4 BPM</v>
          </cell>
        </row>
        <row r="2325">
          <cell r="C2325">
            <v>5221208.0199999996</v>
          </cell>
          <cell r="D2325" t="str">
            <v>O Centoplex BE41 103BH</v>
          </cell>
        </row>
        <row r="2326">
          <cell r="C2326">
            <v>717311.52</v>
          </cell>
          <cell r="D2326" t="str">
            <v>SNAP RING NA 4911 2RS</v>
          </cell>
        </row>
        <row r="2327">
          <cell r="C2327">
            <v>717311.7</v>
          </cell>
          <cell r="D2327" t="str">
            <v>SEAL NA 4911 2RS SRL</v>
          </cell>
        </row>
        <row r="2328">
          <cell r="C2328">
            <v>100311.8</v>
          </cell>
          <cell r="D2328" t="str">
            <v>IR.MNG7535EGL SPL</v>
          </cell>
        </row>
        <row r="2329">
          <cell r="C2329">
            <v>200311.8</v>
          </cell>
          <cell r="D2329" t="str">
            <v>OR.MNG7535EGL SPL</v>
          </cell>
        </row>
        <row r="2330">
          <cell r="C2330">
            <v>300311.8</v>
          </cell>
          <cell r="D2330" t="str">
            <v>MCG.MNG7535EGL.SPL</v>
          </cell>
        </row>
        <row r="2331">
          <cell r="C2331">
            <v>500311.8</v>
          </cell>
          <cell r="D2331" t="str">
            <v>RO 5.05X23.4 BP</v>
          </cell>
        </row>
        <row r="2332">
          <cell r="C2332">
            <v>5200311.8</v>
          </cell>
          <cell r="D2332" t="str">
            <v>O MOBIL-XHP-462MOLY</v>
          </cell>
        </row>
        <row r="2333">
          <cell r="C2333">
            <v>700311.8</v>
          </cell>
          <cell r="D2333" t="str">
            <v>SEAL.MNG7535EGL.SPL</v>
          </cell>
        </row>
        <row r="2334">
          <cell r="C2334">
            <v>700311.81</v>
          </cell>
          <cell r="D2334" t="str">
            <v>SNAPRING.MNG7535EGL SPL</v>
          </cell>
        </row>
        <row r="2335">
          <cell r="C2335">
            <v>100311.9</v>
          </cell>
          <cell r="D2335" t="str">
            <v>NA.IR 4911 DOUBLE ROW</v>
          </cell>
        </row>
        <row r="2336">
          <cell r="C2336">
            <v>200311.9</v>
          </cell>
          <cell r="D2336" t="str">
            <v>NA.OR 4911 DOUBLE ROW</v>
          </cell>
        </row>
        <row r="2337">
          <cell r="C2337">
            <v>309311.01</v>
          </cell>
          <cell r="D2337" t="str">
            <v>NA/RNA.MCG 4911</v>
          </cell>
        </row>
        <row r="2338">
          <cell r="C2338">
            <v>511311.02</v>
          </cell>
          <cell r="D2338" t="str">
            <v>RO 5.5X19.8 BP.</v>
          </cell>
        </row>
        <row r="2339">
          <cell r="C2339">
            <v>100311.9</v>
          </cell>
          <cell r="D2339" t="str">
            <v>NA.IR 4911 DOUBLE ROW</v>
          </cell>
        </row>
        <row r="2340">
          <cell r="C2340">
            <v>200311.9</v>
          </cell>
          <cell r="D2340" t="str">
            <v>NA.OR 4911 DOUBLE ROW</v>
          </cell>
        </row>
        <row r="2341">
          <cell r="C2341">
            <v>309311.01</v>
          </cell>
          <cell r="D2341" t="str">
            <v>NA/RNA.MCG 4911</v>
          </cell>
        </row>
        <row r="2342">
          <cell r="C2342">
            <v>511311.02</v>
          </cell>
          <cell r="D2342" t="str">
            <v>RO 5.5X19.8 BP.</v>
          </cell>
        </row>
        <row r="2343">
          <cell r="C2343">
            <v>104312.01</v>
          </cell>
          <cell r="D2343" t="str">
            <v>NA/RNA.IR 4912</v>
          </cell>
        </row>
        <row r="2344">
          <cell r="C2344">
            <v>208312.01</v>
          </cell>
          <cell r="D2344" t="str">
            <v>NA/RNA.OR 4912</v>
          </cell>
        </row>
        <row r="2345">
          <cell r="C2345">
            <v>309312.01</v>
          </cell>
          <cell r="D2345" t="str">
            <v>NA/RNA.MCG 4912</v>
          </cell>
        </row>
        <row r="2346">
          <cell r="C2346">
            <v>511311.02</v>
          </cell>
          <cell r="D2346" t="str">
            <v>RO 5.5X19.8 BP.</v>
          </cell>
        </row>
        <row r="2347">
          <cell r="C2347">
            <v>913004</v>
          </cell>
          <cell r="D2347" t="str">
            <v>Box 108x35x108</v>
          </cell>
        </row>
        <row r="2348">
          <cell r="C2348">
            <v>208312.01</v>
          </cell>
          <cell r="D2348" t="str">
            <v>NA/RNA.OR 4912</v>
          </cell>
        </row>
        <row r="2349">
          <cell r="C2349">
            <v>309312.01</v>
          </cell>
          <cell r="D2349" t="str">
            <v>NA/RNA.MCG 4912</v>
          </cell>
        </row>
        <row r="2350">
          <cell r="C2350">
            <v>511311.02</v>
          </cell>
          <cell r="D2350" t="str">
            <v>RO 5.5X19.8 BP.</v>
          </cell>
        </row>
        <row r="2351">
          <cell r="C2351">
            <v>913004</v>
          </cell>
          <cell r="D2351" t="str">
            <v>Box 108x35x108</v>
          </cell>
        </row>
        <row r="2352">
          <cell r="C2352">
            <v>104312.01</v>
          </cell>
          <cell r="D2352" t="str">
            <v>NA/RNA.IR 4912</v>
          </cell>
        </row>
        <row r="2353">
          <cell r="C2353">
            <v>104313.01</v>
          </cell>
          <cell r="D2353" t="str">
            <v>NA/RNA.IR 4913</v>
          </cell>
        </row>
        <row r="2354">
          <cell r="C2354">
            <v>208313.01</v>
          </cell>
          <cell r="D2354" t="str">
            <v>NA/RNA.OR 4913</v>
          </cell>
        </row>
        <row r="2355">
          <cell r="C2355">
            <v>309313.01</v>
          </cell>
          <cell r="D2355" t="str">
            <v>NA/RNA.MCG 4913</v>
          </cell>
        </row>
        <row r="2356">
          <cell r="C2356">
            <v>511311.02</v>
          </cell>
          <cell r="D2356" t="str">
            <v>RO 5.5X19.8 BP.</v>
          </cell>
        </row>
        <row r="2357">
          <cell r="C2357">
            <v>913004</v>
          </cell>
          <cell r="D2357" t="str">
            <v>Box 108x35x108</v>
          </cell>
        </row>
        <row r="2358">
          <cell r="C2358">
            <v>208313.01</v>
          </cell>
          <cell r="D2358" t="str">
            <v>NA/RNA.OR 4913</v>
          </cell>
        </row>
        <row r="2359">
          <cell r="C2359">
            <v>309313.01</v>
          </cell>
          <cell r="D2359" t="str">
            <v>NA/RNA.MCG 4913</v>
          </cell>
        </row>
        <row r="2360">
          <cell r="C2360">
            <v>511311.02</v>
          </cell>
          <cell r="D2360" t="str">
            <v>RO 5.5X19.8 BP.</v>
          </cell>
        </row>
        <row r="2361">
          <cell r="C2361">
            <v>913004</v>
          </cell>
          <cell r="D2361" t="str">
            <v>Box 108x35x108</v>
          </cell>
        </row>
        <row r="2362">
          <cell r="C2362">
            <v>104313.01</v>
          </cell>
          <cell r="D2362" t="str">
            <v>NA/RNA.IR 4913</v>
          </cell>
        </row>
        <row r="2363">
          <cell r="C2363">
            <v>208313.01</v>
          </cell>
          <cell r="D2363" t="str">
            <v>NA/RNA.OR 4913</v>
          </cell>
        </row>
        <row r="2364">
          <cell r="C2364">
            <v>309313.01</v>
          </cell>
          <cell r="D2364" t="str">
            <v>NA/RNA.MCG 4913</v>
          </cell>
        </row>
        <row r="2365">
          <cell r="C2365">
            <v>511311.02</v>
          </cell>
          <cell r="D2365" t="str">
            <v>RO 5.5X19.8 BP.</v>
          </cell>
        </row>
        <row r="2366">
          <cell r="C2366">
            <v>913004</v>
          </cell>
          <cell r="D2366" t="str">
            <v>Box 108x35x108</v>
          </cell>
        </row>
        <row r="2367">
          <cell r="C2367">
            <v>104314.01</v>
          </cell>
          <cell r="D2367" t="str">
            <v>NA/RNA.IR 4914</v>
          </cell>
        </row>
        <row r="2368">
          <cell r="C2368">
            <v>208314.01</v>
          </cell>
          <cell r="D2368" t="str">
            <v>NA/RNA.OR 4914</v>
          </cell>
        </row>
        <row r="2369">
          <cell r="C2369">
            <v>309314.01</v>
          </cell>
          <cell r="D2369" t="str">
            <v>NA/RNA.MCG 4914</v>
          </cell>
        </row>
        <row r="2370">
          <cell r="C2370">
            <v>511314.01</v>
          </cell>
          <cell r="D2370" t="str">
            <v>RO 6.5X22.8</v>
          </cell>
        </row>
        <row r="2371">
          <cell r="C2371">
            <v>913004</v>
          </cell>
          <cell r="D2371" t="str">
            <v>Box 108x35x108</v>
          </cell>
        </row>
        <row r="2372">
          <cell r="C2372">
            <v>208314.01</v>
          </cell>
          <cell r="D2372" t="str">
            <v>NA/RNA.OR 4914</v>
          </cell>
        </row>
        <row r="2373">
          <cell r="C2373">
            <v>309314.01</v>
          </cell>
          <cell r="D2373" t="str">
            <v>NA/RNA.MCG 4914</v>
          </cell>
        </row>
        <row r="2374">
          <cell r="C2374">
            <v>511314.01</v>
          </cell>
          <cell r="D2374" t="str">
            <v>RO 6.5X22.8</v>
          </cell>
        </row>
        <row r="2375">
          <cell r="C2375">
            <v>913004</v>
          </cell>
          <cell r="D2375" t="str">
            <v>Box 108x35x108</v>
          </cell>
        </row>
        <row r="2376">
          <cell r="C2376">
            <v>104314.01</v>
          </cell>
          <cell r="D2376" t="str">
            <v>NA/RNA.IR 4914</v>
          </cell>
        </row>
        <row r="2377">
          <cell r="C2377">
            <v>208314.01</v>
          </cell>
          <cell r="D2377" t="str">
            <v>NA/RNA.OR 4914</v>
          </cell>
        </row>
        <row r="2378">
          <cell r="C2378">
            <v>309314.01</v>
          </cell>
          <cell r="D2378" t="str">
            <v>NA/RNA.MCG 4914</v>
          </cell>
        </row>
        <row r="2379">
          <cell r="C2379">
            <v>511314.01</v>
          </cell>
          <cell r="D2379" t="str">
            <v>RO 6.5X22.8</v>
          </cell>
        </row>
        <row r="2380">
          <cell r="C2380">
            <v>913004</v>
          </cell>
          <cell r="D2380" t="str">
            <v>Box 108x35x108</v>
          </cell>
        </row>
        <row r="2381">
          <cell r="C2381">
            <v>104315.01</v>
          </cell>
          <cell r="D2381" t="str">
            <v>NA/RNA.IR 4915</v>
          </cell>
        </row>
        <row r="2382">
          <cell r="C2382">
            <v>208315.01</v>
          </cell>
          <cell r="D2382" t="str">
            <v>NA/RNA.OR 4915</v>
          </cell>
        </row>
        <row r="2383">
          <cell r="C2383">
            <v>309315.01</v>
          </cell>
          <cell r="D2383" t="str">
            <v>NA/RNA.MCG 4915</v>
          </cell>
        </row>
        <row r="2384">
          <cell r="C2384">
            <v>511314.01</v>
          </cell>
          <cell r="D2384" t="str">
            <v>RO 6.5X22.8</v>
          </cell>
        </row>
        <row r="2385">
          <cell r="C2385">
            <v>913004</v>
          </cell>
          <cell r="D2385" t="str">
            <v>Box 108x35x108</v>
          </cell>
        </row>
        <row r="2386">
          <cell r="C2386">
            <v>208315.01</v>
          </cell>
          <cell r="D2386" t="str">
            <v>NA/RNA.OR 4915</v>
          </cell>
        </row>
        <row r="2387">
          <cell r="C2387">
            <v>309315.01</v>
          </cell>
          <cell r="D2387" t="str">
            <v>NA/RNA.MCG 4915</v>
          </cell>
        </row>
        <row r="2388">
          <cell r="C2388">
            <v>511314.01</v>
          </cell>
          <cell r="D2388" t="str">
            <v>RO 6.5X22.8</v>
          </cell>
        </row>
        <row r="2389">
          <cell r="C2389">
            <v>913004</v>
          </cell>
          <cell r="D2389" t="str">
            <v>Box 108x35x108</v>
          </cell>
        </row>
        <row r="2390">
          <cell r="C2390">
            <v>104315.01</v>
          </cell>
          <cell r="D2390" t="str">
            <v>NA/RNA.IR 4915</v>
          </cell>
        </row>
        <row r="2391">
          <cell r="C2391">
            <v>104316.01</v>
          </cell>
          <cell r="D2391" t="str">
            <v>NA/RNA.IR 4916</v>
          </cell>
        </row>
        <row r="2392">
          <cell r="C2392">
            <v>208316.01</v>
          </cell>
          <cell r="D2392" t="str">
            <v>NA/RNA.OR 4916</v>
          </cell>
        </row>
        <row r="2393">
          <cell r="C2393">
            <v>309316.01</v>
          </cell>
          <cell r="D2393" t="str">
            <v>NA/RNA.MCG 4916</v>
          </cell>
        </row>
        <row r="2394">
          <cell r="C2394">
            <v>511314.01</v>
          </cell>
          <cell r="D2394" t="str">
            <v>RO 6.5X22.8</v>
          </cell>
        </row>
        <row r="2395">
          <cell r="C2395">
            <v>913004</v>
          </cell>
          <cell r="D2395" t="str">
            <v>Box 108x35x108</v>
          </cell>
        </row>
        <row r="2396">
          <cell r="C2396">
            <v>208316.01</v>
          </cell>
          <cell r="D2396" t="str">
            <v>NA/RNA.OR 4916</v>
          </cell>
        </row>
        <row r="2397">
          <cell r="C2397">
            <v>309316.01</v>
          </cell>
          <cell r="D2397" t="str">
            <v>NA/RNA.MCG 4916</v>
          </cell>
        </row>
        <row r="2398">
          <cell r="C2398">
            <v>511314.01</v>
          </cell>
          <cell r="D2398" t="str">
            <v>RO 6.5X22.8</v>
          </cell>
        </row>
        <row r="2399">
          <cell r="C2399">
            <v>913004</v>
          </cell>
          <cell r="D2399" t="str">
            <v>Box 108x35x108</v>
          </cell>
        </row>
        <row r="2400">
          <cell r="C2400">
            <v>104316.01</v>
          </cell>
          <cell r="D2400" t="str">
            <v>NA/RNA.IR 4916</v>
          </cell>
        </row>
        <row r="2401">
          <cell r="C2401">
            <v>309316.01</v>
          </cell>
          <cell r="D2401" t="str">
            <v>NA/RNA.MCG 4916</v>
          </cell>
        </row>
        <row r="2402">
          <cell r="C2402">
            <v>511314.01</v>
          </cell>
          <cell r="D2402" t="str">
            <v>RO 6.5X22.8</v>
          </cell>
        </row>
        <row r="2403">
          <cell r="C2403">
            <v>104317.01</v>
          </cell>
          <cell r="D2403" t="str">
            <v>NA/RNA.IR 4917</v>
          </cell>
        </row>
        <row r="2404">
          <cell r="C2404">
            <v>208317.01</v>
          </cell>
          <cell r="D2404" t="str">
            <v>NA/RNA.OR 4917</v>
          </cell>
        </row>
        <row r="2405">
          <cell r="C2405">
            <v>309317.01</v>
          </cell>
          <cell r="D2405" t="str">
            <v>NA/RNA.MCG 4917</v>
          </cell>
        </row>
        <row r="2406">
          <cell r="C2406">
            <v>511999</v>
          </cell>
          <cell r="D2406" t="str">
            <v>RO 6X26.8</v>
          </cell>
        </row>
        <row r="2407">
          <cell r="C2407">
            <v>208317.01</v>
          </cell>
          <cell r="D2407" t="str">
            <v>NA/RNA.OR 4917</v>
          </cell>
        </row>
        <row r="2408">
          <cell r="C2408">
            <v>309317.01</v>
          </cell>
          <cell r="D2408" t="str">
            <v>NA/RNA.MCG 4917</v>
          </cell>
        </row>
        <row r="2409">
          <cell r="C2409">
            <v>511999</v>
          </cell>
          <cell r="D2409" t="str">
            <v>RO 6X26.8</v>
          </cell>
        </row>
        <row r="2410">
          <cell r="C2410">
            <v>104317.01</v>
          </cell>
          <cell r="D2410" t="str">
            <v>NA/RNA.IR 4917</v>
          </cell>
        </row>
        <row r="2411">
          <cell r="C2411">
            <v>104318.01</v>
          </cell>
          <cell r="D2411" t="str">
            <v>NA/RNA.IR 4918</v>
          </cell>
        </row>
        <row r="2412">
          <cell r="C2412">
            <v>208318.01</v>
          </cell>
          <cell r="D2412" t="str">
            <v>NA/RNA.OR 4918</v>
          </cell>
        </row>
        <row r="2413">
          <cell r="C2413">
            <v>309318.01</v>
          </cell>
          <cell r="D2413" t="str">
            <v>NA/RNA.MCG 4918</v>
          </cell>
        </row>
        <row r="2414">
          <cell r="C2414">
            <v>511318.01</v>
          </cell>
          <cell r="D2414" t="str">
            <v>RO 6.5X27.8</v>
          </cell>
        </row>
        <row r="2415">
          <cell r="C2415">
            <v>208318.01</v>
          </cell>
          <cell r="D2415" t="str">
            <v>NA/RNA.OR 4918</v>
          </cell>
        </row>
        <row r="2416">
          <cell r="C2416">
            <v>309318.01</v>
          </cell>
          <cell r="D2416" t="str">
            <v>NA/RNA.MCG 4918</v>
          </cell>
        </row>
        <row r="2417">
          <cell r="C2417">
            <v>511318.01</v>
          </cell>
          <cell r="D2417" t="str">
            <v>RO 6.5X27.8</v>
          </cell>
        </row>
        <row r="2418">
          <cell r="C2418">
            <v>104318.01</v>
          </cell>
          <cell r="D2418" t="str">
            <v>NA/RNA.IR 4918</v>
          </cell>
        </row>
        <row r="2419">
          <cell r="C2419">
            <v>104319.01</v>
          </cell>
          <cell r="D2419" t="str">
            <v>NA/RNA.IR 4919</v>
          </cell>
        </row>
        <row r="2420">
          <cell r="C2420">
            <v>208319.01</v>
          </cell>
          <cell r="D2420" t="str">
            <v>NA/RNA.OR 4919</v>
          </cell>
        </row>
        <row r="2421">
          <cell r="C2421">
            <v>309319.01</v>
          </cell>
          <cell r="D2421" t="str">
            <v>NA/RNA.MCG 4919</v>
          </cell>
        </row>
        <row r="2422">
          <cell r="C2422">
            <v>511318.01</v>
          </cell>
          <cell r="D2422" t="str">
            <v>RO 6.5X27.8</v>
          </cell>
        </row>
        <row r="2423">
          <cell r="C2423">
            <v>208319.01</v>
          </cell>
          <cell r="D2423" t="str">
            <v>NA/RNA.OR 4919</v>
          </cell>
        </row>
        <row r="2424">
          <cell r="C2424">
            <v>309319.01</v>
          </cell>
          <cell r="D2424" t="str">
            <v>NA/RNA.MCG 4919</v>
          </cell>
        </row>
        <row r="2425">
          <cell r="C2425">
            <v>511318.01</v>
          </cell>
          <cell r="D2425" t="str">
            <v>RO 6.5X27.8</v>
          </cell>
        </row>
        <row r="2426">
          <cell r="C2426">
            <v>104319.01</v>
          </cell>
          <cell r="D2426" t="str">
            <v>NA/RNA.IR 4919</v>
          </cell>
        </row>
        <row r="2427">
          <cell r="C2427">
            <v>309319.01</v>
          </cell>
          <cell r="D2427" t="str">
            <v>NA/RNA.MCG 4919</v>
          </cell>
        </row>
        <row r="2428">
          <cell r="C2428">
            <v>511318.01</v>
          </cell>
          <cell r="D2428" t="str">
            <v>RO 6.5X27.8</v>
          </cell>
        </row>
        <row r="2429">
          <cell r="C2429">
            <v>511318.01</v>
          </cell>
          <cell r="D2429" t="str">
            <v>RO 6.5X27.8</v>
          </cell>
        </row>
        <row r="2430">
          <cell r="C2430">
            <v>104320.01</v>
          </cell>
          <cell r="D2430" t="str">
            <v>NA/RNA.IR 49/22</v>
          </cell>
        </row>
        <row r="2431">
          <cell r="C2431">
            <v>208320.01</v>
          </cell>
          <cell r="D2431" t="str">
            <v>NA/RNA.OR 49/22</v>
          </cell>
        </row>
        <row r="2432">
          <cell r="C2432">
            <v>309320.01</v>
          </cell>
          <cell r="D2432" t="str">
            <v>NA/RNA.MCG 49/22</v>
          </cell>
        </row>
        <row r="2433">
          <cell r="C2433">
            <v>511304.01</v>
          </cell>
          <cell r="D2433" t="str">
            <v>RO 4X12.8</v>
          </cell>
        </row>
        <row r="2434">
          <cell r="C2434">
            <v>913006</v>
          </cell>
          <cell r="D2434" t="str">
            <v>Box 50x35x50</v>
          </cell>
        </row>
        <row r="2435">
          <cell r="C2435">
            <v>208320.01</v>
          </cell>
          <cell r="D2435" t="str">
            <v>NA/RNA.OR 49/22</v>
          </cell>
        </row>
        <row r="2436">
          <cell r="C2436">
            <v>309320.01</v>
          </cell>
          <cell r="D2436" t="str">
            <v>NA/RNA.MCG 49/22</v>
          </cell>
        </row>
        <row r="2437">
          <cell r="C2437">
            <v>511304.01</v>
          </cell>
          <cell r="D2437" t="str">
            <v>RO 4X12.8</v>
          </cell>
        </row>
        <row r="2438">
          <cell r="C2438">
            <v>913006</v>
          </cell>
          <cell r="D2438" t="str">
            <v>Box 50x35x50</v>
          </cell>
        </row>
        <row r="2439">
          <cell r="C2439">
            <v>104320.01</v>
          </cell>
          <cell r="D2439" t="str">
            <v>NA/RNA.IR 49/22</v>
          </cell>
        </row>
        <row r="2440">
          <cell r="C2440">
            <v>104321.01</v>
          </cell>
          <cell r="D2440" t="str">
            <v>NA/RNA.IR 49/28</v>
          </cell>
        </row>
        <row r="2441">
          <cell r="C2441">
            <v>208321.01</v>
          </cell>
          <cell r="D2441" t="str">
            <v>NA/RNA.OR 49/28</v>
          </cell>
        </row>
        <row r="2442">
          <cell r="C2442">
            <v>309321.01</v>
          </cell>
          <cell r="D2442" t="str">
            <v>NA/RNA.MCG 49/28</v>
          </cell>
        </row>
        <row r="2443">
          <cell r="C2443">
            <v>511304.01</v>
          </cell>
          <cell r="D2443" t="str">
            <v>RO 4X12.8</v>
          </cell>
        </row>
        <row r="2444">
          <cell r="C2444">
            <v>913006</v>
          </cell>
          <cell r="D2444" t="str">
            <v>Box 50x35x50</v>
          </cell>
        </row>
        <row r="2445">
          <cell r="C2445">
            <v>208321.01</v>
          </cell>
          <cell r="D2445" t="str">
            <v>NA/RNA.OR 49/28</v>
          </cell>
        </row>
        <row r="2446">
          <cell r="C2446">
            <v>309321.01</v>
          </cell>
          <cell r="D2446" t="str">
            <v>NA/RNA.MCG 49/28</v>
          </cell>
        </row>
        <row r="2447">
          <cell r="C2447">
            <v>511304.01</v>
          </cell>
          <cell r="D2447" t="str">
            <v>RO 4X12.8</v>
          </cell>
        </row>
        <row r="2448">
          <cell r="C2448">
            <v>913006</v>
          </cell>
          <cell r="D2448" t="str">
            <v>Box 50x35x50</v>
          </cell>
        </row>
        <row r="2449">
          <cell r="C2449">
            <v>104321.01</v>
          </cell>
          <cell r="D2449" t="str">
            <v>NA/RNA.IR 49/28</v>
          </cell>
        </row>
        <row r="2450">
          <cell r="C2450">
            <v>104322.01</v>
          </cell>
          <cell r="D2450" t="str">
            <v>NA/RNA.IR 49/32</v>
          </cell>
        </row>
        <row r="2451">
          <cell r="C2451">
            <v>208322.01</v>
          </cell>
          <cell r="D2451" t="str">
            <v>NA/RNA.OR 49/32</v>
          </cell>
        </row>
        <row r="2452">
          <cell r="C2452">
            <v>309322.01</v>
          </cell>
          <cell r="D2452" t="str">
            <v>NA/RNA.MCG 49/32</v>
          </cell>
        </row>
        <row r="2453">
          <cell r="C2453">
            <v>511304.01</v>
          </cell>
          <cell r="D2453" t="str">
            <v>RO 4X12.8</v>
          </cell>
        </row>
        <row r="2454">
          <cell r="C2454">
            <v>913006</v>
          </cell>
          <cell r="D2454" t="str">
            <v>Box 50x35x50</v>
          </cell>
        </row>
        <row r="2455">
          <cell r="C2455">
            <v>208322.01</v>
          </cell>
          <cell r="D2455" t="str">
            <v>NA/RNA.OR 49/32</v>
          </cell>
        </row>
        <row r="2456">
          <cell r="C2456">
            <v>309322.01</v>
          </cell>
          <cell r="D2456" t="str">
            <v>NA/RNA.MCG 49/32</v>
          </cell>
        </row>
        <row r="2457">
          <cell r="C2457">
            <v>511304.01</v>
          </cell>
          <cell r="D2457" t="str">
            <v>RO 4X12.8</v>
          </cell>
        </row>
        <row r="2458">
          <cell r="C2458">
            <v>913006</v>
          </cell>
          <cell r="D2458" t="str">
            <v>Box 50x35x50</v>
          </cell>
        </row>
        <row r="2459">
          <cell r="C2459">
            <v>104322.01</v>
          </cell>
          <cell r="D2459" t="str">
            <v>NA/RNA.IR 49/32</v>
          </cell>
        </row>
        <row r="2460">
          <cell r="C2460">
            <v>208322.01</v>
          </cell>
          <cell r="D2460" t="str">
            <v>NA/RNA.OR 49/32</v>
          </cell>
        </row>
        <row r="2461">
          <cell r="C2461">
            <v>309322.01</v>
          </cell>
          <cell r="D2461" t="str">
            <v>NA/RNA.MCG 49/32</v>
          </cell>
        </row>
        <row r="2462">
          <cell r="C2462">
            <v>511304.01</v>
          </cell>
          <cell r="D2462" t="str">
            <v>RO 4X12.8</v>
          </cell>
        </row>
        <row r="2463">
          <cell r="C2463">
            <v>913006</v>
          </cell>
          <cell r="D2463" t="str">
            <v>Box 50x35x50</v>
          </cell>
        </row>
        <row r="2464">
          <cell r="C2464">
            <v>104323.01</v>
          </cell>
          <cell r="D2464" t="str">
            <v>NA/RNA.IR 49/48         F</v>
          </cell>
        </row>
        <row r="2465">
          <cell r="C2465">
            <v>208323.01</v>
          </cell>
          <cell r="D2465" t="str">
            <v>NA/RNA.OR 49/48         F</v>
          </cell>
        </row>
        <row r="2466">
          <cell r="C2466">
            <v>309323.01</v>
          </cell>
          <cell r="D2466" t="str">
            <v>NA/RNA.MCG 49/48</v>
          </cell>
        </row>
        <row r="2467">
          <cell r="C2467">
            <v>511375.01</v>
          </cell>
          <cell r="D2467" t="str">
            <v>RO 4.5X15.8</v>
          </cell>
        </row>
        <row r="2468">
          <cell r="C2468">
            <v>208323.01</v>
          </cell>
          <cell r="D2468" t="str">
            <v>NA/RNA.OR 49/48         F</v>
          </cell>
        </row>
        <row r="2469">
          <cell r="C2469">
            <v>309323.01</v>
          </cell>
          <cell r="D2469" t="str">
            <v>NA/RNA.MCG 49/48</v>
          </cell>
        </row>
        <row r="2470">
          <cell r="C2470">
            <v>511375.01</v>
          </cell>
          <cell r="D2470" t="str">
            <v>RO 4.5X15.8</v>
          </cell>
        </row>
        <row r="2471">
          <cell r="C2471">
            <v>104323.01</v>
          </cell>
          <cell r="D2471" t="str">
            <v>NA/RNA.IR 49/48         F</v>
          </cell>
        </row>
        <row r="2472">
          <cell r="C2472">
            <v>208323.01</v>
          </cell>
          <cell r="D2472" t="str">
            <v>NA/RNA.OR 49/48         F</v>
          </cell>
        </row>
        <row r="2473">
          <cell r="C2473">
            <v>309323.01</v>
          </cell>
          <cell r="D2473" t="str">
            <v>NA/RNA.MCG 49/48</v>
          </cell>
        </row>
        <row r="2474">
          <cell r="C2474">
            <v>511375.01</v>
          </cell>
          <cell r="D2474" t="str">
            <v>RO 4.5X15.8</v>
          </cell>
        </row>
        <row r="2475">
          <cell r="C2475">
            <v>4324.01</v>
          </cell>
          <cell r="D2475" t="str">
            <v/>
          </cell>
        </row>
        <row r="2476">
          <cell r="C2476">
            <v>8324.01</v>
          </cell>
          <cell r="D2476" t="str">
            <v/>
          </cell>
        </row>
        <row r="2477">
          <cell r="C2477">
            <v>9324.01</v>
          </cell>
          <cell r="D2477" t="str">
            <v/>
          </cell>
        </row>
        <row r="2478">
          <cell r="C2478">
            <v>104325.01</v>
          </cell>
          <cell r="D2478" t="str">
            <v>NA/RNA.IR 6901</v>
          </cell>
        </row>
        <row r="2479">
          <cell r="C2479">
            <v>208325.01</v>
          </cell>
          <cell r="D2479" t="str">
            <v>NA/RNA.OR 6901</v>
          </cell>
        </row>
        <row r="2480">
          <cell r="C2480">
            <v>309325.01</v>
          </cell>
          <cell r="D2480" t="str">
            <v>NA/RNA.MCG 6901</v>
          </cell>
        </row>
        <row r="2481">
          <cell r="C2481">
            <v>511325.01</v>
          </cell>
          <cell r="D2481" t="str">
            <v>RO 2.5X17.8</v>
          </cell>
        </row>
        <row r="2482">
          <cell r="C2482">
            <v>913016</v>
          </cell>
          <cell r="D2482" t="str">
            <v>Box 250x40x50</v>
          </cell>
        </row>
        <row r="2483">
          <cell r="C2483">
            <v>208325.01</v>
          </cell>
          <cell r="D2483" t="str">
            <v>NA/RNA.OR 6901</v>
          </cell>
        </row>
        <row r="2484">
          <cell r="C2484">
            <v>309325.01</v>
          </cell>
          <cell r="D2484" t="str">
            <v>NA/RNA.MCG 6901</v>
          </cell>
        </row>
        <row r="2485">
          <cell r="C2485">
            <v>511325.01</v>
          </cell>
          <cell r="D2485" t="str">
            <v>RO 2.5X17.8</v>
          </cell>
        </row>
        <row r="2486">
          <cell r="C2486">
            <v>913016</v>
          </cell>
          <cell r="D2486" t="str">
            <v>Box 250x40x50</v>
          </cell>
        </row>
        <row r="2487">
          <cell r="C2487">
            <v>104325.01</v>
          </cell>
          <cell r="D2487" t="str">
            <v>NA/RNA.IR 6901</v>
          </cell>
        </row>
        <row r="2488">
          <cell r="C2488">
            <v>104326.01</v>
          </cell>
          <cell r="D2488" t="str">
            <v>NA/RNA.IR 6902</v>
          </cell>
        </row>
        <row r="2489">
          <cell r="C2489">
            <v>208326.01</v>
          </cell>
          <cell r="D2489" t="str">
            <v>NA/RNA.OR 6902</v>
          </cell>
        </row>
        <row r="2490">
          <cell r="C2490">
            <v>309326.01</v>
          </cell>
          <cell r="D2490" t="str">
            <v>NA/RNA.MCG 6902</v>
          </cell>
        </row>
        <row r="2491">
          <cell r="C2491">
            <v>511325.01</v>
          </cell>
          <cell r="D2491" t="str">
            <v>RO 2.5X17.8</v>
          </cell>
        </row>
        <row r="2492">
          <cell r="C2492">
            <v>913016</v>
          </cell>
          <cell r="D2492" t="str">
            <v>Box 250x40x50</v>
          </cell>
        </row>
        <row r="2493">
          <cell r="C2493">
            <v>208326.01</v>
          </cell>
          <cell r="D2493" t="str">
            <v>NA/RNA.OR 6902</v>
          </cell>
        </row>
        <row r="2494">
          <cell r="C2494">
            <v>309326.01</v>
          </cell>
          <cell r="D2494" t="str">
            <v>NA/RNA.MCG 6902</v>
          </cell>
        </row>
        <row r="2495">
          <cell r="C2495">
            <v>511325.01</v>
          </cell>
          <cell r="D2495" t="str">
            <v>RO 2.5X17.8</v>
          </cell>
        </row>
        <row r="2496">
          <cell r="C2496">
            <v>913016</v>
          </cell>
          <cell r="D2496" t="str">
            <v>Box 250x40x50</v>
          </cell>
        </row>
        <row r="2497">
          <cell r="C2497">
            <v>104326.01</v>
          </cell>
          <cell r="D2497" t="str">
            <v>NA/RNA.IR 6902</v>
          </cell>
        </row>
        <row r="2498">
          <cell r="C2498">
            <v>208326.01</v>
          </cell>
          <cell r="D2498" t="str">
            <v>NA/RNA.OR 6902</v>
          </cell>
        </row>
        <row r="2499">
          <cell r="C2499">
            <v>309326.01</v>
          </cell>
          <cell r="D2499" t="str">
            <v>NA/RNA.MCG 6902</v>
          </cell>
        </row>
        <row r="2500">
          <cell r="C2500">
            <v>511325.01</v>
          </cell>
          <cell r="D2500" t="str">
            <v>RO 2.5X17.8</v>
          </cell>
        </row>
        <row r="2501">
          <cell r="C2501">
            <v>913016</v>
          </cell>
          <cell r="D2501" t="str">
            <v>Box 250x40x50</v>
          </cell>
        </row>
        <row r="2502">
          <cell r="C2502">
            <v>104327.01</v>
          </cell>
          <cell r="D2502" t="str">
            <v>NA/RNA.IR 6903</v>
          </cell>
        </row>
        <row r="2503">
          <cell r="C2503">
            <v>208327.01</v>
          </cell>
          <cell r="D2503" t="str">
            <v>NA/RNA.OR 6903</v>
          </cell>
        </row>
        <row r="2504">
          <cell r="C2504">
            <v>309327.01</v>
          </cell>
          <cell r="D2504" t="str">
            <v>NA/RNA.MCG 6903</v>
          </cell>
        </row>
        <row r="2505">
          <cell r="C2505">
            <v>511325.01</v>
          </cell>
          <cell r="D2505" t="str">
            <v>RO 2.5X17.8</v>
          </cell>
        </row>
        <row r="2506">
          <cell r="C2506">
            <v>913016</v>
          </cell>
          <cell r="D2506" t="str">
            <v>Box 250x40x50</v>
          </cell>
        </row>
        <row r="2507">
          <cell r="C2507">
            <v>208327.01</v>
          </cell>
          <cell r="D2507" t="str">
            <v>NA/RNA.OR 6903</v>
          </cell>
        </row>
        <row r="2508">
          <cell r="C2508">
            <v>309327.01</v>
          </cell>
          <cell r="D2508" t="str">
            <v>NA/RNA.MCG 6903</v>
          </cell>
        </row>
        <row r="2509">
          <cell r="C2509">
            <v>511325.01</v>
          </cell>
          <cell r="D2509" t="str">
            <v>RO 2.5X17.8</v>
          </cell>
        </row>
        <row r="2510">
          <cell r="C2510">
            <v>913016</v>
          </cell>
          <cell r="D2510" t="str">
            <v>Box 250x40x50</v>
          </cell>
        </row>
        <row r="2511">
          <cell r="C2511">
            <v>104327.01</v>
          </cell>
          <cell r="D2511" t="str">
            <v>NA/RNA.IR 6903</v>
          </cell>
        </row>
        <row r="2512">
          <cell r="C2512">
            <v>104328.01</v>
          </cell>
          <cell r="D2512" t="str">
            <v>NA/RNA.IR 6904</v>
          </cell>
        </row>
        <row r="2513">
          <cell r="C2513">
            <v>208328.01</v>
          </cell>
          <cell r="D2513" t="str">
            <v>NA/RNA.OR 6904</v>
          </cell>
        </row>
        <row r="2514">
          <cell r="C2514">
            <v>309328.01</v>
          </cell>
          <cell r="D2514" t="str">
            <v>NA/RNA.MCG 6904</v>
          </cell>
        </row>
        <row r="2515">
          <cell r="C2515">
            <v>511509.01</v>
          </cell>
          <cell r="D2515" t="str">
            <v>RO 4X25.8</v>
          </cell>
        </row>
        <row r="2516">
          <cell r="C2516">
            <v>913006</v>
          </cell>
          <cell r="D2516" t="str">
            <v>Box 50x35x50</v>
          </cell>
        </row>
        <row r="2517">
          <cell r="C2517">
            <v>208328.01</v>
          </cell>
          <cell r="D2517" t="str">
            <v>NA/RNA.OR 6904</v>
          </cell>
        </row>
        <row r="2518">
          <cell r="C2518">
            <v>309328.01</v>
          </cell>
          <cell r="D2518" t="str">
            <v>NA/RNA.MCG 6904</v>
          </cell>
        </row>
        <row r="2519">
          <cell r="C2519">
            <v>511509.01</v>
          </cell>
          <cell r="D2519" t="str">
            <v>RO 4X25.8</v>
          </cell>
        </row>
        <row r="2520">
          <cell r="C2520">
            <v>913006</v>
          </cell>
          <cell r="D2520" t="str">
            <v>Box 50x35x50</v>
          </cell>
        </row>
        <row r="2521">
          <cell r="C2521">
            <v>104328.01</v>
          </cell>
          <cell r="D2521" t="str">
            <v>NA/RNA.IR 6904</v>
          </cell>
        </row>
        <row r="2522">
          <cell r="C2522">
            <v>104328.01</v>
          </cell>
          <cell r="D2522" t="str">
            <v>NA/RNA.IR 6904</v>
          </cell>
        </row>
        <row r="2523">
          <cell r="C2523">
            <v>208328.01</v>
          </cell>
          <cell r="D2523" t="str">
            <v>NA/RNA.OR 6904</v>
          </cell>
        </row>
        <row r="2524">
          <cell r="C2524">
            <v>309328.01</v>
          </cell>
          <cell r="D2524" t="str">
            <v>NA/RNA.MCG 6904</v>
          </cell>
        </row>
        <row r="2525">
          <cell r="C2525">
            <v>511509.01</v>
          </cell>
          <cell r="D2525" t="str">
            <v>RO 4X25.8</v>
          </cell>
        </row>
        <row r="2526">
          <cell r="C2526">
            <v>104328.01</v>
          </cell>
          <cell r="D2526" t="str">
            <v>NA/RNA.IR 6904</v>
          </cell>
        </row>
        <row r="2527">
          <cell r="C2527">
            <v>104329.01</v>
          </cell>
          <cell r="D2527" t="str">
            <v>NA/RNA.IR 6905</v>
          </cell>
        </row>
        <row r="2528">
          <cell r="C2528">
            <v>208329.01</v>
          </cell>
          <cell r="D2528" t="str">
            <v>NA/RNA.OR 6905 DR</v>
          </cell>
        </row>
        <row r="2529">
          <cell r="C2529">
            <v>309329.02</v>
          </cell>
          <cell r="D2529" t="str">
            <v>NA/RNA.MCG 6905 (DR)</v>
          </cell>
        </row>
        <row r="2530">
          <cell r="C2530">
            <v>511989</v>
          </cell>
          <cell r="D2530" t="str">
            <v>RO 3.5X10.8</v>
          </cell>
        </row>
        <row r="2531">
          <cell r="C2531">
            <v>913006</v>
          </cell>
          <cell r="D2531" t="str">
            <v>Box 50x35x50</v>
          </cell>
        </row>
        <row r="2532">
          <cell r="C2532">
            <v>208329.01</v>
          </cell>
          <cell r="D2532" t="str">
            <v>NA/RNA.OR 6905 DR</v>
          </cell>
        </row>
        <row r="2533">
          <cell r="C2533">
            <v>309329.02</v>
          </cell>
          <cell r="D2533" t="str">
            <v>NA/RNA.MCG 6905 (DR)</v>
          </cell>
        </row>
        <row r="2534">
          <cell r="C2534">
            <v>511989</v>
          </cell>
          <cell r="D2534" t="str">
            <v>RO 3.5X10.8</v>
          </cell>
        </row>
        <row r="2535">
          <cell r="C2535">
            <v>913006</v>
          </cell>
          <cell r="D2535" t="str">
            <v>Box 50x35x50</v>
          </cell>
        </row>
        <row r="2536">
          <cell r="C2536">
            <v>104329.01</v>
          </cell>
          <cell r="D2536" t="str">
            <v>NA/RNA.IR 6905</v>
          </cell>
        </row>
        <row r="2537">
          <cell r="C2537">
            <v>104329.01</v>
          </cell>
          <cell r="D2537" t="str">
            <v>NA/RNA.IR 6905</v>
          </cell>
        </row>
        <row r="2538">
          <cell r="C2538">
            <v>208329.04</v>
          </cell>
          <cell r="D2538" t="str">
            <v>NA/RNA.OR 6905 DR SPL.  F</v>
          </cell>
        </row>
        <row r="2539">
          <cell r="C2539">
            <v>309329.03999999998</v>
          </cell>
          <cell r="D2539" t="str">
            <v>NA/RNA.MCG 6905 DR SPL.</v>
          </cell>
        </row>
        <row r="2540">
          <cell r="C2540">
            <v>511120</v>
          </cell>
          <cell r="D2540" t="str">
            <v>RO 3X11.8</v>
          </cell>
        </row>
        <row r="2541">
          <cell r="C2541">
            <v>913006</v>
          </cell>
          <cell r="D2541" t="str">
            <v>Box 50x35x50</v>
          </cell>
        </row>
        <row r="2542">
          <cell r="C2542">
            <v>208329.04</v>
          </cell>
          <cell r="D2542" t="str">
            <v>NA/RNA.OR 6905 DR SPL.  F</v>
          </cell>
        </row>
        <row r="2543">
          <cell r="C2543">
            <v>309329.03999999998</v>
          </cell>
          <cell r="D2543" t="str">
            <v>NA/RNA.MCG 6905 DR SPL.</v>
          </cell>
        </row>
        <row r="2544">
          <cell r="C2544">
            <v>511120</v>
          </cell>
          <cell r="D2544" t="str">
            <v>RO 3X11.8</v>
          </cell>
        </row>
        <row r="2545">
          <cell r="C2545">
            <v>913006</v>
          </cell>
          <cell r="D2545" t="str">
            <v>Box 50x35x50</v>
          </cell>
        </row>
        <row r="2546">
          <cell r="C2546">
            <v>104330.01</v>
          </cell>
          <cell r="D2546" t="str">
            <v>NA/RNA.IR 6906</v>
          </cell>
        </row>
        <row r="2547">
          <cell r="C2547">
            <v>208330.01</v>
          </cell>
          <cell r="D2547" t="str">
            <v>NA/RNA.OR 6906</v>
          </cell>
        </row>
        <row r="2548">
          <cell r="C2548">
            <v>309330.01</v>
          </cell>
          <cell r="D2548" t="str">
            <v>NA/RNA.MCG 6906</v>
          </cell>
        </row>
        <row r="2549">
          <cell r="C2549">
            <v>511509.01</v>
          </cell>
          <cell r="D2549" t="str">
            <v>RO 4X25.8</v>
          </cell>
        </row>
        <row r="2550">
          <cell r="C2550">
            <v>913006</v>
          </cell>
          <cell r="D2550" t="str">
            <v>Box 50x35x50</v>
          </cell>
        </row>
        <row r="2551">
          <cell r="C2551">
            <v>208330.01</v>
          </cell>
          <cell r="D2551" t="str">
            <v>NA/RNA.OR 6906</v>
          </cell>
        </row>
        <row r="2552">
          <cell r="C2552">
            <v>309330.01</v>
          </cell>
          <cell r="D2552" t="str">
            <v>NA/RNA.MCG 6906</v>
          </cell>
        </row>
        <row r="2553">
          <cell r="C2553">
            <v>511509.01</v>
          </cell>
          <cell r="D2553" t="str">
            <v>RO 4X25.8</v>
          </cell>
        </row>
        <row r="2554">
          <cell r="C2554">
            <v>913006</v>
          </cell>
          <cell r="D2554" t="str">
            <v>Box 50x35x50</v>
          </cell>
        </row>
        <row r="2555">
          <cell r="C2555">
            <v>104330.01</v>
          </cell>
          <cell r="D2555" t="str">
            <v>NA/RNA.IR 6906</v>
          </cell>
        </row>
        <row r="2556">
          <cell r="C2556">
            <v>104331.01</v>
          </cell>
          <cell r="D2556" t="str">
            <v>NA/RNA.IR 6907</v>
          </cell>
        </row>
        <row r="2557">
          <cell r="C2557">
            <v>208331.01</v>
          </cell>
          <cell r="D2557" t="str">
            <v>NA/RNA.OR 6907</v>
          </cell>
        </row>
        <row r="2558">
          <cell r="C2558">
            <v>309331.01</v>
          </cell>
          <cell r="D2558" t="str">
            <v>NA/RNA.MCG 6907 (DR)</v>
          </cell>
        </row>
        <row r="2559">
          <cell r="C2559">
            <v>511304.01</v>
          </cell>
          <cell r="D2559" t="str">
            <v>RO 4X12.8</v>
          </cell>
        </row>
        <row r="2560">
          <cell r="C2560">
            <v>208331.01</v>
          </cell>
          <cell r="D2560" t="str">
            <v>NA/RNA.OR 6907</v>
          </cell>
        </row>
        <row r="2561">
          <cell r="C2561">
            <v>309331.01</v>
          </cell>
          <cell r="D2561" t="str">
            <v>NA/RNA.MCG 6907 (DR)</v>
          </cell>
        </row>
        <row r="2562">
          <cell r="C2562">
            <v>511304.01</v>
          </cell>
          <cell r="D2562" t="str">
            <v>RO 4X12.8</v>
          </cell>
        </row>
        <row r="2563">
          <cell r="C2563">
            <v>913015</v>
          </cell>
          <cell r="D2563" t="str">
            <v>Box 75X40X75</v>
          </cell>
        </row>
        <row r="2564">
          <cell r="C2564">
            <v>104331.01</v>
          </cell>
          <cell r="D2564" t="str">
            <v>NA/RNA.IR 6907</v>
          </cell>
        </row>
        <row r="2565">
          <cell r="C2565">
            <v>104332.01</v>
          </cell>
          <cell r="D2565" t="str">
            <v>NA/RNA.IR 6908</v>
          </cell>
        </row>
        <row r="2566">
          <cell r="C2566">
            <v>208332.01</v>
          </cell>
          <cell r="D2566" t="str">
            <v>NA/RNA.OR 6908</v>
          </cell>
        </row>
        <row r="2567">
          <cell r="C2567">
            <v>309332.01</v>
          </cell>
          <cell r="D2567" t="str">
            <v>NA/RNA.MCG 6908 (DR)</v>
          </cell>
        </row>
        <row r="2568">
          <cell r="C2568">
            <v>511332.01</v>
          </cell>
          <cell r="D2568" t="str">
            <v>RO 5X14.8</v>
          </cell>
        </row>
        <row r="2569">
          <cell r="C2569">
            <v>913015</v>
          </cell>
          <cell r="D2569" t="str">
            <v>Box 75X40X75</v>
          </cell>
        </row>
        <row r="2570">
          <cell r="C2570">
            <v>208332.01</v>
          </cell>
          <cell r="D2570" t="str">
            <v>NA/RNA.OR 6908</v>
          </cell>
        </row>
        <row r="2571">
          <cell r="C2571">
            <v>309332.01</v>
          </cell>
          <cell r="D2571" t="str">
            <v>NA/RNA.MCG 6908 (DR)</v>
          </cell>
        </row>
        <row r="2572">
          <cell r="C2572">
            <v>511310.06</v>
          </cell>
          <cell r="D2572" t="str">
            <v>RO 5X14.8 SP</v>
          </cell>
        </row>
        <row r="2573">
          <cell r="C2573">
            <v>913015</v>
          </cell>
          <cell r="D2573" t="str">
            <v>Box 75X40X75</v>
          </cell>
        </row>
        <row r="2574">
          <cell r="C2574">
            <v>104332.01</v>
          </cell>
          <cell r="D2574" t="str">
            <v>NA/RNA.IR 6908</v>
          </cell>
        </row>
        <row r="2575">
          <cell r="C2575">
            <v>104332.01</v>
          </cell>
          <cell r="D2575" t="str">
            <v>NA/RNA.IR 6908</v>
          </cell>
        </row>
        <row r="2576">
          <cell r="C2576">
            <v>104333.01</v>
          </cell>
          <cell r="D2576" t="str">
            <v>NA/RNA.IR 6909</v>
          </cell>
        </row>
        <row r="2577">
          <cell r="C2577">
            <v>208333.01</v>
          </cell>
          <cell r="D2577" t="str">
            <v>NA/RNA.OR 6909</v>
          </cell>
        </row>
        <row r="2578">
          <cell r="C2578">
            <v>309333.01</v>
          </cell>
          <cell r="D2578" t="str">
            <v>NA/RNA.MCG 6909 (DR)</v>
          </cell>
        </row>
        <row r="2579">
          <cell r="C2579">
            <v>511332.01</v>
          </cell>
          <cell r="D2579" t="str">
            <v>RO 5X14.8</v>
          </cell>
        </row>
        <row r="2580">
          <cell r="C2580">
            <v>208333.01</v>
          </cell>
          <cell r="D2580" t="str">
            <v>NA/RNA.OR 6909</v>
          </cell>
        </row>
        <row r="2581">
          <cell r="C2581">
            <v>309333.01</v>
          </cell>
          <cell r="D2581" t="str">
            <v>NA/RNA.MCG 6909 (DR)</v>
          </cell>
        </row>
        <row r="2582">
          <cell r="C2582">
            <v>511332.01</v>
          </cell>
          <cell r="D2582" t="str">
            <v>RO 5X14.8</v>
          </cell>
        </row>
        <row r="2583">
          <cell r="C2583">
            <v>104333.01</v>
          </cell>
          <cell r="D2583" t="str">
            <v>NA/RNA.IR 6909</v>
          </cell>
        </row>
        <row r="2584">
          <cell r="C2584">
            <v>104334.01</v>
          </cell>
          <cell r="D2584" t="str">
            <v>NA/RNA.IR 6910</v>
          </cell>
        </row>
        <row r="2585">
          <cell r="C2585">
            <v>208334.01</v>
          </cell>
          <cell r="D2585" t="str">
            <v>NA/RNA.OR 6910</v>
          </cell>
        </row>
        <row r="2586">
          <cell r="C2586">
            <v>309334.01</v>
          </cell>
          <cell r="D2586" t="str">
            <v>NA/RNA.MCG 6910 (D)</v>
          </cell>
        </row>
        <row r="2587">
          <cell r="C2587">
            <v>511332.01</v>
          </cell>
          <cell r="D2587" t="str">
            <v>RO 5X14.8</v>
          </cell>
        </row>
        <row r="2588">
          <cell r="C2588">
            <v>208334.01</v>
          </cell>
          <cell r="D2588" t="str">
            <v>NA/RNA.OR 6910</v>
          </cell>
        </row>
        <row r="2589">
          <cell r="C2589">
            <v>309334.01</v>
          </cell>
          <cell r="D2589" t="str">
            <v>NA/RNA.MCG 6910 (D)</v>
          </cell>
        </row>
        <row r="2590">
          <cell r="C2590">
            <v>511332.01</v>
          </cell>
          <cell r="D2590" t="str">
            <v>RO 5X14.8</v>
          </cell>
        </row>
        <row r="2591">
          <cell r="C2591">
            <v>104334.01</v>
          </cell>
          <cell r="D2591" t="str">
            <v>NA/RNA.IR 6910</v>
          </cell>
        </row>
        <row r="2592">
          <cell r="C2592">
            <v>208334.01</v>
          </cell>
          <cell r="D2592" t="str">
            <v>NA/RNA.OR 6910</v>
          </cell>
        </row>
        <row r="2593">
          <cell r="C2593">
            <v>309334.01</v>
          </cell>
          <cell r="D2593" t="str">
            <v>NA/RNA.MCG 6910 (D)</v>
          </cell>
        </row>
        <row r="2594">
          <cell r="C2594">
            <v>511332.01</v>
          </cell>
          <cell r="D2594" t="str">
            <v>RO 5X14.8</v>
          </cell>
        </row>
        <row r="2595">
          <cell r="C2595">
            <v>104335.01</v>
          </cell>
          <cell r="D2595" t="str">
            <v>NA/RNA.IR 6911</v>
          </cell>
        </row>
        <row r="2596">
          <cell r="C2596">
            <v>208335.01</v>
          </cell>
          <cell r="D2596" t="str">
            <v>NA/RNA.OR 6911</v>
          </cell>
        </row>
        <row r="2597">
          <cell r="C2597">
            <v>309335.01</v>
          </cell>
          <cell r="D2597" t="str">
            <v>NA/RNA.MCG 6911 (DR)</v>
          </cell>
        </row>
        <row r="2598">
          <cell r="C2598">
            <v>511335.01</v>
          </cell>
          <cell r="D2598" t="str">
            <v>RO 6X16.8</v>
          </cell>
        </row>
        <row r="2599">
          <cell r="C2599">
            <v>913008</v>
          </cell>
          <cell r="D2599" t="str">
            <v>Box 95x50x95</v>
          </cell>
        </row>
        <row r="2600">
          <cell r="C2600">
            <v>208335.01</v>
          </cell>
          <cell r="D2600" t="str">
            <v>NA/RNA.OR 6911</v>
          </cell>
        </row>
        <row r="2601">
          <cell r="C2601">
            <v>309335.01</v>
          </cell>
          <cell r="D2601" t="str">
            <v>NA/RNA.MCG 6911 (DR)</v>
          </cell>
        </row>
        <row r="2602">
          <cell r="C2602">
            <v>511335.01</v>
          </cell>
          <cell r="D2602" t="str">
            <v>RO 6X16.8</v>
          </cell>
        </row>
        <row r="2603">
          <cell r="C2603">
            <v>913008</v>
          </cell>
          <cell r="D2603" t="str">
            <v>Box 95x50x95</v>
          </cell>
        </row>
        <row r="2604">
          <cell r="C2604">
            <v>104335.01</v>
          </cell>
          <cell r="D2604" t="str">
            <v>NA/RNA.IR 6911</v>
          </cell>
        </row>
        <row r="2605">
          <cell r="C2605">
            <v>104336.01</v>
          </cell>
          <cell r="D2605" t="str">
            <v>NA/RNA.IR 6912</v>
          </cell>
        </row>
        <row r="2606">
          <cell r="C2606">
            <v>208336.01</v>
          </cell>
          <cell r="D2606" t="str">
            <v>NA/RNA.OR 6912</v>
          </cell>
        </row>
        <row r="2607">
          <cell r="C2607">
            <v>309336.01</v>
          </cell>
          <cell r="D2607" t="str">
            <v>NA/RNA.MCG 6912 (DR)</v>
          </cell>
        </row>
        <row r="2608">
          <cell r="C2608">
            <v>511335.01</v>
          </cell>
          <cell r="D2608" t="str">
            <v>RO 6X16.8</v>
          </cell>
        </row>
        <row r="2609">
          <cell r="C2609">
            <v>913008</v>
          </cell>
          <cell r="D2609" t="str">
            <v>Box 95x50x95</v>
          </cell>
        </row>
        <row r="2610">
          <cell r="C2610">
            <v>208336.01</v>
          </cell>
          <cell r="D2610" t="str">
            <v>NA/RNA.OR 6912</v>
          </cell>
        </row>
        <row r="2611">
          <cell r="C2611">
            <v>309336.01</v>
          </cell>
          <cell r="D2611" t="str">
            <v>NA/RNA.MCG 6912 (DR)</v>
          </cell>
        </row>
        <row r="2612">
          <cell r="C2612">
            <v>511335.01</v>
          </cell>
          <cell r="D2612" t="str">
            <v>RO 6X16.8</v>
          </cell>
        </row>
        <row r="2613">
          <cell r="C2613">
            <v>913008</v>
          </cell>
          <cell r="D2613" t="str">
            <v>Box 95x50x95</v>
          </cell>
        </row>
        <row r="2614">
          <cell r="C2614">
            <v>104336.01</v>
          </cell>
          <cell r="D2614" t="str">
            <v>NA/RNA.IR 6912</v>
          </cell>
        </row>
        <row r="2615">
          <cell r="C2615">
            <v>104336.01</v>
          </cell>
          <cell r="D2615" t="str">
            <v>NA/RNA.IR 6912</v>
          </cell>
        </row>
        <row r="2616">
          <cell r="C2616">
            <v>208336.01</v>
          </cell>
          <cell r="D2616" t="str">
            <v>NA/RNA.OR 6912</v>
          </cell>
        </row>
        <row r="2617">
          <cell r="C2617">
            <v>309336.01</v>
          </cell>
          <cell r="D2617" t="str">
            <v>NA/RNA.MCG 6912 (DR)</v>
          </cell>
        </row>
        <row r="2618">
          <cell r="C2618">
            <v>511335.01</v>
          </cell>
          <cell r="D2618" t="str">
            <v>RO 6X16.8</v>
          </cell>
        </row>
        <row r="2619">
          <cell r="C2619">
            <v>913008</v>
          </cell>
          <cell r="D2619" t="str">
            <v>Box 95x50x95</v>
          </cell>
        </row>
        <row r="2620">
          <cell r="C2620">
            <v>104337.01</v>
          </cell>
          <cell r="D2620" t="str">
            <v>NA/RNA.IR 6913</v>
          </cell>
        </row>
        <row r="2621">
          <cell r="C2621">
            <v>208337.01</v>
          </cell>
          <cell r="D2621" t="str">
            <v>NA/RNA.OR 6913</v>
          </cell>
        </row>
        <row r="2622">
          <cell r="C2622">
            <v>309337.01</v>
          </cell>
          <cell r="D2622" t="str">
            <v>NA/RNA.MCG 6913 (DR)</v>
          </cell>
        </row>
        <row r="2623">
          <cell r="C2623">
            <v>511335.01</v>
          </cell>
          <cell r="D2623" t="str">
            <v>RO 6X16.8</v>
          </cell>
        </row>
        <row r="2624">
          <cell r="C2624">
            <v>913008</v>
          </cell>
          <cell r="D2624" t="str">
            <v>Box 95x50x95</v>
          </cell>
        </row>
        <row r="2625">
          <cell r="C2625">
            <v>208337.01</v>
          </cell>
          <cell r="D2625" t="str">
            <v>NA/RNA.OR 6913</v>
          </cell>
        </row>
        <row r="2626">
          <cell r="C2626">
            <v>309337.01</v>
          </cell>
          <cell r="D2626" t="str">
            <v>NA/RNA.MCG 6913 (DR)</v>
          </cell>
        </row>
        <row r="2627">
          <cell r="C2627">
            <v>511335.01</v>
          </cell>
          <cell r="D2627" t="str">
            <v>RO 6X16.8</v>
          </cell>
        </row>
        <row r="2628">
          <cell r="C2628">
            <v>913008</v>
          </cell>
          <cell r="D2628" t="str">
            <v>Box 95x50x95</v>
          </cell>
        </row>
        <row r="2629">
          <cell r="C2629">
            <v>104337.01</v>
          </cell>
          <cell r="D2629" t="str">
            <v>NA/RNA.IR 6913</v>
          </cell>
        </row>
        <row r="2630">
          <cell r="C2630">
            <v>104337.01</v>
          </cell>
          <cell r="D2630" t="str">
            <v>NA/RNA.IR 6913</v>
          </cell>
        </row>
        <row r="2631">
          <cell r="C2631">
            <v>104338.01</v>
          </cell>
          <cell r="D2631" t="str">
            <v>NA/RNA.IR 6914</v>
          </cell>
        </row>
        <row r="2632">
          <cell r="C2632">
            <v>208338.01</v>
          </cell>
          <cell r="D2632" t="str">
            <v>NA/RNA.OR 6914</v>
          </cell>
        </row>
        <row r="2633">
          <cell r="C2633">
            <v>309338.01</v>
          </cell>
          <cell r="D2633" t="str">
            <v>NA/RNA.MCG 6914 (DR)</v>
          </cell>
        </row>
        <row r="2634">
          <cell r="C2634">
            <v>511338.01</v>
          </cell>
          <cell r="D2634" t="str">
            <v>RO 6.5X19.8</v>
          </cell>
        </row>
        <row r="2635">
          <cell r="C2635">
            <v>208338.01</v>
          </cell>
          <cell r="D2635" t="str">
            <v>NA/RNA.OR 6914</v>
          </cell>
        </row>
        <row r="2636">
          <cell r="C2636">
            <v>309338.01</v>
          </cell>
          <cell r="D2636" t="str">
            <v>NA/RNA.MCG 6914 (DR)</v>
          </cell>
        </row>
        <row r="2637">
          <cell r="C2637">
            <v>511338.01</v>
          </cell>
          <cell r="D2637" t="str">
            <v>RO 6.5X19.8</v>
          </cell>
        </row>
        <row r="2638">
          <cell r="C2638">
            <v>104338.01</v>
          </cell>
          <cell r="D2638" t="str">
            <v>NA/RNA.IR 6914</v>
          </cell>
        </row>
        <row r="2639">
          <cell r="C2639">
            <v>104338.01</v>
          </cell>
          <cell r="D2639" t="str">
            <v>NA/RNA.IR 6914</v>
          </cell>
        </row>
        <row r="2640">
          <cell r="C2640">
            <v>104339.01</v>
          </cell>
          <cell r="D2640" t="str">
            <v>NA/RNA.IR 6915</v>
          </cell>
        </row>
        <row r="2641">
          <cell r="C2641">
            <v>208339.01</v>
          </cell>
          <cell r="D2641" t="str">
            <v>NA/RNA.OR 6915</v>
          </cell>
        </row>
        <row r="2642">
          <cell r="C2642">
            <v>309339.01</v>
          </cell>
          <cell r="D2642" t="str">
            <v>NA/RNA.MCG 6915 (DR)</v>
          </cell>
        </row>
        <row r="2643">
          <cell r="C2643">
            <v>511339.01</v>
          </cell>
          <cell r="D2643" t="str">
            <v>RO 6.5X20.8</v>
          </cell>
        </row>
        <row r="2644">
          <cell r="C2644">
            <v>208339.01</v>
          </cell>
          <cell r="D2644" t="str">
            <v>NA/RNA.OR 6915</v>
          </cell>
        </row>
        <row r="2645">
          <cell r="C2645">
            <v>309339.01</v>
          </cell>
          <cell r="D2645" t="str">
            <v>NA/RNA.MCG 6915 (DR)</v>
          </cell>
        </row>
        <row r="2646">
          <cell r="C2646">
            <v>511339.01</v>
          </cell>
          <cell r="D2646" t="str">
            <v>RO 6.5X20.8</v>
          </cell>
        </row>
        <row r="2647">
          <cell r="C2647">
            <v>104339.01</v>
          </cell>
          <cell r="D2647" t="str">
            <v>NA/RNA.IR 6915</v>
          </cell>
        </row>
        <row r="2648">
          <cell r="C2648">
            <v>104340.01</v>
          </cell>
          <cell r="D2648" t="str">
            <v>NA/RNA.IR 6916</v>
          </cell>
        </row>
        <row r="2649">
          <cell r="C2649">
            <v>208340.01</v>
          </cell>
          <cell r="D2649" t="str">
            <v>NA/RNA.OR 6916</v>
          </cell>
        </row>
        <row r="2650">
          <cell r="C2650">
            <v>309340.01</v>
          </cell>
          <cell r="D2650" t="str">
            <v>NA/RNA.MCG 6916 (DR)</v>
          </cell>
        </row>
        <row r="2651">
          <cell r="C2651">
            <v>511987</v>
          </cell>
          <cell r="D2651" t="str">
            <v>RO 5X20.8 (BPM)</v>
          </cell>
        </row>
        <row r="2652">
          <cell r="C2652">
            <v>717340.01</v>
          </cell>
          <cell r="D2652" t="str">
            <v>METAL WASHER NA 6916</v>
          </cell>
        </row>
        <row r="2653">
          <cell r="C2653">
            <v>208340.01</v>
          </cell>
          <cell r="D2653" t="str">
            <v>NA/RNA.OR 6916</v>
          </cell>
        </row>
        <row r="2654">
          <cell r="C2654">
            <v>309340.01</v>
          </cell>
          <cell r="D2654" t="str">
            <v>NA/RNA.MCG 6916 (DR)</v>
          </cell>
        </row>
        <row r="2655">
          <cell r="C2655">
            <v>511987</v>
          </cell>
          <cell r="D2655" t="str">
            <v>RO 5X20.8 (BPM)</v>
          </cell>
        </row>
        <row r="2656">
          <cell r="C2656">
            <v>104340.01</v>
          </cell>
          <cell r="D2656" t="str">
            <v>NA/RNA.IR 6916</v>
          </cell>
        </row>
        <row r="2657">
          <cell r="C2657">
            <v>104341.01</v>
          </cell>
          <cell r="D2657" t="str">
            <v>NA/RNA.IR 69/22</v>
          </cell>
        </row>
        <row r="2658">
          <cell r="C2658">
            <v>208341.01</v>
          </cell>
          <cell r="D2658" t="str">
            <v>NA/RNA.OR 69/22</v>
          </cell>
        </row>
        <row r="2659">
          <cell r="C2659">
            <v>309341.01</v>
          </cell>
          <cell r="D2659" t="str">
            <v>NA/RNA.MCG 69/22</v>
          </cell>
        </row>
        <row r="2660">
          <cell r="C2660">
            <v>511509.01</v>
          </cell>
          <cell r="D2660" t="str">
            <v>RO 4X25.8</v>
          </cell>
        </row>
        <row r="2661">
          <cell r="C2661">
            <v>913006</v>
          </cell>
          <cell r="D2661" t="str">
            <v>Box 50x35x50</v>
          </cell>
        </row>
        <row r="2662">
          <cell r="C2662">
            <v>208341.01</v>
          </cell>
          <cell r="D2662" t="str">
            <v>NA/RNA.OR 69/22</v>
          </cell>
        </row>
        <row r="2663">
          <cell r="C2663">
            <v>309341.01</v>
          </cell>
          <cell r="D2663" t="str">
            <v>NA/RNA.MCG 69/22</v>
          </cell>
        </row>
        <row r="2664">
          <cell r="C2664">
            <v>511509.01</v>
          </cell>
          <cell r="D2664" t="str">
            <v>RO 4X25.8</v>
          </cell>
        </row>
        <row r="2665">
          <cell r="C2665">
            <v>913006</v>
          </cell>
          <cell r="D2665" t="str">
            <v>Box 50x35x50</v>
          </cell>
        </row>
        <row r="2666">
          <cell r="C2666">
            <v>104341.01</v>
          </cell>
          <cell r="D2666" t="str">
            <v>NA/RNA.IR 69/22</v>
          </cell>
        </row>
        <row r="2667">
          <cell r="C2667">
            <v>104342.01</v>
          </cell>
          <cell r="D2667" t="str">
            <v>NA/RNA.IR 69/28</v>
          </cell>
        </row>
        <row r="2668">
          <cell r="C2668">
            <v>208342.01</v>
          </cell>
          <cell r="D2668" t="str">
            <v>NA/RNA.OR 69/28</v>
          </cell>
        </row>
        <row r="2669">
          <cell r="C2669">
            <v>309342.01</v>
          </cell>
          <cell r="D2669" t="str">
            <v>NA/RNA.MCG 69/28</v>
          </cell>
        </row>
        <row r="2670">
          <cell r="C2670">
            <v>511509.01</v>
          </cell>
          <cell r="D2670" t="str">
            <v>RO 4X25.8</v>
          </cell>
        </row>
        <row r="2671">
          <cell r="C2671">
            <v>913006</v>
          </cell>
          <cell r="D2671" t="str">
            <v>Box 50x35x50</v>
          </cell>
        </row>
        <row r="2672">
          <cell r="C2672">
            <v>208342.01</v>
          </cell>
          <cell r="D2672" t="str">
            <v>NA/RNA.OR 69/28</v>
          </cell>
        </row>
        <row r="2673">
          <cell r="C2673">
            <v>309342.01</v>
          </cell>
          <cell r="D2673" t="str">
            <v>NA/RNA.MCG 69/28</v>
          </cell>
        </row>
        <row r="2674">
          <cell r="C2674">
            <v>511509.01</v>
          </cell>
          <cell r="D2674" t="str">
            <v>RO 4X25.8</v>
          </cell>
        </row>
        <row r="2675">
          <cell r="C2675">
            <v>913006</v>
          </cell>
          <cell r="D2675" t="str">
            <v>Box 50x35x50</v>
          </cell>
        </row>
        <row r="2676">
          <cell r="C2676">
            <v>104342.01</v>
          </cell>
          <cell r="D2676" t="str">
            <v>NA/RNA.IR 69/28</v>
          </cell>
        </row>
        <row r="2677">
          <cell r="C2677">
            <v>104343.01</v>
          </cell>
          <cell r="D2677" t="str">
            <v>NA/RNA.IR 69/32</v>
          </cell>
        </row>
        <row r="2678">
          <cell r="C2678">
            <v>208343.01</v>
          </cell>
          <cell r="D2678" t="str">
            <v>NA/RNA.OR 69/32</v>
          </cell>
        </row>
        <row r="2679">
          <cell r="C2679">
            <v>309343.01</v>
          </cell>
          <cell r="D2679" t="str">
            <v>NA/RNA.MCG 69/32</v>
          </cell>
        </row>
        <row r="2680">
          <cell r="C2680">
            <v>511304.01</v>
          </cell>
          <cell r="D2680" t="str">
            <v>RO 4X12.8</v>
          </cell>
        </row>
        <row r="2681">
          <cell r="C2681">
            <v>913015</v>
          </cell>
          <cell r="D2681" t="str">
            <v>Box 75X40X75</v>
          </cell>
        </row>
        <row r="2682">
          <cell r="C2682">
            <v>208343.01</v>
          </cell>
          <cell r="D2682" t="str">
            <v>NA/RNA.OR 69/32</v>
          </cell>
        </row>
        <row r="2683">
          <cell r="C2683">
            <v>309343.01</v>
          </cell>
          <cell r="D2683" t="str">
            <v>NA/RNA.MCG 69/32</v>
          </cell>
        </row>
        <row r="2684">
          <cell r="C2684">
            <v>511304.01</v>
          </cell>
          <cell r="D2684" t="str">
            <v>RO 4X12.8</v>
          </cell>
        </row>
        <row r="2685">
          <cell r="C2685">
            <v>913015</v>
          </cell>
          <cell r="D2685" t="str">
            <v>Box 75X40X75</v>
          </cell>
        </row>
        <row r="2686">
          <cell r="C2686">
            <v>104343.01</v>
          </cell>
          <cell r="D2686" t="str">
            <v>NA/RNA.IR 69/32</v>
          </cell>
        </row>
        <row r="2687">
          <cell r="C2687">
            <v>104343.01</v>
          </cell>
          <cell r="D2687" t="str">
            <v>NA/RNA.IR 69/32</v>
          </cell>
        </row>
        <row r="2688">
          <cell r="C2688">
            <v>104329.01</v>
          </cell>
          <cell r="D2688" t="str">
            <v>NA/RNA.IR 6905</v>
          </cell>
        </row>
        <row r="2689">
          <cell r="C2689">
            <v>208344.01</v>
          </cell>
          <cell r="D2689" t="str">
            <v>NA/RNA.OR 6905 SR</v>
          </cell>
        </row>
        <row r="2690">
          <cell r="C2690">
            <v>309344.01</v>
          </cell>
          <cell r="D2690" t="str">
            <v>NA/RNA.MCG 6905 SR</v>
          </cell>
        </row>
        <row r="2691">
          <cell r="C2691">
            <v>511990</v>
          </cell>
          <cell r="D2691" t="str">
            <v>RO 3.5X25.4</v>
          </cell>
        </row>
        <row r="2692">
          <cell r="C2692">
            <v>913006</v>
          </cell>
          <cell r="D2692" t="str">
            <v>Box 50x35x50</v>
          </cell>
        </row>
        <row r="2693">
          <cell r="C2693">
            <v>208344.01</v>
          </cell>
          <cell r="D2693" t="str">
            <v>NA/RNA.OR 6905 SR</v>
          </cell>
        </row>
        <row r="2694">
          <cell r="C2694">
            <v>309344.01</v>
          </cell>
          <cell r="D2694" t="str">
            <v>NA/RNA.MCG 6905 SR</v>
          </cell>
        </row>
        <row r="2695">
          <cell r="C2695">
            <v>511990</v>
          </cell>
          <cell r="D2695" t="str">
            <v>RO 3.5X25.4</v>
          </cell>
        </row>
        <row r="2696">
          <cell r="C2696">
            <v>913006</v>
          </cell>
          <cell r="D2696" t="str">
            <v>Box 50x35x50</v>
          </cell>
        </row>
        <row r="2697">
          <cell r="C2697">
            <v>104329.01</v>
          </cell>
          <cell r="D2697" t="str">
            <v>NA/RNA.IR 6905</v>
          </cell>
        </row>
        <row r="2698">
          <cell r="C2698">
            <v>200344.21</v>
          </cell>
          <cell r="D2698" t="str">
            <v>NA/RNA.OR 6905 SR SPL</v>
          </cell>
        </row>
        <row r="2699">
          <cell r="C2699">
            <v>300344.21000000002</v>
          </cell>
          <cell r="D2699" t="str">
            <v>NA/RNA.MCG 6905 SR SPL</v>
          </cell>
        </row>
        <row r="2700">
          <cell r="C2700">
            <v>500344.21</v>
          </cell>
          <cell r="D2700" t="str">
            <v>RO 4X25.4 BPER</v>
          </cell>
        </row>
        <row r="2701">
          <cell r="C2701">
            <v>200344.21</v>
          </cell>
          <cell r="D2701" t="str">
            <v>NA/RNA.OR 6905 SR SPL</v>
          </cell>
        </row>
        <row r="2702">
          <cell r="C2702">
            <v>300344.21000000002</v>
          </cell>
          <cell r="D2702" t="str">
            <v>NA/RNA.MCG 6905 SR SPL</v>
          </cell>
        </row>
        <row r="2703">
          <cell r="C2703">
            <v>500344.21</v>
          </cell>
          <cell r="D2703" t="str">
            <v>RO 4X25.4 BPER</v>
          </cell>
        </row>
        <row r="2704">
          <cell r="C2704">
            <v>104345.01</v>
          </cell>
          <cell r="D2704" t="str">
            <v>NA/RNA.IR 4904 UU</v>
          </cell>
        </row>
        <row r="2705">
          <cell r="C2705">
            <v>104346.01</v>
          </cell>
          <cell r="D2705" t="str">
            <v>920041053(PIN 6X31)     F</v>
          </cell>
        </row>
        <row r="2706">
          <cell r="C2706">
            <v>104346.02</v>
          </cell>
          <cell r="D2706" t="str">
            <v>920041042collarpin 8x36 F</v>
          </cell>
        </row>
        <row r="2707">
          <cell r="C2707">
            <v>104346.03</v>
          </cell>
          <cell r="D2707" t="str">
            <v>920041049collarpin 6X29 F</v>
          </cell>
        </row>
        <row r="2708">
          <cell r="C2708">
            <v>104346.04</v>
          </cell>
          <cell r="D2708" t="str">
            <v>920041050collarpin12X68 F</v>
          </cell>
        </row>
        <row r="2709">
          <cell r="C2709">
            <v>104346.05</v>
          </cell>
          <cell r="D2709" t="str">
            <v>920041051pinmsdia5x39sp F</v>
          </cell>
        </row>
        <row r="2710">
          <cell r="C2710">
            <v>104346.06</v>
          </cell>
          <cell r="D2710" t="str">
            <v>920041052p(C S)12X77    F</v>
          </cell>
        </row>
        <row r="2711">
          <cell r="C2711">
            <v>104346.07</v>
          </cell>
          <cell r="D2711" t="str">
            <v>920041054 PIN(12X142)   F</v>
          </cell>
        </row>
        <row r="2712">
          <cell r="C2712">
            <v>104346.08</v>
          </cell>
          <cell r="D2712" t="str">
            <v>920041055 PIN(16X137)   F</v>
          </cell>
        </row>
        <row r="2713">
          <cell r="C2713">
            <v>104346.09</v>
          </cell>
          <cell r="D2713" t="str">
            <v>920041063 PIN(15X54)    F</v>
          </cell>
        </row>
        <row r="2714">
          <cell r="C2714">
            <v>104346.1</v>
          </cell>
          <cell r="D2714" t="str">
            <v>920041064 PIN(20X53)    F</v>
          </cell>
        </row>
        <row r="2715">
          <cell r="C2715">
            <v>104346.11</v>
          </cell>
          <cell r="D2715" t="str">
            <v>920041065 PIN(12X62)    F</v>
          </cell>
        </row>
        <row r="2716">
          <cell r="C2716">
            <v>104346.12</v>
          </cell>
          <cell r="D2716" t="str">
            <v>920041066pinmsdia12x23ccF</v>
          </cell>
        </row>
        <row r="2717">
          <cell r="C2717">
            <v>104346.13</v>
          </cell>
          <cell r="D2717" t="str">
            <v>920041154collarpindia 12F</v>
          </cell>
        </row>
        <row r="2718">
          <cell r="C2718">
            <v>104346.14</v>
          </cell>
          <cell r="D2718" t="str">
            <v>920041030pinmsdia12x81spF</v>
          </cell>
        </row>
        <row r="2719">
          <cell r="C2719">
            <v>104346.15</v>
          </cell>
          <cell r="D2719" t="str">
            <v>920041004 COLLAR PIN    F</v>
          </cell>
        </row>
        <row r="2720">
          <cell r="C2720">
            <v>104346.16</v>
          </cell>
          <cell r="D2720" t="str">
            <v>920041011BAR PIN 16X48  F</v>
          </cell>
        </row>
        <row r="2721">
          <cell r="C2721">
            <v>104346.17</v>
          </cell>
          <cell r="D2721" t="str">
            <v>920041001PINMSDIA 10X24 F</v>
          </cell>
        </row>
        <row r="2722">
          <cell r="C2722">
            <v>104346.18</v>
          </cell>
          <cell r="D2722" t="str">
            <v>920041003 PIN 13X38     F</v>
          </cell>
        </row>
        <row r="2723">
          <cell r="C2723">
            <v>104346.19</v>
          </cell>
          <cell r="D2723" t="str">
            <v>9200410153PHLEVER DIA30 F</v>
          </cell>
        </row>
        <row r="2724">
          <cell r="C2724">
            <v>104346.2</v>
          </cell>
          <cell r="D2724" t="str">
            <v>920041010 PIN 16X42     F</v>
          </cell>
        </row>
        <row r="2725">
          <cell r="C2725">
            <v>104346.21</v>
          </cell>
          <cell r="D2725" t="str">
            <v>920041089               F</v>
          </cell>
        </row>
        <row r="2726">
          <cell r="C2726">
            <v>104346.22</v>
          </cell>
          <cell r="D2726" t="str">
            <v>920041088B619 PIN 16X78 F</v>
          </cell>
        </row>
        <row r="2727">
          <cell r="C2727">
            <v>104347.01</v>
          </cell>
          <cell r="D2727" t="str">
            <v>940041361 BAR PIN       F</v>
          </cell>
        </row>
        <row r="2728">
          <cell r="C2728">
            <v>104347.02</v>
          </cell>
          <cell r="D2728" t="str">
            <v>940041314BARPIN 10X55.5 F</v>
          </cell>
        </row>
        <row r="2729">
          <cell r="C2729">
            <v>104347.03</v>
          </cell>
          <cell r="D2729" t="str">
            <v>940041348BARPIN 10X118  F</v>
          </cell>
        </row>
        <row r="2730">
          <cell r="C2730">
            <v>104347.04</v>
          </cell>
          <cell r="D2730" t="str">
            <v>940041356BARPIN 20X76   F</v>
          </cell>
        </row>
        <row r="2731">
          <cell r="C2731">
            <v>104347.05</v>
          </cell>
          <cell r="D2731" t="str">
            <v>940041333BARPIN 25X61   F</v>
          </cell>
        </row>
        <row r="2732">
          <cell r="C2732">
            <v>104347.06</v>
          </cell>
          <cell r="D2732" t="str">
            <v>940041311BARPIN 13X137  F</v>
          </cell>
        </row>
        <row r="2733">
          <cell r="C2733">
            <v>104347.07</v>
          </cell>
          <cell r="D2733" t="str">
            <v>940041353BARPIN         F</v>
          </cell>
        </row>
        <row r="2734">
          <cell r="C2734">
            <v>104347.08</v>
          </cell>
          <cell r="D2734" t="str">
            <v>940041322BARPIN 8X31    F</v>
          </cell>
        </row>
        <row r="2735">
          <cell r="C2735">
            <v>104347.09</v>
          </cell>
          <cell r="D2735" t="str">
            <v>940041388BARPIN 8X28    F</v>
          </cell>
        </row>
        <row r="2736">
          <cell r="C2736">
            <v>104347.1</v>
          </cell>
          <cell r="D2736" t="str">
            <v>940041342BARPIN 16X150  F</v>
          </cell>
        </row>
        <row r="2737">
          <cell r="C2737">
            <v>104347.11</v>
          </cell>
          <cell r="D2737" t="str">
            <v>940041307BARPIN 13X150  F</v>
          </cell>
        </row>
        <row r="2738">
          <cell r="C2738">
            <v>104347.12</v>
          </cell>
          <cell r="D2738" t="str">
            <v>940041354BARPIN 10X160  F</v>
          </cell>
        </row>
        <row r="2739">
          <cell r="C2739">
            <v>104347.13</v>
          </cell>
          <cell r="D2739" t="str">
            <v>930041110BARPIN 5X21S.S F</v>
          </cell>
        </row>
        <row r="2740">
          <cell r="C2740">
            <v>104347.14</v>
          </cell>
          <cell r="D2740" t="str">
            <v>930041342PREVENTION PIN F</v>
          </cell>
        </row>
        <row r="2741">
          <cell r="C2741">
            <v>104347.15</v>
          </cell>
          <cell r="D2741" t="str">
            <v>940041358BAR PIN 22X42  F</v>
          </cell>
        </row>
        <row r="2742">
          <cell r="C2742">
            <v>104347.16</v>
          </cell>
          <cell r="D2742" t="str">
            <v>940041359BAR PIN 22X48  F</v>
          </cell>
        </row>
        <row r="2743">
          <cell r="C2743">
            <v>104347.17</v>
          </cell>
          <cell r="D2743" t="str">
            <v>940041337BAR PIN 22X81  F</v>
          </cell>
        </row>
        <row r="2744">
          <cell r="C2744">
            <v>104347.18</v>
          </cell>
          <cell r="D2744" t="str">
            <v>930041108BAR PIN 20X138 F</v>
          </cell>
        </row>
        <row r="2745">
          <cell r="C2745">
            <v>104347.19</v>
          </cell>
          <cell r="D2745" t="str">
            <v>940041405BARPIDIA 24SSI F</v>
          </cell>
        </row>
        <row r="2746">
          <cell r="C2746">
            <v>104347.2</v>
          </cell>
          <cell r="D2746" t="str">
            <v>940041357BARPIDIA 16X42 F</v>
          </cell>
        </row>
        <row r="2747">
          <cell r="C2747">
            <v>104347.21</v>
          </cell>
          <cell r="D2747" t="str">
            <v>940041360BARPIDIA 13X34 F</v>
          </cell>
        </row>
        <row r="2748">
          <cell r="C2748">
            <v>104347.22</v>
          </cell>
          <cell r="D2748" t="str">
            <v>940041352BARPIDIA 30X101F</v>
          </cell>
        </row>
        <row r="2749">
          <cell r="C2749">
            <v>104348.01</v>
          </cell>
          <cell r="D2749" t="str">
            <v>940041611BAR PIN 13X128 F</v>
          </cell>
        </row>
        <row r="2750">
          <cell r="C2750">
            <v>104348.02</v>
          </cell>
          <cell r="D2750" t="str">
            <v>920041859BARPIN FOR25KV F</v>
          </cell>
        </row>
        <row r="2751">
          <cell r="C2751">
            <v>104348.03</v>
          </cell>
          <cell r="D2751" t="str">
            <v>920041109PIN 33kv SSI   F</v>
          </cell>
        </row>
        <row r="2752">
          <cell r="C2752">
            <v>104348.04</v>
          </cell>
          <cell r="D2752" t="str">
            <v>940041614               F</v>
          </cell>
        </row>
        <row r="2753">
          <cell r="C2753">
            <v>104349.01</v>
          </cell>
          <cell r="D2753" t="str">
            <v>920041047BARPIN 8X14    F</v>
          </cell>
        </row>
        <row r="2754">
          <cell r="C2754">
            <v>104349.02</v>
          </cell>
          <cell r="D2754" t="str">
            <v>930041106BARPIN 10X140  F</v>
          </cell>
        </row>
        <row r="2755">
          <cell r="C2755">
            <v>104349.18</v>
          </cell>
          <cell r="D2755" t="str">
            <v>930041052BARPIN 30X87.5 F</v>
          </cell>
        </row>
        <row r="2756">
          <cell r="C2756">
            <v>104349.19</v>
          </cell>
          <cell r="D2756" t="str">
            <v>930041053BARPIN 32X97.5 F</v>
          </cell>
        </row>
        <row r="2757">
          <cell r="C2757">
            <v>104349.21</v>
          </cell>
          <cell r="D2757" t="str">
            <v>930041701BARPIN PU 245  F</v>
          </cell>
        </row>
        <row r="2758">
          <cell r="C2758">
            <v>104349.25</v>
          </cell>
          <cell r="D2758" t="str">
            <v>940041392BARPIN 16X158  F</v>
          </cell>
        </row>
        <row r="2759">
          <cell r="C2759">
            <v>104350.16</v>
          </cell>
          <cell r="D2759" t="str">
            <v>930041250BARPIN 16X40   F</v>
          </cell>
        </row>
        <row r="2760">
          <cell r="C2760">
            <v>1422351.01</v>
          </cell>
          <cell r="D2760" t="str">
            <v>6001 ZZ MATERIAL</v>
          </cell>
        </row>
        <row r="2761">
          <cell r="C2761">
            <v>913068</v>
          </cell>
          <cell r="D2761" t="str">
            <v>BOX R.P.C 38X300</v>
          </cell>
        </row>
        <row r="2762">
          <cell r="C2762">
            <v>1422351.02</v>
          </cell>
          <cell r="D2762" t="str">
            <v>6002 ZZ MATERIAL</v>
          </cell>
        </row>
        <row r="2763">
          <cell r="C2763">
            <v>913068</v>
          </cell>
          <cell r="D2763" t="str">
            <v>BOX R.P.C 38X300</v>
          </cell>
        </row>
        <row r="2764">
          <cell r="C2764">
            <v>1422351.04</v>
          </cell>
          <cell r="D2764" t="str">
            <v>6004 ZZ MATERIAL</v>
          </cell>
        </row>
        <row r="2765">
          <cell r="C2765">
            <v>1422351.05</v>
          </cell>
          <cell r="D2765" t="str">
            <v>6005 ZZ MATERIAL</v>
          </cell>
        </row>
        <row r="2766">
          <cell r="C2766">
            <v>1422351.06</v>
          </cell>
          <cell r="D2766" t="str">
            <v>6006 ZZ MATERIAL</v>
          </cell>
        </row>
        <row r="2767">
          <cell r="C2767">
            <v>913021</v>
          </cell>
          <cell r="D2767" t="str">
            <v>Box 55X20X55</v>
          </cell>
        </row>
        <row r="2768">
          <cell r="C2768">
            <v>1422351.07</v>
          </cell>
          <cell r="D2768" t="str">
            <v>6007 ZZ MATERIAL</v>
          </cell>
        </row>
        <row r="2769">
          <cell r="C2769">
            <v>1422351.08</v>
          </cell>
          <cell r="D2769" t="str">
            <v>6008 ZZ MATERIAL</v>
          </cell>
        </row>
        <row r="2770">
          <cell r="C2770">
            <v>1422351.09</v>
          </cell>
          <cell r="D2770" t="str">
            <v>6009 ZZ MATERIAL</v>
          </cell>
        </row>
        <row r="2771">
          <cell r="C2771">
            <v>913002</v>
          </cell>
          <cell r="D2771" t="str">
            <v>Box 75x30x75</v>
          </cell>
        </row>
        <row r="2772">
          <cell r="C2772">
            <v>1421351.1</v>
          </cell>
          <cell r="D2772" t="str">
            <v>6010 ZZ MATERIAL</v>
          </cell>
        </row>
        <row r="2773">
          <cell r="C2773">
            <v>1421351.1</v>
          </cell>
          <cell r="D2773" t="str">
            <v>6010 ZZ MATERIAL</v>
          </cell>
        </row>
        <row r="2774">
          <cell r="C2774">
            <v>1422351.12</v>
          </cell>
          <cell r="D2774" t="str">
            <v>6012 ZZ MATERIAL.</v>
          </cell>
        </row>
        <row r="2775">
          <cell r="C2775">
            <v>1421351.13</v>
          </cell>
          <cell r="D2775" t="str">
            <v>6013 ZZ MATERIAL</v>
          </cell>
        </row>
        <row r="2776">
          <cell r="C2776">
            <v>1421351.14</v>
          </cell>
          <cell r="D2776" t="str">
            <v>6014 ZZ MATERIAL</v>
          </cell>
        </row>
        <row r="2777">
          <cell r="C2777">
            <v>1421351.15</v>
          </cell>
          <cell r="D2777" t="str">
            <v>6015 ZZ MATERIAL</v>
          </cell>
        </row>
        <row r="2778">
          <cell r="C2778">
            <v>1422351.18</v>
          </cell>
          <cell r="D2778" t="str">
            <v>6018 ZZ MATERIAL</v>
          </cell>
        </row>
        <row r="2779">
          <cell r="C2779">
            <v>1422351.18</v>
          </cell>
          <cell r="D2779" t="str">
            <v>6018 ZZ MATERIAL</v>
          </cell>
        </row>
        <row r="2780">
          <cell r="C2780">
            <v>1422351.2</v>
          </cell>
          <cell r="D2780" t="str">
            <v>6004 2RS MATERIAL</v>
          </cell>
        </row>
        <row r="2781">
          <cell r="C2781">
            <v>1422351.2</v>
          </cell>
          <cell r="D2781" t="str">
            <v>6004 2RS MATERIAL</v>
          </cell>
        </row>
        <row r="2782">
          <cell r="C2782">
            <v>1422351.3</v>
          </cell>
          <cell r="D2782" t="str">
            <v>6004 ZZ NR MATERIAL</v>
          </cell>
        </row>
        <row r="2783">
          <cell r="C2783">
            <v>1422351.31</v>
          </cell>
          <cell r="D2783" t="str">
            <v>607 2RS MATERIAL</v>
          </cell>
        </row>
        <row r="2784">
          <cell r="C2784">
            <v>1422351.32</v>
          </cell>
          <cell r="D2784" t="str">
            <v>608 2RS MATERIAL</v>
          </cell>
        </row>
        <row r="2785">
          <cell r="C2785">
            <v>1422351.33</v>
          </cell>
          <cell r="D2785" t="str">
            <v>628 2RS MATERIAL</v>
          </cell>
        </row>
        <row r="2786">
          <cell r="C2786">
            <v>1422351.34</v>
          </cell>
          <cell r="D2786" t="str">
            <v>6010 2RS MATERIAL</v>
          </cell>
        </row>
        <row r="2787">
          <cell r="C2787">
            <v>1422351.35</v>
          </cell>
          <cell r="D2787" t="str">
            <v>6014 2RS MATERIAL</v>
          </cell>
        </row>
        <row r="2788">
          <cell r="C2788">
            <v>1422351.3600000001</v>
          </cell>
          <cell r="D2788" t="str">
            <v>6201 2RS MATERIAL</v>
          </cell>
        </row>
        <row r="2789">
          <cell r="C2789">
            <v>1422351.37</v>
          </cell>
          <cell r="D2789" t="str">
            <v>6202 2RS MATERIAL</v>
          </cell>
        </row>
        <row r="2790">
          <cell r="C2790">
            <v>1422351.38</v>
          </cell>
          <cell r="D2790" t="str">
            <v>6210 2RS MATERIAL</v>
          </cell>
        </row>
        <row r="2791">
          <cell r="C2791">
            <v>1422351.39</v>
          </cell>
          <cell r="D2791" t="str">
            <v>6302 2RS MATERIAL</v>
          </cell>
        </row>
        <row r="2792">
          <cell r="C2792">
            <v>1422351.4</v>
          </cell>
          <cell r="D2792" t="str">
            <v>6304 2RS MATERIAL</v>
          </cell>
        </row>
        <row r="2793">
          <cell r="C2793">
            <v>1422351.41</v>
          </cell>
          <cell r="D2793" t="str">
            <v>6310 2RS MATERIAL</v>
          </cell>
        </row>
        <row r="2794">
          <cell r="C2794">
            <v>1422351.42</v>
          </cell>
          <cell r="D2794" t="str">
            <v>6311 2RS MATERIAL</v>
          </cell>
        </row>
        <row r="2795">
          <cell r="C2795">
            <v>1422351.43</v>
          </cell>
          <cell r="D2795" t="str">
            <v>6305 2RS MATERIAL</v>
          </cell>
        </row>
        <row r="2796">
          <cell r="C2796">
            <v>1422351.44</v>
          </cell>
          <cell r="D2796" t="str">
            <v>6009 2RS MATERIAL</v>
          </cell>
        </row>
        <row r="2797">
          <cell r="C2797">
            <v>1422351.45</v>
          </cell>
          <cell r="D2797" t="str">
            <v>6301 2RS MATERIAL</v>
          </cell>
        </row>
        <row r="2798">
          <cell r="C2798">
            <v>1422352.01</v>
          </cell>
          <cell r="D2798" t="str">
            <v>6001 2RS MATERIAL</v>
          </cell>
        </row>
        <row r="2799">
          <cell r="C2799">
            <v>913068</v>
          </cell>
          <cell r="D2799" t="str">
            <v>BOX R.P.C 38X300</v>
          </cell>
        </row>
        <row r="2800">
          <cell r="C2800">
            <v>1422352.02</v>
          </cell>
          <cell r="D2800" t="str">
            <v>6002 2RS MATERIAL</v>
          </cell>
        </row>
        <row r="2801">
          <cell r="C2801">
            <v>913068</v>
          </cell>
          <cell r="D2801" t="str">
            <v>BOX R.P.C 38X300</v>
          </cell>
        </row>
        <row r="2802">
          <cell r="C2802">
            <v>1422352.03</v>
          </cell>
          <cell r="D2802" t="str">
            <v>6003 2RS MATERIAL.</v>
          </cell>
        </row>
        <row r="2803">
          <cell r="C2803">
            <v>913068</v>
          </cell>
          <cell r="D2803" t="str">
            <v>BOX R.P.C 38X300</v>
          </cell>
        </row>
        <row r="2804">
          <cell r="C2804">
            <v>1422353.02</v>
          </cell>
          <cell r="D2804" t="str">
            <v>6202 ZZ MATERIAL</v>
          </cell>
        </row>
        <row r="2805">
          <cell r="C2805">
            <v>1422353.03</v>
          </cell>
          <cell r="D2805" t="str">
            <v>6200 2RS MATERIAL</v>
          </cell>
        </row>
        <row r="2806">
          <cell r="C2806">
            <v>1422353.04</v>
          </cell>
          <cell r="D2806" t="str">
            <v>6204 ZZ MATERIAL</v>
          </cell>
        </row>
        <row r="2807">
          <cell r="C2807">
            <v>913069</v>
          </cell>
          <cell r="D2807" t="str">
            <v>BOX R.P.C 55X300</v>
          </cell>
        </row>
        <row r="2808">
          <cell r="C2808">
            <v>1422353.05</v>
          </cell>
          <cell r="D2808" t="str">
            <v>6205 ZZ MATERIAL</v>
          </cell>
        </row>
        <row r="2809">
          <cell r="C2809">
            <v>913069</v>
          </cell>
          <cell r="D2809" t="str">
            <v>BOX R.P.C 55X300</v>
          </cell>
        </row>
        <row r="2810">
          <cell r="C2810">
            <v>1422353.06</v>
          </cell>
          <cell r="D2810" t="str">
            <v>6206 ZZ MATERIAL</v>
          </cell>
        </row>
        <row r="2811">
          <cell r="C2811">
            <v>913031</v>
          </cell>
          <cell r="D2811" t="str">
            <v>BOX 67X16X67</v>
          </cell>
        </row>
        <row r="2812">
          <cell r="C2812">
            <v>1422353.07</v>
          </cell>
          <cell r="D2812" t="str">
            <v>6207 ZZ MATERIAL</v>
          </cell>
        </row>
        <row r="2813">
          <cell r="C2813">
            <v>913029</v>
          </cell>
          <cell r="D2813" t="str">
            <v>BOX 85X20X85</v>
          </cell>
        </row>
        <row r="2814">
          <cell r="C2814">
            <v>1422353.08</v>
          </cell>
          <cell r="D2814" t="str">
            <v>6208 ZZ MATERIAL</v>
          </cell>
        </row>
        <row r="2815">
          <cell r="C2815">
            <v>1422353.08</v>
          </cell>
          <cell r="D2815" t="str">
            <v>6208 ZZ MATERIAL</v>
          </cell>
        </row>
        <row r="2816">
          <cell r="C2816">
            <v>1422353.09</v>
          </cell>
          <cell r="D2816" t="str">
            <v>6209 ZZ MATERIAL</v>
          </cell>
        </row>
        <row r="2817">
          <cell r="C2817">
            <v>1422353.1</v>
          </cell>
          <cell r="D2817" t="str">
            <v>6203 2RS MATERIAL</v>
          </cell>
        </row>
        <row r="2818">
          <cell r="C2818">
            <v>1422353.11</v>
          </cell>
          <cell r="D2818" t="str">
            <v>6207 2RS MATERIAL</v>
          </cell>
        </row>
        <row r="2819">
          <cell r="C2819">
            <v>1422353.12</v>
          </cell>
          <cell r="D2819" t="str">
            <v>6212ZZ MATERIAL.</v>
          </cell>
        </row>
        <row r="2820">
          <cell r="C2820">
            <v>1422353.13</v>
          </cell>
          <cell r="D2820" t="str">
            <v>6204 2RS MATERIAL</v>
          </cell>
        </row>
        <row r="2821">
          <cell r="C2821">
            <v>1422353.14</v>
          </cell>
          <cell r="D2821" t="str">
            <v>6205 MATERIAL</v>
          </cell>
        </row>
        <row r="2822">
          <cell r="C2822">
            <v>1422353.15</v>
          </cell>
          <cell r="D2822" t="str">
            <v>6000 2RS MATERIAL</v>
          </cell>
        </row>
        <row r="2823">
          <cell r="C2823">
            <v>1422353.16</v>
          </cell>
          <cell r="D2823" t="str">
            <v>6005  MATERIAL</v>
          </cell>
        </row>
        <row r="2824">
          <cell r="C2824">
            <v>1422353.17</v>
          </cell>
          <cell r="D2824" t="str">
            <v>6212 2RS MATERIAL</v>
          </cell>
        </row>
        <row r="2825">
          <cell r="C2825">
            <v>1422353.18</v>
          </cell>
          <cell r="D2825" t="str">
            <v>6212 MATERIAL</v>
          </cell>
        </row>
        <row r="2826">
          <cell r="C2826">
            <v>1422353.12</v>
          </cell>
          <cell r="D2826" t="str">
            <v>6212ZZ MATERIAL.</v>
          </cell>
        </row>
        <row r="2827">
          <cell r="C2827">
            <v>1422353.22</v>
          </cell>
          <cell r="D2827" t="str">
            <v>6207 MATERIAL</v>
          </cell>
        </row>
        <row r="2828">
          <cell r="C2828">
            <v>1422353.23</v>
          </cell>
          <cell r="D2828" t="str">
            <v>6214 2RS MATEIRAL</v>
          </cell>
        </row>
        <row r="2829">
          <cell r="C2829">
            <v>1422353.24</v>
          </cell>
          <cell r="D2829" t="str">
            <v>6206 ZZ C3 MATERIAL</v>
          </cell>
        </row>
        <row r="2830">
          <cell r="C2830">
            <v>1422353.25</v>
          </cell>
          <cell r="D2830" t="str">
            <v>6208 ZZ C3 MATERIAL</v>
          </cell>
        </row>
        <row r="2831">
          <cell r="C2831">
            <v>1422353.26</v>
          </cell>
          <cell r="D2831" t="str">
            <v>6200 ZZ MATERIAL</v>
          </cell>
        </row>
        <row r="2832">
          <cell r="C2832">
            <v>1422353.27</v>
          </cell>
          <cell r="D2832" t="str">
            <v>6300 ZZ MATERIAL</v>
          </cell>
        </row>
        <row r="2833">
          <cell r="C2833">
            <v>1422353.28</v>
          </cell>
          <cell r="D2833" t="str">
            <v>6201 ZZ MATERIAL</v>
          </cell>
        </row>
        <row r="2834">
          <cell r="C2834">
            <v>1422353.29</v>
          </cell>
          <cell r="D2834" t="str">
            <v>6003 ZZ MATERIAL</v>
          </cell>
        </row>
        <row r="2835">
          <cell r="C2835">
            <v>1422353.3</v>
          </cell>
          <cell r="D2835" t="str">
            <v>6203 ZZ MATERIAL</v>
          </cell>
        </row>
        <row r="2836">
          <cell r="C2836">
            <v>1422353.31</v>
          </cell>
          <cell r="D2836" t="str">
            <v>6008 2RS MATERIAL</v>
          </cell>
        </row>
        <row r="2837">
          <cell r="C2837">
            <v>1422353.32</v>
          </cell>
          <cell r="D2837" t="str">
            <v>6303 ZZ MATERIAL</v>
          </cell>
        </row>
        <row r="2838">
          <cell r="C2838">
            <v>1422353.33</v>
          </cell>
          <cell r="D2838" t="str">
            <v>6303 2RS MATERIAL</v>
          </cell>
        </row>
        <row r="2839">
          <cell r="C2839">
            <v>1422353.34</v>
          </cell>
          <cell r="D2839" t="str">
            <v>6210 ZZ MATERIAL</v>
          </cell>
        </row>
        <row r="2840">
          <cell r="C2840">
            <v>1422353.35</v>
          </cell>
          <cell r="D2840" t="str">
            <v>6011 ZZ MATERIAL</v>
          </cell>
        </row>
        <row r="2841">
          <cell r="C2841">
            <v>1422353.36</v>
          </cell>
          <cell r="D2841" t="str">
            <v>6211 ZZ MATERIAL</v>
          </cell>
        </row>
        <row r="2842">
          <cell r="C2842">
            <v>1422353.37</v>
          </cell>
          <cell r="D2842" t="str">
            <v>6312 ZZ MATERIAL</v>
          </cell>
        </row>
        <row r="2843">
          <cell r="C2843">
            <v>1422354.05</v>
          </cell>
          <cell r="D2843" t="str">
            <v>6205 2RS MATERIAL</v>
          </cell>
        </row>
        <row r="2844">
          <cell r="C2844">
            <v>1422354.06</v>
          </cell>
          <cell r="D2844" t="str">
            <v>6206 2RS MATERIAL</v>
          </cell>
        </row>
        <row r="2845">
          <cell r="C2845">
            <v>913031</v>
          </cell>
          <cell r="D2845" t="str">
            <v>BOX 67X16X67</v>
          </cell>
        </row>
        <row r="2846">
          <cell r="C2846">
            <v>1422354.07</v>
          </cell>
          <cell r="D2846" t="str">
            <v>6206 MATEIRAL</v>
          </cell>
        </row>
        <row r="2847">
          <cell r="C2847">
            <v>1422355.02</v>
          </cell>
          <cell r="D2847" t="str">
            <v>6302 ZZ MATERIAL</v>
          </cell>
        </row>
        <row r="2848">
          <cell r="C2848">
            <v>1422355.04</v>
          </cell>
          <cell r="D2848" t="str">
            <v>6304 ZZ MATERIAL</v>
          </cell>
        </row>
        <row r="2849">
          <cell r="C2849">
            <v>913069</v>
          </cell>
          <cell r="D2849" t="str">
            <v>BOX R.P.C 55X300</v>
          </cell>
        </row>
        <row r="2850">
          <cell r="C2850">
            <v>1422355.05</v>
          </cell>
          <cell r="D2850" t="str">
            <v>6305 ZZ MATERIAL</v>
          </cell>
        </row>
        <row r="2851">
          <cell r="C2851">
            <v>913031</v>
          </cell>
          <cell r="D2851" t="str">
            <v>BOX 67X16X67</v>
          </cell>
        </row>
        <row r="2852">
          <cell r="C2852">
            <v>1422355.06</v>
          </cell>
          <cell r="D2852" t="str">
            <v>6306 ZZ MATERIAL.</v>
          </cell>
        </row>
        <row r="2853">
          <cell r="C2853">
            <v>913002</v>
          </cell>
          <cell r="D2853" t="str">
            <v>Box 75x30x75</v>
          </cell>
        </row>
        <row r="2854">
          <cell r="C2854">
            <v>1422355.07</v>
          </cell>
          <cell r="D2854" t="str">
            <v>6306 ZZ C3 MATERIAL</v>
          </cell>
        </row>
        <row r="2855">
          <cell r="C2855">
            <v>1422355.08</v>
          </cell>
          <cell r="D2855" t="str">
            <v>6305 ZZ C3 MATERIAL</v>
          </cell>
        </row>
        <row r="2856">
          <cell r="C2856">
            <v>100355.1</v>
          </cell>
          <cell r="D2856" t="str">
            <v>IR.6305 2RS (70MM DIA)</v>
          </cell>
        </row>
        <row r="2857">
          <cell r="C2857">
            <v>200355.1</v>
          </cell>
          <cell r="D2857" t="str">
            <v>OR.6305 2RS (70MM DIA)</v>
          </cell>
        </row>
        <row r="2858">
          <cell r="C2858">
            <v>300355.09999999998</v>
          </cell>
          <cell r="D2858" t="str">
            <v>NCG.6305 2RS (70MM DIA)</v>
          </cell>
        </row>
        <row r="2859">
          <cell r="C2859">
            <v>500355.1</v>
          </cell>
          <cell r="D2859" t="str">
            <v>BALL 29/64"(IS:2898-1976)</v>
          </cell>
        </row>
        <row r="2860">
          <cell r="C2860">
            <v>5221247</v>
          </cell>
          <cell r="D2860" t="str">
            <v>O G SHELL GADUS S2 V100 3</v>
          </cell>
        </row>
        <row r="2861">
          <cell r="C2861">
            <v>700355.1</v>
          </cell>
          <cell r="D2861" t="str">
            <v>SEAL.6305 2RS (70MM DIA)</v>
          </cell>
        </row>
        <row r="2862">
          <cell r="C2862">
            <v>1422355.11</v>
          </cell>
          <cell r="D2862" t="str">
            <v>6311 ZZ MATERIAL</v>
          </cell>
        </row>
        <row r="2863">
          <cell r="C2863">
            <v>100355.12</v>
          </cell>
          <cell r="D2863" t="str">
            <v>IR.6305-2RS N</v>
          </cell>
        </row>
        <row r="2864">
          <cell r="C2864">
            <v>200355.12</v>
          </cell>
          <cell r="D2864" t="str">
            <v>OR.6305-2RS N</v>
          </cell>
        </row>
        <row r="2865">
          <cell r="C2865">
            <v>300355.12</v>
          </cell>
          <cell r="D2865" t="str">
            <v>NCG.6305-2RS N</v>
          </cell>
        </row>
        <row r="2866">
          <cell r="C2866">
            <v>500355.1</v>
          </cell>
          <cell r="D2866" t="str">
            <v>BALL 29/64"(IS:2898-1976)</v>
          </cell>
        </row>
        <row r="2867">
          <cell r="C2867">
            <v>5221247.03</v>
          </cell>
          <cell r="D2867" t="str">
            <v>O G Super N</v>
          </cell>
        </row>
        <row r="2868">
          <cell r="C2868">
            <v>700355.12</v>
          </cell>
          <cell r="D2868" t="str">
            <v>SEALHNBR.6305-2RS N</v>
          </cell>
        </row>
        <row r="2869">
          <cell r="C2869">
            <v>1422355.13</v>
          </cell>
          <cell r="D2869" t="str">
            <v>6311 MATERIAL</v>
          </cell>
        </row>
        <row r="2870">
          <cell r="C2870">
            <v>100355.15</v>
          </cell>
          <cell r="D2870" t="str">
            <v>IR.6305 2RS (70MM DIA)SPL</v>
          </cell>
        </row>
        <row r="2871">
          <cell r="C2871">
            <v>200355.1</v>
          </cell>
          <cell r="D2871" t="str">
            <v>OR.6305 2RS (70MM DIA)</v>
          </cell>
        </row>
        <row r="2872">
          <cell r="C2872">
            <v>300355.09999999998</v>
          </cell>
          <cell r="D2872" t="str">
            <v>NCG.6305 2RS (70MM DIA)</v>
          </cell>
        </row>
        <row r="2873">
          <cell r="C2873">
            <v>500355.1</v>
          </cell>
          <cell r="D2873" t="str">
            <v>BALL 29/64"(IS:2898-1976)</v>
          </cell>
        </row>
        <row r="2874">
          <cell r="C2874">
            <v>5221247</v>
          </cell>
          <cell r="D2874" t="str">
            <v>O G SHELL GADUS S2 V100 3</v>
          </cell>
        </row>
        <row r="2875">
          <cell r="C2875">
            <v>612689</v>
          </cell>
          <cell r="D2875" t="str">
            <v>G.SCREW M5X0.8X5MM</v>
          </cell>
        </row>
        <row r="2876">
          <cell r="C2876">
            <v>700355.1</v>
          </cell>
          <cell r="D2876" t="str">
            <v>SEAL.6305 2RS (70MM DIA)</v>
          </cell>
        </row>
        <row r="2877">
          <cell r="C2877">
            <v>1422355.04</v>
          </cell>
          <cell r="D2877" t="str">
            <v>6304 ZZ MATERIAL</v>
          </cell>
        </row>
        <row r="2878">
          <cell r="C2878">
            <v>1422355.06</v>
          </cell>
          <cell r="D2878" t="str">
            <v>6306 ZZ MATERIAL.</v>
          </cell>
        </row>
        <row r="2879">
          <cell r="C2879">
            <v>1422355.04</v>
          </cell>
          <cell r="D2879" t="str">
            <v>6304 ZZ MATERIAL</v>
          </cell>
        </row>
        <row r="2880">
          <cell r="C2880">
            <v>1422356.06</v>
          </cell>
          <cell r="D2880" t="str">
            <v>6306 2RS MATEIRAL.</v>
          </cell>
        </row>
        <row r="2881">
          <cell r="C2881">
            <v>1422356.08</v>
          </cell>
          <cell r="D2881" t="str">
            <v>6308 2RS MATERIAL</v>
          </cell>
        </row>
        <row r="2882">
          <cell r="C2882">
            <v>1422356.09</v>
          </cell>
          <cell r="D2882" t="str">
            <v>6308 ZZ MATERIAL</v>
          </cell>
        </row>
        <row r="2883">
          <cell r="C2883">
            <v>1422356.1</v>
          </cell>
          <cell r="D2883" t="str">
            <v>6308 ZZ C3 MATERIAL</v>
          </cell>
        </row>
        <row r="2884">
          <cell r="C2884">
            <v>104357</v>
          </cell>
          <cell r="D2884" t="str">
            <v>IR 6211 2RS</v>
          </cell>
        </row>
        <row r="2885">
          <cell r="C2885">
            <v>208357</v>
          </cell>
          <cell r="D2885" t="str">
            <v>OR 6211 2RS</v>
          </cell>
        </row>
        <row r="2886">
          <cell r="C2886">
            <v>309357</v>
          </cell>
          <cell r="D2886" t="str">
            <v>CAGE 6211 2RS</v>
          </cell>
        </row>
        <row r="2887">
          <cell r="C2887">
            <v>511357</v>
          </cell>
          <cell r="D2887" t="str">
            <v>BALL 9/16" (IS:2898-1976)</v>
          </cell>
        </row>
        <row r="2888">
          <cell r="C2888">
            <v>5221247</v>
          </cell>
          <cell r="D2888" t="str">
            <v>O G SHELL GADUS S2 V100 3</v>
          </cell>
        </row>
        <row r="2889">
          <cell r="C2889">
            <v>717357</v>
          </cell>
          <cell r="D2889" t="str">
            <v>SEAL 6211 2RS</v>
          </cell>
        </row>
        <row r="2890">
          <cell r="C2890">
            <v>717357.01</v>
          </cell>
          <cell r="D2890" t="str">
            <v>RUBBER HOUSING OF 62112RS</v>
          </cell>
        </row>
        <row r="2891">
          <cell r="C2891">
            <v>104358</v>
          </cell>
          <cell r="D2891" t="str">
            <v>IR 6211 2RS SPL</v>
          </cell>
        </row>
        <row r="2892">
          <cell r="C2892">
            <v>208358</v>
          </cell>
          <cell r="D2892" t="str">
            <v>OR 6211 2RS SPL</v>
          </cell>
        </row>
        <row r="2893">
          <cell r="C2893">
            <v>309357</v>
          </cell>
          <cell r="D2893" t="str">
            <v>CAGE 6211 2RS</v>
          </cell>
        </row>
        <row r="2894">
          <cell r="C2894">
            <v>511357</v>
          </cell>
          <cell r="D2894" t="str">
            <v>BALL 9/16" (IS:2898-1976)</v>
          </cell>
        </row>
        <row r="2895">
          <cell r="C2895">
            <v>5221247</v>
          </cell>
          <cell r="D2895" t="str">
            <v>O G SHELL GADUS S2 V100 3</v>
          </cell>
        </row>
        <row r="2896">
          <cell r="C2896">
            <v>717358</v>
          </cell>
          <cell r="D2896" t="str">
            <v>SEAL 6211 SPL</v>
          </cell>
        </row>
        <row r="2897">
          <cell r="C2897">
            <v>1422359.06</v>
          </cell>
          <cell r="D2897" t="str">
            <v>6310 ZZ MATERIAL</v>
          </cell>
        </row>
        <row r="2898">
          <cell r="C2898">
            <v>1422359.06</v>
          </cell>
          <cell r="D2898" t="str">
            <v>6310 ZZ MATERIAL</v>
          </cell>
        </row>
        <row r="2899">
          <cell r="C2899">
            <v>1422359.07</v>
          </cell>
          <cell r="D2899" t="str">
            <v>6310 MATEIRAL</v>
          </cell>
        </row>
        <row r="2900">
          <cell r="C2900">
            <v>1422359.08</v>
          </cell>
          <cell r="D2900" t="str">
            <v>62304 2RS MATERIAL</v>
          </cell>
        </row>
        <row r="2901">
          <cell r="C2901">
            <v>1422359.09</v>
          </cell>
          <cell r="D2901" t="str">
            <v>62201 2RS MATERIAL</v>
          </cell>
        </row>
        <row r="2902">
          <cell r="C2902">
            <v>1422359.1</v>
          </cell>
          <cell r="D2902" t="str">
            <v>6005 2RS MATERIAL</v>
          </cell>
        </row>
        <row r="2903">
          <cell r="C2903">
            <v>1422359.11</v>
          </cell>
          <cell r="D2903" t="str">
            <v>6006 Z MATERIAL</v>
          </cell>
        </row>
        <row r="2904">
          <cell r="C2904">
            <v>1422359.12</v>
          </cell>
          <cell r="D2904" t="str">
            <v>6012 2RS MATERIAL</v>
          </cell>
        </row>
        <row r="2905">
          <cell r="C2905">
            <v>208360</v>
          </cell>
          <cell r="D2905" t="str">
            <v>BE.OR 202420</v>
          </cell>
        </row>
        <row r="2906">
          <cell r="C2906">
            <v>208361</v>
          </cell>
          <cell r="D2906" t="str">
            <v>BE.OR 252920</v>
          </cell>
        </row>
        <row r="2907">
          <cell r="C2907">
            <v>208362</v>
          </cell>
          <cell r="D2907" t="str">
            <v>BE.OR 283220</v>
          </cell>
        </row>
        <row r="2908">
          <cell r="C2908">
            <v>208363</v>
          </cell>
          <cell r="D2908" t="str">
            <v>BE.OR 354020</v>
          </cell>
        </row>
        <row r="2909">
          <cell r="C2909">
            <v>208364</v>
          </cell>
          <cell r="D2909" t="str">
            <v>BE.OR 252940</v>
          </cell>
        </row>
        <row r="2910">
          <cell r="C2910">
            <v>208364.02</v>
          </cell>
          <cell r="D2910" t="str">
            <v>BE.OR 252940 SP.</v>
          </cell>
        </row>
        <row r="2911">
          <cell r="C2911">
            <v>913010</v>
          </cell>
          <cell r="D2911" t="str">
            <v>Box 150x40x50</v>
          </cell>
        </row>
        <row r="2912">
          <cell r="C2912">
            <v>208365</v>
          </cell>
          <cell r="D2912" t="str">
            <v>OR.OR 252926</v>
          </cell>
        </row>
        <row r="2913">
          <cell r="C2913">
            <v>208365</v>
          </cell>
          <cell r="D2913" t="str">
            <v>OR.OR 252926</v>
          </cell>
        </row>
        <row r="2914">
          <cell r="C2914">
            <v>208366</v>
          </cell>
          <cell r="D2914" t="str">
            <v>HA.OR 4530 SPL.</v>
          </cell>
        </row>
        <row r="2915">
          <cell r="C2915">
            <v>309366</v>
          </cell>
          <cell r="D2915" t="str">
            <v>HA.MCG 4530 SPL.</v>
          </cell>
        </row>
        <row r="2916">
          <cell r="C2916">
            <v>511366</v>
          </cell>
          <cell r="D2916" t="str">
            <v>RO 6X28 BPM</v>
          </cell>
        </row>
        <row r="2917">
          <cell r="C2917">
            <v>208367</v>
          </cell>
          <cell r="D2917" t="str">
            <v>HB.OR 4933 SPL.</v>
          </cell>
        </row>
        <row r="2918">
          <cell r="C2918">
            <v>309367</v>
          </cell>
          <cell r="D2918" t="str">
            <v>HB.MCG 4933 SPL.</v>
          </cell>
        </row>
        <row r="2919">
          <cell r="C2919">
            <v>511367</v>
          </cell>
          <cell r="D2919" t="str">
            <v>RO 6.5X31.4 BPM</v>
          </cell>
        </row>
        <row r="2920">
          <cell r="C2920">
            <v>208368</v>
          </cell>
          <cell r="D2920" t="str">
            <v>BE.OR 253240 SP.</v>
          </cell>
        </row>
        <row r="2921">
          <cell r="C2921">
            <v>104370</v>
          </cell>
          <cell r="D2921" t="str">
            <v>IR.IR 172216.4</v>
          </cell>
        </row>
        <row r="2922">
          <cell r="C2922">
            <v>104371</v>
          </cell>
          <cell r="D2922" t="str">
            <v>IR.IR 283520.4</v>
          </cell>
        </row>
        <row r="2923">
          <cell r="C2923">
            <v>104371.01</v>
          </cell>
          <cell r="D2923" t="str">
            <v>IR.IR 283520.4 READIOUS F</v>
          </cell>
        </row>
        <row r="2924">
          <cell r="C2924">
            <v>104371.4</v>
          </cell>
          <cell r="D2924" t="str">
            <v>IR.IR 283520.4</v>
          </cell>
        </row>
        <row r="2925">
          <cell r="C2925">
            <v>104372</v>
          </cell>
          <cell r="D2925" t="str">
            <v>IR.IR 303530.4</v>
          </cell>
        </row>
        <row r="2926">
          <cell r="C2926">
            <v>104373</v>
          </cell>
          <cell r="D2926" t="str">
            <v>IR.IR 354030.4</v>
          </cell>
        </row>
        <row r="2927">
          <cell r="C2927">
            <v>4374.01</v>
          </cell>
          <cell r="D2927" t="str">
            <v/>
          </cell>
        </row>
        <row r="2928">
          <cell r="C2928">
            <v>8374.01</v>
          </cell>
          <cell r="D2928" t="str">
            <v/>
          </cell>
        </row>
        <row r="2929">
          <cell r="C2929">
            <v>9374.01</v>
          </cell>
          <cell r="D2929" t="str">
            <v/>
          </cell>
        </row>
        <row r="2930">
          <cell r="C2930">
            <v>8374.01</v>
          </cell>
          <cell r="D2930" t="str">
            <v/>
          </cell>
        </row>
        <row r="2931">
          <cell r="C2931">
            <v>9374.01</v>
          </cell>
          <cell r="D2931" t="str">
            <v/>
          </cell>
        </row>
        <row r="2932">
          <cell r="C2932">
            <v>104375.01</v>
          </cell>
          <cell r="D2932" t="str">
            <v>NKIS.IR 20</v>
          </cell>
        </row>
        <row r="2933">
          <cell r="C2933">
            <v>208375.01</v>
          </cell>
          <cell r="D2933" t="str">
            <v>NKIS.OR 20</v>
          </cell>
        </row>
        <row r="2934">
          <cell r="C2934">
            <v>309375.01</v>
          </cell>
          <cell r="D2934" t="str">
            <v>NKIS.MCG 20</v>
          </cell>
        </row>
        <row r="2935">
          <cell r="C2935">
            <v>511375.01</v>
          </cell>
          <cell r="D2935" t="str">
            <v>RO 4.5X15.8</v>
          </cell>
        </row>
        <row r="2936">
          <cell r="C2936">
            <v>208375.01</v>
          </cell>
          <cell r="D2936" t="str">
            <v>NKIS.OR 20</v>
          </cell>
        </row>
        <row r="2937">
          <cell r="C2937">
            <v>309375.01</v>
          </cell>
          <cell r="D2937" t="str">
            <v>NKIS.MCG 20</v>
          </cell>
        </row>
        <row r="2938">
          <cell r="C2938">
            <v>511375.01</v>
          </cell>
          <cell r="D2938" t="str">
            <v>RO 4.5X15.8</v>
          </cell>
        </row>
        <row r="2939">
          <cell r="C2939">
            <v>913006</v>
          </cell>
          <cell r="D2939" t="str">
            <v>Box 50x35x50</v>
          </cell>
        </row>
        <row r="2940">
          <cell r="C2940">
            <v>104375.01</v>
          </cell>
          <cell r="D2940" t="str">
            <v>NKIS.IR 20</v>
          </cell>
        </row>
        <row r="2941">
          <cell r="C2941">
            <v>104376.01</v>
          </cell>
          <cell r="D2941" t="str">
            <v>NKIS.IR 25</v>
          </cell>
        </row>
        <row r="2942">
          <cell r="C2942">
            <v>208376.01</v>
          </cell>
          <cell r="D2942" t="str">
            <v>NKIS.OR 25</v>
          </cell>
        </row>
        <row r="2943">
          <cell r="C2943">
            <v>309376</v>
          </cell>
          <cell r="D2943" t="str">
            <v>NKIS.MCG 25</v>
          </cell>
        </row>
        <row r="2944">
          <cell r="C2944">
            <v>511308.01</v>
          </cell>
          <cell r="D2944" t="str">
            <v>RO 5X16.8</v>
          </cell>
        </row>
        <row r="2945">
          <cell r="C2945">
            <v>208376.01</v>
          </cell>
          <cell r="D2945" t="str">
            <v>NKIS.OR 25</v>
          </cell>
        </row>
        <row r="2946">
          <cell r="C2946">
            <v>309376</v>
          </cell>
          <cell r="D2946" t="str">
            <v>NKIS.MCG 25</v>
          </cell>
        </row>
        <row r="2947">
          <cell r="C2947">
            <v>511308.01</v>
          </cell>
          <cell r="D2947" t="str">
            <v>RO 5X16.8</v>
          </cell>
        </row>
        <row r="2948">
          <cell r="C2948">
            <v>913006</v>
          </cell>
          <cell r="D2948" t="str">
            <v>Box 50x35x50</v>
          </cell>
        </row>
        <row r="2949">
          <cell r="C2949">
            <v>104376.01</v>
          </cell>
          <cell r="D2949" t="str">
            <v>NKIS.IR 25</v>
          </cell>
        </row>
        <row r="2950">
          <cell r="C2950">
            <v>104377.01</v>
          </cell>
          <cell r="D2950" t="str">
            <v>NKIS.IR 30 (IR 303722)</v>
          </cell>
        </row>
        <row r="2951">
          <cell r="C2951">
            <v>208377.01</v>
          </cell>
          <cell r="D2951" t="str">
            <v>NKIS.OR 30 (NKS 37)</v>
          </cell>
        </row>
        <row r="2952">
          <cell r="C2952">
            <v>309377.01</v>
          </cell>
          <cell r="D2952" t="str">
            <v>NKIS.MCG 30 (NKS 37)</v>
          </cell>
        </row>
        <row r="2953">
          <cell r="C2953">
            <v>208377.01</v>
          </cell>
          <cell r="D2953" t="str">
            <v>NKIS.OR 30 (NKS 37)</v>
          </cell>
        </row>
        <row r="2954">
          <cell r="C2954">
            <v>309377.01</v>
          </cell>
          <cell r="D2954" t="str">
            <v>NKIS.MCG 30 (NKS 37)</v>
          </cell>
        </row>
        <row r="2955">
          <cell r="C2955">
            <v>913006</v>
          </cell>
          <cell r="D2955" t="str">
            <v>Box 50x35x50</v>
          </cell>
        </row>
        <row r="2956">
          <cell r="C2956">
            <v>104377.01</v>
          </cell>
          <cell r="D2956" t="str">
            <v>NKIS.IR 30 (IR 303722)</v>
          </cell>
        </row>
        <row r="2957">
          <cell r="C2957">
            <v>208378.01</v>
          </cell>
          <cell r="D2957" t="str">
            <v>NKS.OR 35</v>
          </cell>
        </row>
        <row r="2958">
          <cell r="C2958">
            <v>309377</v>
          </cell>
          <cell r="D2958" t="str">
            <v>NKS.MCG 35</v>
          </cell>
        </row>
        <row r="2959">
          <cell r="C2959">
            <v>511308.01</v>
          </cell>
          <cell r="D2959" t="str">
            <v>RO 5X16.8</v>
          </cell>
        </row>
        <row r="2960">
          <cell r="C2960">
            <v>913006</v>
          </cell>
          <cell r="D2960" t="str">
            <v>Box 50x35x50</v>
          </cell>
        </row>
        <row r="2961">
          <cell r="C2961">
            <v>104379.01</v>
          </cell>
          <cell r="D2961" t="str">
            <v>NKIS.IR 45 (IR 455522)</v>
          </cell>
        </row>
        <row r="2962">
          <cell r="C2962">
            <v>208379.01</v>
          </cell>
          <cell r="D2962" t="str">
            <v>NKIS.OR 45 (NKS 55)</v>
          </cell>
        </row>
        <row r="2963">
          <cell r="C2963">
            <v>309379.01</v>
          </cell>
          <cell r="D2963" t="str">
            <v>NKIS.MCG 45 (NKS 55)</v>
          </cell>
        </row>
        <row r="2964">
          <cell r="C2964">
            <v>511308.01</v>
          </cell>
          <cell r="D2964" t="str">
            <v>RO 5X16.8</v>
          </cell>
        </row>
        <row r="2965">
          <cell r="C2965">
            <v>913002</v>
          </cell>
          <cell r="D2965" t="str">
            <v>Box 75x30x75</v>
          </cell>
        </row>
        <row r="2966">
          <cell r="C2966">
            <v>208379.01</v>
          </cell>
          <cell r="D2966" t="str">
            <v>NKIS.OR 45 (NKS 55)</v>
          </cell>
        </row>
        <row r="2967">
          <cell r="C2967">
            <v>309379.01</v>
          </cell>
          <cell r="D2967" t="str">
            <v>NKIS.MCG 45 (NKS 55)</v>
          </cell>
        </row>
        <row r="2968">
          <cell r="C2968">
            <v>511308.01</v>
          </cell>
          <cell r="D2968" t="str">
            <v>RO 5X16.8</v>
          </cell>
        </row>
        <row r="2969">
          <cell r="C2969">
            <v>913002</v>
          </cell>
          <cell r="D2969" t="str">
            <v>Box 75x30x75</v>
          </cell>
        </row>
        <row r="2970">
          <cell r="C2970">
            <v>104379.01</v>
          </cell>
          <cell r="D2970" t="str">
            <v>NKIS.IR 45 (IR 455522)</v>
          </cell>
        </row>
        <row r="2971">
          <cell r="C2971">
            <v>104380.01</v>
          </cell>
          <cell r="D2971" t="str">
            <v>NKIS.IR 40</v>
          </cell>
        </row>
        <row r="2972">
          <cell r="C2972">
            <v>208380.01</v>
          </cell>
          <cell r="D2972" t="str">
            <v>NKS.OR 50(NKIS 40)</v>
          </cell>
        </row>
        <row r="2973">
          <cell r="C2973">
            <v>309380.01</v>
          </cell>
          <cell r="D2973" t="str">
            <v>NKIS.MCG 40 (NKS 50)</v>
          </cell>
        </row>
        <row r="2974">
          <cell r="C2974">
            <v>511308.01</v>
          </cell>
          <cell r="D2974" t="str">
            <v>RO 5X16.8</v>
          </cell>
        </row>
        <row r="2975">
          <cell r="C2975">
            <v>913002</v>
          </cell>
          <cell r="D2975" t="str">
            <v>Box 75x30x75</v>
          </cell>
        </row>
        <row r="2976">
          <cell r="C2976">
            <v>208380.01</v>
          </cell>
          <cell r="D2976" t="str">
            <v>NKS.OR 50(NKIS 40)</v>
          </cell>
        </row>
        <row r="2977">
          <cell r="C2977">
            <v>309380.01</v>
          </cell>
          <cell r="D2977" t="str">
            <v>NKIS.MCG 40 (NKS 50)</v>
          </cell>
        </row>
        <row r="2978">
          <cell r="C2978">
            <v>511308.01</v>
          </cell>
          <cell r="D2978" t="str">
            <v>RO 5X16.8</v>
          </cell>
        </row>
        <row r="2979">
          <cell r="C2979">
            <v>104380.01</v>
          </cell>
          <cell r="D2979" t="str">
            <v>NKIS.IR 40</v>
          </cell>
        </row>
        <row r="2980">
          <cell r="C2980">
            <v>104381.01</v>
          </cell>
          <cell r="D2980" t="str">
            <v>NKIS.IR 35 (IR 354322)</v>
          </cell>
        </row>
        <row r="2981">
          <cell r="C2981">
            <v>208381.01</v>
          </cell>
          <cell r="D2981" t="str">
            <v>NKIS.OR 35 (NKS 43)</v>
          </cell>
        </row>
        <row r="2982">
          <cell r="C2982">
            <v>309381.01</v>
          </cell>
          <cell r="D2982" t="str">
            <v>NKIS.MCG 35 (NKS 43)</v>
          </cell>
        </row>
        <row r="2983">
          <cell r="C2983">
            <v>208381.01</v>
          </cell>
          <cell r="D2983" t="str">
            <v>NKIS.OR 35 (NKS 43)</v>
          </cell>
        </row>
        <row r="2984">
          <cell r="C2984">
            <v>309381.01</v>
          </cell>
          <cell r="D2984" t="str">
            <v>NKIS.MCG 35 (NKS 43)</v>
          </cell>
        </row>
        <row r="2985">
          <cell r="C2985">
            <v>104381.01</v>
          </cell>
          <cell r="D2985" t="str">
            <v>NKIS.IR 35 (IR 354322)</v>
          </cell>
        </row>
        <row r="2986">
          <cell r="C2986">
            <v>104382.01</v>
          </cell>
          <cell r="D2986" t="str">
            <v>NKIS.IR 50 (IR 506028)</v>
          </cell>
        </row>
        <row r="2987">
          <cell r="C2987">
            <v>208382.01</v>
          </cell>
          <cell r="D2987" t="str">
            <v>NKIS.OR 50 (NKS 60)</v>
          </cell>
        </row>
        <row r="2988">
          <cell r="C2988">
            <v>309382.01</v>
          </cell>
          <cell r="D2988" t="str">
            <v>NKIS.MCG 50 (NKS 60)</v>
          </cell>
        </row>
        <row r="2989">
          <cell r="C2989">
            <v>511338.01</v>
          </cell>
          <cell r="D2989" t="str">
            <v>RO 6.5X19.8</v>
          </cell>
        </row>
        <row r="2990">
          <cell r="C2990">
            <v>208382.01</v>
          </cell>
          <cell r="D2990" t="str">
            <v>NKIS.OR 50 (NKS 60)</v>
          </cell>
        </row>
        <row r="2991">
          <cell r="C2991">
            <v>309382.01</v>
          </cell>
          <cell r="D2991" t="str">
            <v>NKIS.MCG 50 (NKS 60)</v>
          </cell>
        </row>
        <row r="2992">
          <cell r="C2992">
            <v>511338.01</v>
          </cell>
          <cell r="D2992" t="str">
            <v>RO 6.5X19.8</v>
          </cell>
        </row>
        <row r="2993">
          <cell r="C2993">
            <v>104382.01</v>
          </cell>
          <cell r="D2993" t="str">
            <v>NKIS.IR 50 (IR 506028)</v>
          </cell>
        </row>
        <row r="2994">
          <cell r="C2994">
            <v>208383.01</v>
          </cell>
          <cell r="D2994" t="str">
            <v>NKS.OR 20</v>
          </cell>
        </row>
        <row r="2995">
          <cell r="C2995">
            <v>309383.01</v>
          </cell>
          <cell r="D2995" t="str">
            <v>NKS.MCG 20</v>
          </cell>
        </row>
        <row r="2996">
          <cell r="C2996">
            <v>511375.01</v>
          </cell>
          <cell r="D2996" t="str">
            <v>RO 4.5X15.8</v>
          </cell>
        </row>
        <row r="2997">
          <cell r="C2997">
            <v>208383.01</v>
          </cell>
          <cell r="D2997" t="str">
            <v>NKS.OR 20</v>
          </cell>
        </row>
        <row r="2998">
          <cell r="C2998">
            <v>309383.01</v>
          </cell>
          <cell r="D2998" t="str">
            <v>NKS.MCG 20</v>
          </cell>
        </row>
        <row r="2999">
          <cell r="C2999">
            <v>511375.01</v>
          </cell>
          <cell r="D2999" t="str">
            <v>RO 4.5X15.8</v>
          </cell>
        </row>
        <row r="3000">
          <cell r="C3000">
            <v>208384.01</v>
          </cell>
          <cell r="D3000" t="str">
            <v>NKS.OR 22</v>
          </cell>
        </row>
        <row r="3001">
          <cell r="C3001">
            <v>9384.01</v>
          </cell>
          <cell r="D3001" t="str">
            <v/>
          </cell>
        </row>
        <row r="3002">
          <cell r="C3002">
            <v>208385.01</v>
          </cell>
          <cell r="D3002" t="str">
            <v>NKS.OR 25</v>
          </cell>
        </row>
        <row r="3003">
          <cell r="C3003">
            <v>309385.01</v>
          </cell>
          <cell r="D3003" t="str">
            <v>NKS.MCG 25</v>
          </cell>
        </row>
        <row r="3004">
          <cell r="C3004">
            <v>208386.01</v>
          </cell>
          <cell r="D3004" t="str">
            <v>NKS.OR 30</v>
          </cell>
        </row>
        <row r="3005">
          <cell r="C3005">
            <v>309386.01</v>
          </cell>
          <cell r="D3005" t="str">
            <v>NKS.MCG 30</v>
          </cell>
        </row>
        <row r="3006">
          <cell r="C3006">
            <v>511375.01</v>
          </cell>
          <cell r="D3006" t="str">
            <v>RO 4.5X15.8</v>
          </cell>
        </row>
        <row r="3007">
          <cell r="C3007">
            <v>208387.01</v>
          </cell>
          <cell r="D3007" t="str">
            <v>NKS.OR 40</v>
          </cell>
        </row>
        <row r="3008">
          <cell r="C3008">
            <v>309387.01</v>
          </cell>
          <cell r="D3008" t="str">
            <v>NKS.MCG 40</v>
          </cell>
        </row>
        <row r="3009">
          <cell r="C3009">
            <v>511308.01</v>
          </cell>
          <cell r="D3009" t="str">
            <v>RO 5X16.8</v>
          </cell>
        </row>
        <row r="3010">
          <cell r="C3010">
            <v>208388.01</v>
          </cell>
          <cell r="D3010" t="str">
            <v>NKS.OR 45</v>
          </cell>
        </row>
        <row r="3011">
          <cell r="C3011">
            <v>309388.01</v>
          </cell>
          <cell r="D3011" t="str">
            <v>NKS.MCG 45</v>
          </cell>
        </row>
        <row r="3012">
          <cell r="C3012">
            <v>309389</v>
          </cell>
          <cell r="D3012" t="str">
            <v>NCG34.92X52.37X0.8materal</v>
          </cell>
        </row>
        <row r="3013">
          <cell r="C3013">
            <v>511390</v>
          </cell>
          <cell r="D3013" t="str">
            <v>RO 1.984X6.1 BP</v>
          </cell>
        </row>
        <row r="3014">
          <cell r="C3014">
            <v>1422389</v>
          </cell>
          <cell r="D3014" t="str">
            <v>WASHER 34.975X52.1200.810</v>
          </cell>
        </row>
        <row r="3015">
          <cell r="C3015">
            <v>309390</v>
          </cell>
          <cell r="D3015" t="str">
            <v>NCG 31.75X49.2X0.8materal</v>
          </cell>
        </row>
        <row r="3016">
          <cell r="C3016">
            <v>511390</v>
          </cell>
          <cell r="D3016" t="str">
            <v>RO 1.984X6.1 BP</v>
          </cell>
        </row>
        <row r="3017">
          <cell r="C3017">
            <v>1422390</v>
          </cell>
          <cell r="D3017" t="str">
            <v>WASHER 31.750X49.2X0.8</v>
          </cell>
        </row>
        <row r="3018">
          <cell r="C3018">
            <v>300390.09999999998</v>
          </cell>
          <cell r="D3018" t="str">
            <v>NTA.CAGE 2840</v>
          </cell>
        </row>
        <row r="3019">
          <cell r="C3019">
            <v>500390.1</v>
          </cell>
          <cell r="D3019" t="str">
            <v>RO 1.984X5.8 BP</v>
          </cell>
        </row>
        <row r="3020">
          <cell r="C3020">
            <v>200390.1</v>
          </cell>
          <cell r="D3020" t="str">
            <v>TRD.W 2840</v>
          </cell>
        </row>
        <row r="3021">
          <cell r="C3021">
            <v>309391</v>
          </cell>
          <cell r="D3021" t="str">
            <v>NCG 35X52X2</v>
          </cell>
        </row>
        <row r="3022">
          <cell r="C3022">
            <v>511391</v>
          </cell>
          <cell r="D3022" t="str">
            <v>RO 2X4.8 SP</v>
          </cell>
        </row>
        <row r="3023">
          <cell r="C3023">
            <v>309391</v>
          </cell>
          <cell r="D3023" t="str">
            <v>NCG 35X52X2</v>
          </cell>
        </row>
        <row r="3024">
          <cell r="C3024">
            <v>511391</v>
          </cell>
          <cell r="D3024" t="str">
            <v>RO 2X4.8 SP</v>
          </cell>
        </row>
        <row r="3025">
          <cell r="C3025">
            <v>300391.21999999997</v>
          </cell>
          <cell r="D3025" t="str">
            <v>MCG.MCG 35X52X2</v>
          </cell>
        </row>
        <row r="3026">
          <cell r="C3026">
            <v>500391.22</v>
          </cell>
          <cell r="D3026" t="str">
            <v>RO 2X6.8 BP</v>
          </cell>
        </row>
        <row r="3027">
          <cell r="C3027">
            <v>309392</v>
          </cell>
          <cell r="D3027" t="str">
            <v>NCG 30X47X2</v>
          </cell>
        </row>
        <row r="3028">
          <cell r="C3028">
            <v>511391</v>
          </cell>
          <cell r="D3028" t="str">
            <v>RO 2X4.8 SP</v>
          </cell>
        </row>
        <row r="3029">
          <cell r="C3029">
            <v>309393</v>
          </cell>
          <cell r="D3029" t="str">
            <v>NCG 25X42X2</v>
          </cell>
        </row>
        <row r="3030">
          <cell r="C3030">
            <v>511391</v>
          </cell>
          <cell r="D3030" t="str">
            <v>RO 2X4.8 SP</v>
          </cell>
        </row>
        <row r="3031">
          <cell r="C3031">
            <v>309393</v>
          </cell>
          <cell r="D3031" t="str">
            <v>NCG 25X42X2</v>
          </cell>
        </row>
        <row r="3032">
          <cell r="C3032">
            <v>511391</v>
          </cell>
          <cell r="D3032" t="str">
            <v>RO 2X4.8 SP</v>
          </cell>
        </row>
        <row r="3033">
          <cell r="C3033">
            <v>309394</v>
          </cell>
          <cell r="D3033" t="str">
            <v>NCG 22.5X35.8X2</v>
          </cell>
        </row>
        <row r="3034">
          <cell r="C3034">
            <v>511391</v>
          </cell>
          <cell r="D3034" t="str">
            <v>RO 2X4.8 SP</v>
          </cell>
        </row>
        <row r="3035">
          <cell r="C3035">
            <v>309394</v>
          </cell>
          <cell r="D3035" t="str">
            <v>NCG 22.5X35.8X2</v>
          </cell>
        </row>
        <row r="3036">
          <cell r="C3036">
            <v>511391</v>
          </cell>
          <cell r="D3036" t="str">
            <v>RO 2X4.8 SP</v>
          </cell>
        </row>
        <row r="3037">
          <cell r="C3037">
            <v>309395</v>
          </cell>
          <cell r="D3037" t="str">
            <v>KXK.BRASS 1126(130X170X4)</v>
          </cell>
        </row>
        <row r="3038">
          <cell r="C3038">
            <v>511431</v>
          </cell>
          <cell r="D3038" t="str">
            <v>RO 5X13.8(CAGE 431)</v>
          </cell>
        </row>
        <row r="3039">
          <cell r="C3039">
            <v>309395.01</v>
          </cell>
          <cell r="D3039" t="str">
            <v>AXK.CAGE 4060</v>
          </cell>
        </row>
        <row r="3040">
          <cell r="C3040">
            <v>511395.01</v>
          </cell>
          <cell r="D3040" t="str">
            <v>RO 3X5.8</v>
          </cell>
        </row>
        <row r="3041">
          <cell r="C3041">
            <v>309395.02</v>
          </cell>
          <cell r="D3041" t="str">
            <v>AXK.CAGE 5070</v>
          </cell>
        </row>
        <row r="3042">
          <cell r="C3042">
            <v>511395.01</v>
          </cell>
          <cell r="D3042" t="str">
            <v>RO 3X5.8</v>
          </cell>
        </row>
        <row r="3043">
          <cell r="C3043">
            <v>309395.03000000003</v>
          </cell>
          <cell r="D3043" t="str">
            <v>AXK.CAGE 85110</v>
          </cell>
        </row>
        <row r="3044">
          <cell r="C3044">
            <v>511395.03</v>
          </cell>
          <cell r="D3044" t="str">
            <v>RO 4X7.8</v>
          </cell>
        </row>
        <row r="3045">
          <cell r="C3045">
            <v>309395.03999999998</v>
          </cell>
          <cell r="D3045" t="str">
            <v>AXK.CAGE 90120</v>
          </cell>
        </row>
        <row r="3046">
          <cell r="C3046">
            <v>511395.04</v>
          </cell>
          <cell r="D3046" t="str">
            <v>RO 4X10.8</v>
          </cell>
        </row>
        <row r="3047">
          <cell r="C3047">
            <v>309395.01</v>
          </cell>
          <cell r="D3047" t="str">
            <v>AXK.CAGE 4060</v>
          </cell>
        </row>
        <row r="3048">
          <cell r="C3048">
            <v>511395.01</v>
          </cell>
          <cell r="D3048" t="str">
            <v>RO 3X5.8</v>
          </cell>
        </row>
        <row r="3049">
          <cell r="C3049">
            <v>309395.02</v>
          </cell>
          <cell r="D3049" t="str">
            <v>AXK.CAGE 5070</v>
          </cell>
        </row>
        <row r="3050">
          <cell r="C3050">
            <v>511395.01</v>
          </cell>
          <cell r="D3050" t="str">
            <v>RO 3X5.8</v>
          </cell>
        </row>
        <row r="3051">
          <cell r="C3051">
            <v>309395.03000000003</v>
          </cell>
          <cell r="D3051" t="str">
            <v>AXK.CAGE 85110</v>
          </cell>
        </row>
        <row r="3052">
          <cell r="C3052">
            <v>511395.03</v>
          </cell>
          <cell r="D3052" t="str">
            <v>RO 4X7.8</v>
          </cell>
        </row>
        <row r="3053">
          <cell r="C3053">
            <v>309395.03999999998</v>
          </cell>
          <cell r="D3053" t="str">
            <v>AXK.CAGE 90120</v>
          </cell>
        </row>
        <row r="3054">
          <cell r="C3054">
            <v>511395.04</v>
          </cell>
          <cell r="D3054" t="str">
            <v>RO 4X10.8</v>
          </cell>
        </row>
        <row r="3055">
          <cell r="C3055">
            <v>309396</v>
          </cell>
          <cell r="D3055" t="str">
            <v>NCG.NCG 143X149X6</v>
          </cell>
        </row>
        <row r="3056">
          <cell r="C3056">
            <v>511464</v>
          </cell>
          <cell r="D3056" t="str">
            <v>BALL 7/32"(IS:2898-1976)</v>
          </cell>
        </row>
        <row r="3057">
          <cell r="C3057">
            <v>309397</v>
          </cell>
          <cell r="D3057" t="str">
            <v>NCG.NCG 1730</v>
          </cell>
        </row>
        <row r="3058">
          <cell r="C3058">
            <v>511397</v>
          </cell>
          <cell r="D3058" t="str">
            <v>RO 2X4.5 BP</v>
          </cell>
        </row>
        <row r="3059">
          <cell r="C3059">
            <v>913010</v>
          </cell>
          <cell r="D3059" t="str">
            <v>Box 150x40x50</v>
          </cell>
        </row>
        <row r="3060">
          <cell r="C3060">
            <v>100397.21</v>
          </cell>
          <cell r="D3060" t="str">
            <v>W.35.01X51.054X3.590</v>
          </cell>
        </row>
        <row r="3061">
          <cell r="C3061">
            <v>100397.22</v>
          </cell>
          <cell r="D3061" t="str">
            <v>W.35.01X51.54X3.315</v>
          </cell>
        </row>
        <row r="3062">
          <cell r="C3062">
            <v>200397.23</v>
          </cell>
          <cell r="D3062" t="str">
            <v>OR.MNA 6869</v>
          </cell>
        </row>
        <row r="3063">
          <cell r="C3063">
            <v>300397.23</v>
          </cell>
          <cell r="D3063" t="str">
            <v>MCG.MNA 6869</v>
          </cell>
        </row>
        <row r="3064">
          <cell r="C3064">
            <v>500397.23</v>
          </cell>
          <cell r="D3064" t="str">
            <v>RO 5.75X32.3 BP</v>
          </cell>
        </row>
        <row r="3065">
          <cell r="C3065">
            <v>300397.24</v>
          </cell>
          <cell r="D3065" t="str">
            <v>MCG 35X52X2</v>
          </cell>
        </row>
        <row r="3066">
          <cell r="C3066">
            <v>511391</v>
          </cell>
          <cell r="D3066" t="str">
            <v>RO 2X4.8 SP</v>
          </cell>
        </row>
        <row r="3067">
          <cell r="C3067">
            <v>200397.25</v>
          </cell>
          <cell r="D3067" t="str">
            <v>MNA.SLEEVE 50</v>
          </cell>
        </row>
        <row r="3068">
          <cell r="C3068">
            <v>300397.25</v>
          </cell>
          <cell r="D3068" t="str">
            <v>MNA.NCG 50</v>
          </cell>
        </row>
        <row r="3069">
          <cell r="C3069">
            <v>500397.25</v>
          </cell>
          <cell r="D3069" t="str">
            <v>RO 3.175X23.6 BP</v>
          </cell>
        </row>
        <row r="3070">
          <cell r="C3070">
            <v>200397.26</v>
          </cell>
          <cell r="D3070" t="str">
            <v>MNA.OR 7504-162</v>
          </cell>
        </row>
        <row r="3071">
          <cell r="C3071">
            <v>300397.26</v>
          </cell>
          <cell r="D3071" t="str">
            <v>MNA.MCG 7504-162</v>
          </cell>
        </row>
        <row r="3072">
          <cell r="C3072">
            <v>500397.26</v>
          </cell>
          <cell r="D3072" t="str">
            <v>RO 5.75X34.5 BP</v>
          </cell>
        </row>
        <row r="3073">
          <cell r="C3073">
            <v>200397.27</v>
          </cell>
          <cell r="D3073" t="str">
            <v>MNA.OR 6037-125</v>
          </cell>
        </row>
        <row r="3074">
          <cell r="C3074">
            <v>300397.27</v>
          </cell>
          <cell r="D3074" t="str">
            <v>MNA.MCG 6037-125</v>
          </cell>
        </row>
        <row r="3075">
          <cell r="C3075">
            <v>500397.27</v>
          </cell>
          <cell r="D3075" t="str">
            <v>RO 4.760X25 BP</v>
          </cell>
        </row>
        <row r="3076">
          <cell r="C3076">
            <v>200397.28</v>
          </cell>
          <cell r="D3076" t="str">
            <v>MNA.OR 5401-100</v>
          </cell>
        </row>
        <row r="3077">
          <cell r="C3077">
            <v>300397.28000000003</v>
          </cell>
          <cell r="D3077" t="str">
            <v>MNA.MCG 5401-100</v>
          </cell>
        </row>
        <row r="3078">
          <cell r="C3078">
            <v>500397.28</v>
          </cell>
          <cell r="D3078" t="str">
            <v>RO 4.760X20 BP</v>
          </cell>
        </row>
        <row r="3079">
          <cell r="C3079">
            <v>200397.29</v>
          </cell>
          <cell r="D3079" t="str">
            <v>MNA.OR 6037-100</v>
          </cell>
        </row>
        <row r="3080">
          <cell r="C3080">
            <v>300397.28999999998</v>
          </cell>
          <cell r="D3080" t="str">
            <v>MNA.MCG 6037-100</v>
          </cell>
        </row>
        <row r="3081">
          <cell r="C3081">
            <v>500397.28</v>
          </cell>
          <cell r="D3081" t="str">
            <v>RO 4.760X20 BP</v>
          </cell>
        </row>
        <row r="3082">
          <cell r="C3082">
            <v>200397.3</v>
          </cell>
          <cell r="D3082" t="str">
            <v>MNA.OR 6869-125</v>
          </cell>
        </row>
        <row r="3083">
          <cell r="C3083">
            <v>300397.3</v>
          </cell>
          <cell r="D3083" t="str">
            <v>MNA.MCG 6869-125</v>
          </cell>
        </row>
        <row r="3084">
          <cell r="C3084">
            <v>500397.3</v>
          </cell>
          <cell r="D3084" t="str">
            <v>RO 5.75X25 BP</v>
          </cell>
        </row>
        <row r="3085">
          <cell r="C3085">
            <v>309398</v>
          </cell>
          <cell r="D3085" t="str">
            <v>NCG.NCG 70X78X8.7</v>
          </cell>
        </row>
        <row r="3086">
          <cell r="C3086">
            <v>511462</v>
          </cell>
          <cell r="D3086" t="str">
            <v>RO 4X6 (R 462)</v>
          </cell>
        </row>
        <row r="3087">
          <cell r="C3087">
            <v>913008</v>
          </cell>
          <cell r="D3087" t="str">
            <v>Box 95x50x95</v>
          </cell>
        </row>
        <row r="3088">
          <cell r="C3088">
            <v>309399</v>
          </cell>
          <cell r="D3088" t="str">
            <v>NCG.NCG 127X135X5.5</v>
          </cell>
        </row>
        <row r="3089">
          <cell r="C3089">
            <v>511212</v>
          </cell>
          <cell r="D3089" t="str">
            <v>RO 4X4</v>
          </cell>
        </row>
        <row r="3090">
          <cell r="C3090">
            <v>309400</v>
          </cell>
          <cell r="D3090" t="str">
            <v>TCG.TCG 16/13 D</v>
          </cell>
        </row>
        <row r="3091">
          <cell r="C3091">
            <v>511001</v>
          </cell>
          <cell r="D3091" t="str">
            <v>RO 2X9.8</v>
          </cell>
        </row>
        <row r="3092">
          <cell r="C3092">
            <v>309401</v>
          </cell>
          <cell r="D3092" t="str">
            <v>TCG.TCG 21/13 D</v>
          </cell>
        </row>
        <row r="3093">
          <cell r="C3093">
            <v>511001</v>
          </cell>
          <cell r="D3093" t="str">
            <v>RO 2X9.8</v>
          </cell>
        </row>
        <row r="3094">
          <cell r="C3094">
            <v>309402</v>
          </cell>
          <cell r="D3094" t="str">
            <v>TCG.TCG 24/13 D</v>
          </cell>
        </row>
        <row r="3095">
          <cell r="C3095">
            <v>309403</v>
          </cell>
          <cell r="D3095" t="str">
            <v>TCG.TCG 30/13 D</v>
          </cell>
        </row>
        <row r="3096">
          <cell r="C3096">
            <v>511060</v>
          </cell>
          <cell r="D3096" t="str">
            <v>RO 2.5X9.8</v>
          </cell>
        </row>
        <row r="3097">
          <cell r="C3097">
            <v>309404</v>
          </cell>
          <cell r="D3097" t="str">
            <v>TCG.TCG 21/17 D</v>
          </cell>
        </row>
        <row r="3098">
          <cell r="C3098">
            <v>309404</v>
          </cell>
          <cell r="D3098" t="str">
            <v>TCG.TCG 21/17 D</v>
          </cell>
        </row>
        <row r="3099">
          <cell r="C3099">
            <v>511404</v>
          </cell>
          <cell r="D3099" t="str">
            <v>RO 2X13.8</v>
          </cell>
        </row>
        <row r="3100">
          <cell r="C3100">
            <v>309405</v>
          </cell>
          <cell r="D3100" t="str">
            <v>CAGE.CAGE 405</v>
          </cell>
        </row>
        <row r="3101">
          <cell r="C3101">
            <v>511405</v>
          </cell>
          <cell r="D3101" t="str">
            <v>RO 6X10 (BPM)</v>
          </cell>
        </row>
        <row r="3102">
          <cell r="C3102">
            <v>913008</v>
          </cell>
          <cell r="D3102" t="str">
            <v>Box 95x50x95</v>
          </cell>
        </row>
        <row r="3103">
          <cell r="C3103">
            <v>511405</v>
          </cell>
          <cell r="D3103" t="str">
            <v>RO 6X10 (BPM)</v>
          </cell>
        </row>
        <row r="3104">
          <cell r="C3104">
            <v>309406</v>
          </cell>
          <cell r="D3104" t="str">
            <v>CAGE.CAGE 12X17X10</v>
          </cell>
        </row>
        <row r="3105">
          <cell r="C3105">
            <v>511406</v>
          </cell>
          <cell r="D3105" t="str">
            <v>RO 2.5X6.8 BP</v>
          </cell>
        </row>
        <row r="3106">
          <cell r="C3106">
            <v>309406.01</v>
          </cell>
          <cell r="D3106" t="str">
            <v>MCG.MCG 55X63X25</v>
          </cell>
        </row>
        <row r="3107">
          <cell r="C3107">
            <v>511282.01</v>
          </cell>
          <cell r="D3107" t="str">
            <v>RO 4X19.8</v>
          </cell>
        </row>
        <row r="3108">
          <cell r="C3108">
            <v>309406.02</v>
          </cell>
          <cell r="D3108" t="str">
            <v>MCG.MCG 45X52X18</v>
          </cell>
        </row>
        <row r="3109">
          <cell r="C3109">
            <v>511141</v>
          </cell>
          <cell r="D3109" t="str">
            <v>RO 3.5X12.8</v>
          </cell>
        </row>
        <row r="3110">
          <cell r="C3110">
            <v>309406.03000000003</v>
          </cell>
          <cell r="D3110" t="str">
            <v>MCG.MCG 55X60X20</v>
          </cell>
        </row>
        <row r="3111">
          <cell r="C3111">
            <v>511451</v>
          </cell>
          <cell r="D3111" t="str">
            <v>RO 2.5X15.8</v>
          </cell>
        </row>
        <row r="3112">
          <cell r="C3112">
            <v>309406.03999999998</v>
          </cell>
          <cell r="D3112" t="str">
            <v>MCG.MCG 55X63X15</v>
          </cell>
        </row>
        <row r="3113">
          <cell r="C3113">
            <v>511395.04</v>
          </cell>
          <cell r="D3113" t="str">
            <v>RO 4X10.8</v>
          </cell>
        </row>
        <row r="3114">
          <cell r="C3114">
            <v>309406.05</v>
          </cell>
          <cell r="D3114" t="str">
            <v>MCG.MCG 50X56X23</v>
          </cell>
        </row>
        <row r="3115">
          <cell r="C3115">
            <v>511406.05</v>
          </cell>
          <cell r="D3115" t="str">
            <v>RO 3X17.8</v>
          </cell>
        </row>
        <row r="3116">
          <cell r="C3116">
            <v>300406.09999999998</v>
          </cell>
          <cell r="D3116" t="str">
            <v>CAG.MCG 55X63X38</v>
          </cell>
        </row>
        <row r="3117">
          <cell r="C3117">
            <v>511504.01</v>
          </cell>
          <cell r="D3117" t="str">
            <v>RO 4X14.8</v>
          </cell>
        </row>
        <row r="3118">
          <cell r="C3118">
            <v>1422407</v>
          </cell>
          <cell r="D3118" t="str">
            <v>HOUSING (TFO BEARING)</v>
          </cell>
        </row>
        <row r="3119">
          <cell r="C3119">
            <v>208407.01</v>
          </cell>
          <cell r="D3119" t="str">
            <v>OR 394215</v>
          </cell>
        </row>
        <row r="3120">
          <cell r="C3120">
            <v>208407.02</v>
          </cell>
          <cell r="D3120" t="str">
            <v>R.OR 407.02</v>
          </cell>
        </row>
        <row r="3121">
          <cell r="C3121">
            <v>309407.01</v>
          </cell>
          <cell r="D3121" t="str">
            <v>CAGE.394215</v>
          </cell>
        </row>
        <row r="3122">
          <cell r="C3122">
            <v>309407.02</v>
          </cell>
          <cell r="D3122" t="str">
            <v>R.MCG 407.02</v>
          </cell>
        </row>
        <row r="3123">
          <cell r="C3123">
            <v>511170</v>
          </cell>
          <cell r="D3123" t="str">
            <v>BALL 3/16" (IS:2898-1976)</v>
          </cell>
        </row>
        <row r="3124">
          <cell r="C3124">
            <v>511470</v>
          </cell>
          <cell r="D3124" t="str">
            <v>RO 3.5X7.8</v>
          </cell>
        </row>
        <row r="3125">
          <cell r="C3125">
            <v>717407.01</v>
          </cell>
          <cell r="D3125" t="str">
            <v>25.5 MM INTERNAL CARCLIP</v>
          </cell>
        </row>
        <row r="3126">
          <cell r="C3126">
            <v>717407.02</v>
          </cell>
          <cell r="D3126" t="str">
            <v>27.8MM OD WASHER</v>
          </cell>
        </row>
        <row r="3127">
          <cell r="C3127">
            <v>717407.03</v>
          </cell>
          <cell r="D3127" t="str">
            <v>13X24X5.5 CUP WASHER</v>
          </cell>
        </row>
        <row r="3128">
          <cell r="C3128">
            <v>717407.04</v>
          </cell>
          <cell r="D3128" t="str">
            <v>18X28X4.4 WAHER ALUMINIUM</v>
          </cell>
        </row>
        <row r="3129">
          <cell r="C3129">
            <v>717407.05</v>
          </cell>
          <cell r="D3129" t="str">
            <v>13X24X6.85 WASHER  ALUM</v>
          </cell>
        </row>
        <row r="3130">
          <cell r="C3130">
            <v>717407.06</v>
          </cell>
          <cell r="D3130" t="str">
            <v>6.6X24X9.3 WASHER  ALUM</v>
          </cell>
        </row>
        <row r="3131">
          <cell r="C3131">
            <v>717407.07</v>
          </cell>
          <cell r="D3131" t="str">
            <v>35 MM EXTERNAL SARCLIP</v>
          </cell>
        </row>
        <row r="3132">
          <cell r="C3132">
            <v>913016</v>
          </cell>
          <cell r="D3132" t="str">
            <v>Box 250x40x50</v>
          </cell>
        </row>
        <row r="3133">
          <cell r="C3133">
            <v>208407.01</v>
          </cell>
          <cell r="D3133" t="str">
            <v>OR 394215</v>
          </cell>
        </row>
        <row r="3134">
          <cell r="C3134">
            <v>309407.01</v>
          </cell>
          <cell r="D3134" t="str">
            <v>CAGE.394215</v>
          </cell>
        </row>
        <row r="3135">
          <cell r="C3135">
            <v>511170</v>
          </cell>
          <cell r="D3135" t="str">
            <v>BALL 3/16" (IS:2898-1976)</v>
          </cell>
        </row>
        <row r="3136">
          <cell r="C3136">
            <v>913016</v>
          </cell>
          <cell r="D3136" t="str">
            <v>Box 250x40x50</v>
          </cell>
        </row>
        <row r="3137">
          <cell r="C3137">
            <v>208407.02</v>
          </cell>
          <cell r="D3137" t="str">
            <v>R.OR 407.02</v>
          </cell>
        </row>
        <row r="3138">
          <cell r="C3138">
            <v>309407.02</v>
          </cell>
          <cell r="D3138" t="str">
            <v>R.MCG 407.02</v>
          </cell>
        </row>
        <row r="3139">
          <cell r="C3139">
            <v>511470</v>
          </cell>
          <cell r="D3139" t="str">
            <v>RO 3.5X7.8</v>
          </cell>
        </row>
        <row r="3140">
          <cell r="C3140">
            <v>913016</v>
          </cell>
          <cell r="D3140" t="str">
            <v>Box 250x40x50</v>
          </cell>
        </row>
        <row r="3141">
          <cell r="C3141">
            <v>300407.06</v>
          </cell>
          <cell r="D3141" t="str">
            <v>MCG.MC 42.422X51.948X25.4</v>
          </cell>
        </row>
        <row r="3142">
          <cell r="C3142">
            <v>500407.06</v>
          </cell>
          <cell r="D3142" t="str">
            <v>RO 4.7625X22.225 BP</v>
          </cell>
        </row>
        <row r="3143">
          <cell r="C3143">
            <v>104408</v>
          </cell>
          <cell r="D3143" t="str">
            <v>R.STADE 408             F</v>
          </cell>
        </row>
        <row r="3144">
          <cell r="C3144">
            <v>208408</v>
          </cell>
          <cell r="D3144" t="str">
            <v>R.OR 408                F</v>
          </cell>
        </row>
        <row r="3145">
          <cell r="C3145">
            <v>511408</v>
          </cell>
          <cell r="D3145" t="str">
            <v>RO 4X8 BPM</v>
          </cell>
        </row>
        <row r="3146">
          <cell r="C3146">
            <v>717408</v>
          </cell>
          <cell r="D3146" t="str">
            <v>R.WASHER 408</v>
          </cell>
        </row>
        <row r="3147">
          <cell r="C3147">
            <v>717408.01</v>
          </cell>
          <cell r="D3147" t="str">
            <v>R.SHEET WASHER 408</v>
          </cell>
        </row>
        <row r="3148">
          <cell r="C3148">
            <v>913001</v>
          </cell>
          <cell r="D3148" t="str">
            <v>Box 48x30x40</v>
          </cell>
        </row>
        <row r="3149">
          <cell r="C3149">
            <v>104409</v>
          </cell>
          <cell r="D3149" t="str">
            <v>R.STADE 409             F</v>
          </cell>
        </row>
        <row r="3150">
          <cell r="C3150">
            <v>208409</v>
          </cell>
          <cell r="D3150" t="str">
            <v>R.OR 409                F</v>
          </cell>
        </row>
        <row r="3151">
          <cell r="C3151">
            <v>511408</v>
          </cell>
          <cell r="D3151" t="str">
            <v>RO 4X8 BPM</v>
          </cell>
        </row>
        <row r="3152">
          <cell r="C3152">
            <v>717409</v>
          </cell>
          <cell r="D3152" t="str">
            <v>R.WASHER 409</v>
          </cell>
        </row>
        <row r="3153">
          <cell r="C3153">
            <v>717409.01</v>
          </cell>
          <cell r="D3153" t="str">
            <v>R.SHEET WASHER 409</v>
          </cell>
        </row>
        <row r="3154">
          <cell r="C3154">
            <v>913001</v>
          </cell>
          <cell r="D3154" t="str">
            <v>Box 48x30x40</v>
          </cell>
        </row>
        <row r="3155">
          <cell r="C3155">
            <v>104410</v>
          </cell>
          <cell r="D3155" t="str">
            <v>R.STADE 410             F</v>
          </cell>
        </row>
        <row r="3156">
          <cell r="C3156">
            <v>208410</v>
          </cell>
          <cell r="D3156" t="str">
            <v>R.OR 410                F</v>
          </cell>
        </row>
        <row r="3157">
          <cell r="C3157">
            <v>511410</v>
          </cell>
          <cell r="D3157" t="str">
            <v>RO 5X5 BPM</v>
          </cell>
        </row>
        <row r="3158">
          <cell r="C3158">
            <v>717410</v>
          </cell>
          <cell r="D3158" t="str">
            <v>R.WASHER 410</v>
          </cell>
        </row>
        <row r="3159">
          <cell r="C3159">
            <v>717410.01</v>
          </cell>
          <cell r="D3159" t="str">
            <v>R.SHEET WASHER 410</v>
          </cell>
        </row>
        <row r="3160">
          <cell r="C3160">
            <v>717410.02</v>
          </cell>
          <cell r="D3160" t="str">
            <v>R.SHEET RING WASHER 410</v>
          </cell>
        </row>
        <row r="3161">
          <cell r="C3161">
            <v>913006</v>
          </cell>
          <cell r="D3161" t="str">
            <v>Box 50x35x50</v>
          </cell>
        </row>
        <row r="3162">
          <cell r="C3162">
            <v>104411</v>
          </cell>
          <cell r="D3162" t="str">
            <v>R.STADE 411             F</v>
          </cell>
        </row>
        <row r="3163">
          <cell r="C3163">
            <v>208411</v>
          </cell>
          <cell r="D3163" t="str">
            <v>R.OR 411                F</v>
          </cell>
        </row>
        <row r="3164">
          <cell r="C3164">
            <v>511408</v>
          </cell>
          <cell r="D3164" t="str">
            <v>RO 4X8 BPM</v>
          </cell>
        </row>
        <row r="3165">
          <cell r="C3165">
            <v>717411</v>
          </cell>
          <cell r="D3165" t="str">
            <v>R.WASHER 411</v>
          </cell>
        </row>
        <row r="3166">
          <cell r="C3166">
            <v>717411.01</v>
          </cell>
          <cell r="D3166" t="str">
            <v>R.SHEET WASHER 411</v>
          </cell>
        </row>
        <row r="3167">
          <cell r="C3167">
            <v>208412</v>
          </cell>
          <cell r="D3167" t="str">
            <v>R.OR 412                F</v>
          </cell>
        </row>
        <row r="3168">
          <cell r="C3168">
            <v>309412</v>
          </cell>
          <cell r="D3168" t="str">
            <v>R.MCG 412(SMALL)</v>
          </cell>
        </row>
        <row r="3169">
          <cell r="C3169">
            <v>309412.01</v>
          </cell>
          <cell r="D3169" t="str">
            <v>R.MCG 412(BIG)</v>
          </cell>
        </row>
        <row r="3170">
          <cell r="C3170">
            <v>500391.22</v>
          </cell>
          <cell r="D3170" t="str">
            <v>RO 2X6.8 BP</v>
          </cell>
        </row>
        <row r="3171">
          <cell r="C3171">
            <v>511001</v>
          </cell>
          <cell r="D3171" t="str">
            <v>RO 2X9.8</v>
          </cell>
        </row>
        <row r="3172">
          <cell r="C3172">
            <v>717412</v>
          </cell>
          <cell r="D3172" t="str">
            <v>R.SNAP RING 412</v>
          </cell>
        </row>
        <row r="3173">
          <cell r="C3173">
            <v>309413</v>
          </cell>
          <cell r="D3173" t="str">
            <v>AXK.BRS R 413</v>
          </cell>
        </row>
        <row r="3174">
          <cell r="C3174">
            <v>511475</v>
          </cell>
          <cell r="D3174" t="str">
            <v>RO 11X11 BPM</v>
          </cell>
        </row>
        <row r="3175">
          <cell r="C3175">
            <v>104414</v>
          </cell>
          <cell r="D3175" t="str">
            <v>MR.IR 31                F</v>
          </cell>
        </row>
        <row r="3176">
          <cell r="C3176">
            <v>208414</v>
          </cell>
          <cell r="D3176" t="str">
            <v>MR.OR 31                F</v>
          </cell>
        </row>
        <row r="3177">
          <cell r="C3177">
            <v>309414</v>
          </cell>
          <cell r="D3177" t="str">
            <v>MR.MCG 31</v>
          </cell>
        </row>
        <row r="3178">
          <cell r="C3178">
            <v>511414</v>
          </cell>
          <cell r="D3178" t="str">
            <v>RO 4.762X25.8</v>
          </cell>
        </row>
        <row r="3179">
          <cell r="C3179">
            <v>208414</v>
          </cell>
          <cell r="D3179" t="str">
            <v>MR.OR 31                F</v>
          </cell>
        </row>
        <row r="3180">
          <cell r="C3180">
            <v>309414</v>
          </cell>
          <cell r="D3180" t="str">
            <v>MR.MCG 31</v>
          </cell>
        </row>
        <row r="3181">
          <cell r="C3181">
            <v>511414</v>
          </cell>
          <cell r="D3181" t="str">
            <v>RO 4.762X25.8</v>
          </cell>
        </row>
        <row r="3182">
          <cell r="C3182">
            <v>104414</v>
          </cell>
          <cell r="D3182" t="str">
            <v>MR.IR 31                F</v>
          </cell>
        </row>
        <row r="3183">
          <cell r="C3183">
            <v>1422415</v>
          </cell>
          <cell r="D3183" t="str">
            <v>AS 2542 MATERIAL</v>
          </cell>
        </row>
        <row r="3184">
          <cell r="C3184">
            <v>1421415.01</v>
          </cell>
          <cell r="D3184" t="str">
            <v>AS 2643 material</v>
          </cell>
        </row>
        <row r="3185">
          <cell r="C3185">
            <v>1422415</v>
          </cell>
          <cell r="D3185" t="str">
            <v>AS 2542 MATERIAL</v>
          </cell>
        </row>
        <row r="3186">
          <cell r="C3186">
            <v>1421415.01</v>
          </cell>
          <cell r="D3186" t="str">
            <v>AS 2643 material</v>
          </cell>
        </row>
        <row r="3187">
          <cell r="C3187">
            <v>1422416</v>
          </cell>
          <cell r="D3187" t="str">
            <v>AS 3552 MATERIAL</v>
          </cell>
        </row>
        <row r="3188">
          <cell r="C3188">
            <v>208417</v>
          </cell>
          <cell r="D3188" t="str">
            <v>JC.OR 8008</v>
          </cell>
        </row>
        <row r="3189">
          <cell r="C3189">
            <v>511448</v>
          </cell>
          <cell r="D3189" t="str">
            <v>RO 11X15 BPM</v>
          </cell>
        </row>
        <row r="3190">
          <cell r="C3190">
            <v>717417</v>
          </cell>
          <cell r="D3190" t="str">
            <v>NYLON INSERT(JC 8046)25%</v>
          </cell>
        </row>
        <row r="3191">
          <cell r="C3191">
            <v>208417</v>
          </cell>
          <cell r="D3191" t="str">
            <v>JC.OR 8008</v>
          </cell>
        </row>
        <row r="3192">
          <cell r="C3192">
            <v>511448</v>
          </cell>
          <cell r="D3192" t="str">
            <v>RO 11X15 BPM</v>
          </cell>
        </row>
        <row r="3193">
          <cell r="C3193">
            <v>717417</v>
          </cell>
          <cell r="D3193" t="str">
            <v>NYLON INSERT(JC 8046)25%</v>
          </cell>
        </row>
        <row r="3194">
          <cell r="C3194">
            <v>309418</v>
          </cell>
          <cell r="D3194" t="str">
            <v>NCG 08X21X2</v>
          </cell>
        </row>
        <row r="3195">
          <cell r="C3195">
            <v>511391</v>
          </cell>
          <cell r="D3195" t="str">
            <v>RO 2X4.8 SP</v>
          </cell>
        </row>
        <row r="3196">
          <cell r="C3196">
            <v>511410</v>
          </cell>
          <cell r="D3196" t="str">
            <v>RO 5X5 BPM</v>
          </cell>
        </row>
        <row r="3197">
          <cell r="C3197">
            <v>8418</v>
          </cell>
          <cell r="D3197" t="str">
            <v/>
          </cell>
        </row>
        <row r="3198">
          <cell r="C3198">
            <v>8418.01</v>
          </cell>
          <cell r="D3198" t="str">
            <v/>
          </cell>
        </row>
        <row r="3199">
          <cell r="C3199">
            <v>9418</v>
          </cell>
          <cell r="D3199" t="str">
            <v/>
          </cell>
        </row>
        <row r="3200">
          <cell r="C3200">
            <v>104419</v>
          </cell>
          <cell r="D3200" t="str">
            <v>IR.567833               F</v>
          </cell>
        </row>
        <row r="3201">
          <cell r="C3201">
            <v>208419</v>
          </cell>
          <cell r="D3201" t="str">
            <v>OR.567833               F</v>
          </cell>
        </row>
        <row r="3202">
          <cell r="C3202">
            <v>208419.01</v>
          </cell>
          <cell r="D3202" t="str">
            <v>WASHER.567833           F</v>
          </cell>
        </row>
        <row r="3203">
          <cell r="C3203">
            <v>511612.06</v>
          </cell>
          <cell r="D3203" t="str">
            <v>RO 10X11</v>
          </cell>
        </row>
        <row r="3204">
          <cell r="C3204">
            <v>208419</v>
          </cell>
          <cell r="D3204" t="str">
            <v>OR.567833               F</v>
          </cell>
        </row>
        <row r="3205">
          <cell r="C3205">
            <v>208419.01</v>
          </cell>
          <cell r="D3205" t="str">
            <v>WASHER.567833           F</v>
          </cell>
        </row>
        <row r="3206">
          <cell r="C3206">
            <v>511612.06</v>
          </cell>
          <cell r="D3206" t="str">
            <v>RO 10X11</v>
          </cell>
        </row>
        <row r="3207">
          <cell r="C3207">
            <v>104419</v>
          </cell>
          <cell r="D3207" t="str">
            <v>IR.567833               F</v>
          </cell>
        </row>
        <row r="3208">
          <cell r="C3208">
            <v>104419</v>
          </cell>
          <cell r="D3208" t="str">
            <v>IR.567833               F</v>
          </cell>
        </row>
        <row r="3209">
          <cell r="C3209">
            <v>208419</v>
          </cell>
          <cell r="D3209" t="str">
            <v>OR.567833               F</v>
          </cell>
        </row>
        <row r="3210">
          <cell r="C3210">
            <v>511612.06</v>
          </cell>
          <cell r="D3210" t="str">
            <v>RO 10X11</v>
          </cell>
        </row>
        <row r="3211">
          <cell r="C3211">
            <v>208419.01</v>
          </cell>
          <cell r="D3211" t="str">
            <v>WASHER.567833           F</v>
          </cell>
        </row>
        <row r="3212">
          <cell r="C3212">
            <v>208420</v>
          </cell>
          <cell r="D3212" t="str">
            <v>RSTO.OR 5               F</v>
          </cell>
        </row>
        <row r="3213">
          <cell r="C3213">
            <v>309420</v>
          </cell>
          <cell r="D3213" t="str">
            <v>RSTO.NCG 5</v>
          </cell>
        </row>
        <row r="3214">
          <cell r="C3214">
            <v>511699</v>
          </cell>
          <cell r="D3214" t="str">
            <v>RO 1.5X5.8</v>
          </cell>
        </row>
        <row r="3215">
          <cell r="C3215">
            <v>104421</v>
          </cell>
          <cell r="D3215" t="str">
            <v>STO.IR 6                F</v>
          </cell>
        </row>
        <row r="3216">
          <cell r="C3216">
            <v>208421</v>
          </cell>
          <cell r="D3216" t="str">
            <v>STO.OR 6                F</v>
          </cell>
        </row>
        <row r="3217">
          <cell r="C3217">
            <v>309804.01</v>
          </cell>
          <cell r="D3217" t="str">
            <v>NKI.NCG 7/12(NK 10/12 TN)</v>
          </cell>
        </row>
        <row r="3218">
          <cell r="C3218">
            <v>511427</v>
          </cell>
          <cell r="D3218" t="str">
            <v>RO 1.5X7.8 BP</v>
          </cell>
        </row>
        <row r="3219">
          <cell r="C3219">
            <v>208421</v>
          </cell>
          <cell r="D3219" t="str">
            <v>STO.OR 6                F</v>
          </cell>
        </row>
        <row r="3220">
          <cell r="C3220">
            <v>309804.01</v>
          </cell>
          <cell r="D3220" t="str">
            <v>NKI.NCG 7/12(NK 10/12 TN)</v>
          </cell>
        </row>
        <row r="3221">
          <cell r="C3221">
            <v>511427</v>
          </cell>
          <cell r="D3221" t="str">
            <v>RO 1.5X7.8 BP</v>
          </cell>
        </row>
        <row r="3222">
          <cell r="C3222">
            <v>208422</v>
          </cell>
          <cell r="D3222" t="str">
            <v>RSTO.OR 10              F</v>
          </cell>
        </row>
        <row r="3223">
          <cell r="C3223">
            <v>309422</v>
          </cell>
          <cell r="D3223" t="str">
            <v>RSTO.MCG 10</v>
          </cell>
        </row>
        <row r="3224">
          <cell r="C3224">
            <v>511423</v>
          </cell>
          <cell r="D3224" t="str">
            <v>RO 3X8.8</v>
          </cell>
        </row>
        <row r="3225">
          <cell r="C3225">
            <v>104423</v>
          </cell>
          <cell r="D3225" t="str">
            <v>R.IR 423 (STO 12)       F</v>
          </cell>
        </row>
        <row r="3226">
          <cell r="C3226">
            <v>208423</v>
          </cell>
          <cell r="D3226" t="str">
            <v>R.OR 423 (STO 12)       F</v>
          </cell>
        </row>
        <row r="3227">
          <cell r="C3227">
            <v>309423</v>
          </cell>
          <cell r="D3227" t="str">
            <v>R.MCG 423 (STO 12)</v>
          </cell>
        </row>
        <row r="3228">
          <cell r="C3228">
            <v>511423</v>
          </cell>
          <cell r="D3228" t="str">
            <v>RO 3X8.8</v>
          </cell>
        </row>
        <row r="3229">
          <cell r="C3229">
            <v>309424</v>
          </cell>
          <cell r="D3229" t="str">
            <v>CAGE.CAGE 424(38x52x44)</v>
          </cell>
        </row>
        <row r="3230">
          <cell r="C3230">
            <v>104425</v>
          </cell>
          <cell r="D3230" t="str">
            <v>IR.JC 8017              F</v>
          </cell>
        </row>
        <row r="3231">
          <cell r="C3231">
            <v>208425</v>
          </cell>
          <cell r="D3231" t="str">
            <v>OR.JC 8017              F</v>
          </cell>
        </row>
        <row r="3232">
          <cell r="C3232">
            <v>511425</v>
          </cell>
          <cell r="D3232" t="str">
            <v>RO 13.5X15 BPM</v>
          </cell>
        </row>
        <row r="3233">
          <cell r="C3233">
            <v>717425</v>
          </cell>
          <cell r="D3233" t="str">
            <v>SNAP RING JC 8017</v>
          </cell>
        </row>
        <row r="3234">
          <cell r="C3234">
            <v>104425.01</v>
          </cell>
          <cell r="D3234" t="str">
            <v>IR.JC 8018              F</v>
          </cell>
        </row>
        <row r="3235">
          <cell r="C3235">
            <v>208425.01</v>
          </cell>
          <cell r="D3235" t="str">
            <v>OR.JC 8018              F</v>
          </cell>
        </row>
        <row r="3236">
          <cell r="C3236">
            <v>511425.01</v>
          </cell>
          <cell r="D3236" t="str">
            <v>RO 10X14</v>
          </cell>
        </row>
        <row r="3237">
          <cell r="C3237">
            <v>717425.01</v>
          </cell>
          <cell r="D3237" t="str">
            <v>SNAP RING JC 8018</v>
          </cell>
        </row>
        <row r="3238">
          <cell r="C3238">
            <v>104425.02</v>
          </cell>
          <cell r="D3238" t="str">
            <v>IR.JC 8019              F</v>
          </cell>
        </row>
        <row r="3239">
          <cell r="C3239">
            <v>208425.02</v>
          </cell>
          <cell r="D3239" t="str">
            <v>OR.JC 8019              F</v>
          </cell>
        </row>
        <row r="3240">
          <cell r="C3240">
            <v>511612.06</v>
          </cell>
          <cell r="D3240" t="str">
            <v>RO 10X11</v>
          </cell>
        </row>
        <row r="3241">
          <cell r="C3241">
            <v>717425.02</v>
          </cell>
          <cell r="D3241" t="str">
            <v>SNAP RING JC 8019</v>
          </cell>
        </row>
        <row r="3242">
          <cell r="C3242">
            <v>104425.03</v>
          </cell>
          <cell r="D3242" t="str">
            <v>IR.JC 8011              F</v>
          </cell>
        </row>
        <row r="3243">
          <cell r="C3243">
            <v>208425.03</v>
          </cell>
          <cell r="D3243" t="str">
            <v>OR.JC 8011              F</v>
          </cell>
        </row>
        <row r="3244">
          <cell r="C3244">
            <v>511997</v>
          </cell>
          <cell r="D3244" t="str">
            <v>RO 9X11</v>
          </cell>
        </row>
        <row r="3245">
          <cell r="C3245">
            <v>717425.03</v>
          </cell>
          <cell r="D3245" t="str">
            <v>SNAP RING JC 8011</v>
          </cell>
        </row>
        <row r="3246">
          <cell r="C3246">
            <v>208426</v>
          </cell>
          <cell r="D3246" t="str">
            <v>R.OR 426(43.5X95X11.025)</v>
          </cell>
        </row>
        <row r="3247">
          <cell r="C3247">
            <v>208426.01</v>
          </cell>
          <cell r="D3247" t="str">
            <v>R.OR 426.01 (50X95X3.75)</v>
          </cell>
        </row>
        <row r="3248">
          <cell r="C3248">
            <v>208426.02</v>
          </cell>
          <cell r="D3248" t="str">
            <v>R.OR 426.02 (52X93X3.75)</v>
          </cell>
        </row>
        <row r="3249">
          <cell r="C3249">
            <v>309426.01</v>
          </cell>
          <cell r="D3249" t="str">
            <v>ASSEMBLED CAGE 426</v>
          </cell>
        </row>
        <row r="3250">
          <cell r="C3250">
            <v>309426</v>
          </cell>
          <cell r="D3250" t="str">
            <v>R.NCG 426</v>
          </cell>
        </row>
        <row r="3251">
          <cell r="C3251">
            <v>511439</v>
          </cell>
          <cell r="D3251" t="str">
            <v>RO 8X8</v>
          </cell>
        </row>
        <row r="3252">
          <cell r="C3252">
            <v>309427</v>
          </cell>
          <cell r="D3252" t="str">
            <v>CAGE.CAGE 81110</v>
          </cell>
        </row>
        <row r="3253">
          <cell r="C3253">
            <v>511427</v>
          </cell>
          <cell r="D3253" t="str">
            <v>RO 1.5X7.8 BP</v>
          </cell>
        </row>
        <row r="3254">
          <cell r="C3254">
            <v>913010</v>
          </cell>
          <cell r="D3254" t="str">
            <v>Box 150x40x50</v>
          </cell>
        </row>
        <row r="3255">
          <cell r="C3255">
            <v>104428</v>
          </cell>
          <cell r="D3255" t="str">
            <v>R.IR 428 (JC 8002)</v>
          </cell>
        </row>
        <row r="3256">
          <cell r="C3256">
            <v>208428</v>
          </cell>
          <cell r="D3256" t="str">
            <v>R.OR 428 (JC 8002)</v>
          </cell>
        </row>
        <row r="3257">
          <cell r="C3257">
            <v>511428</v>
          </cell>
          <cell r="D3257" t="str">
            <v>RO 8X12</v>
          </cell>
        </row>
        <row r="3258">
          <cell r="C3258">
            <v>717428</v>
          </cell>
          <cell r="D3258" t="str">
            <v>R.CARCLIP 428(JC 8002)</v>
          </cell>
        </row>
        <row r="3259">
          <cell r="C3259">
            <v>309429</v>
          </cell>
          <cell r="D3259" t="str">
            <v>MCG.MCG 344238</v>
          </cell>
        </row>
        <row r="3260">
          <cell r="C3260">
            <v>511416</v>
          </cell>
          <cell r="D3260" t="str">
            <v>RO 4X31.8 BR</v>
          </cell>
        </row>
        <row r="3261">
          <cell r="C3261">
            <v>309429.01</v>
          </cell>
          <cell r="D3261" t="str">
            <v>MCG.MCG 395520.5</v>
          </cell>
        </row>
        <row r="3262">
          <cell r="C3262">
            <v>511171</v>
          </cell>
          <cell r="D3262" t="str">
            <v>RO 8X16</v>
          </cell>
        </row>
        <row r="3263">
          <cell r="C3263">
            <v>104430</v>
          </cell>
          <cell r="D3263" t="str">
            <v>R.IR 430</v>
          </cell>
        </row>
        <row r="3264">
          <cell r="C3264">
            <v>208430</v>
          </cell>
          <cell r="D3264" t="str">
            <v>R.OR 430</v>
          </cell>
        </row>
        <row r="3265">
          <cell r="C3265">
            <v>511430</v>
          </cell>
          <cell r="D3265" t="str">
            <v>RO 5X6</v>
          </cell>
        </row>
        <row r="3266">
          <cell r="C3266">
            <v>5221208.0199999996</v>
          </cell>
          <cell r="D3266" t="str">
            <v>O Centoplex BE41 103BH</v>
          </cell>
        </row>
        <row r="3267">
          <cell r="C3267">
            <v>717430</v>
          </cell>
          <cell r="D3267" t="str">
            <v>WASHER R 430</v>
          </cell>
        </row>
        <row r="3268">
          <cell r="C3268">
            <v>913016</v>
          </cell>
          <cell r="D3268" t="str">
            <v>Box 250x40x50</v>
          </cell>
        </row>
        <row r="3269">
          <cell r="C3269">
            <v>104430</v>
          </cell>
          <cell r="D3269" t="str">
            <v>R.IR 430</v>
          </cell>
        </row>
        <row r="3270">
          <cell r="C3270">
            <v>208430</v>
          </cell>
          <cell r="D3270" t="str">
            <v>R.OR 430</v>
          </cell>
        </row>
        <row r="3271">
          <cell r="C3271">
            <v>511430</v>
          </cell>
          <cell r="D3271" t="str">
            <v>RO 5X6</v>
          </cell>
        </row>
        <row r="3272">
          <cell r="C3272">
            <v>5221208</v>
          </cell>
          <cell r="D3272" t="str">
            <v>O G NBU 12/300 KP</v>
          </cell>
        </row>
        <row r="3273">
          <cell r="C3273">
            <v>717430</v>
          </cell>
          <cell r="D3273" t="str">
            <v>WASHER R 430</v>
          </cell>
        </row>
        <row r="3274">
          <cell r="C3274">
            <v>104430</v>
          </cell>
          <cell r="D3274" t="str">
            <v>R.IR 430</v>
          </cell>
        </row>
        <row r="3275">
          <cell r="C3275">
            <v>208430</v>
          </cell>
          <cell r="D3275" t="str">
            <v>R.OR 430</v>
          </cell>
        </row>
        <row r="3276">
          <cell r="C3276">
            <v>511430</v>
          </cell>
          <cell r="D3276" t="str">
            <v>RO 5X6</v>
          </cell>
        </row>
        <row r="3277">
          <cell r="C3277">
            <v>5221208.01</v>
          </cell>
          <cell r="D3277" t="str">
            <v/>
          </cell>
        </row>
        <row r="3278">
          <cell r="C3278">
            <v>717430</v>
          </cell>
          <cell r="D3278" t="str">
            <v>WASHER R 430</v>
          </cell>
        </row>
        <row r="3279">
          <cell r="C3279">
            <v>309431</v>
          </cell>
          <cell r="D3279" t="str">
            <v>CAGE.CAGE 431(28x38x16.5)</v>
          </cell>
        </row>
        <row r="3280">
          <cell r="C3280">
            <v>511431</v>
          </cell>
          <cell r="D3280" t="str">
            <v>RO 5X13.8(CAGE 431)</v>
          </cell>
        </row>
        <row r="3281">
          <cell r="C3281">
            <v>208432</v>
          </cell>
          <cell r="D3281" t="str">
            <v>R.OR 432(AJ 15836)</v>
          </cell>
        </row>
        <row r="3282">
          <cell r="C3282">
            <v>309432</v>
          </cell>
          <cell r="D3282" t="str">
            <v>CAGE.R 432(AJ 15836)</v>
          </cell>
        </row>
        <row r="3283">
          <cell r="C3283">
            <v>511432</v>
          </cell>
          <cell r="D3283" t="str">
            <v>RO 4X26.8(BP)</v>
          </cell>
        </row>
        <row r="3284">
          <cell r="C3284">
            <v>913006</v>
          </cell>
          <cell r="D3284" t="str">
            <v>Box 50x35x50</v>
          </cell>
        </row>
        <row r="3285">
          <cell r="C3285">
            <v>104433.01</v>
          </cell>
          <cell r="D3285" t="str">
            <v>R.IR 433(SHAFT 6902 SPL)</v>
          </cell>
        </row>
        <row r="3286">
          <cell r="C3286">
            <v>208433.01</v>
          </cell>
          <cell r="D3286" t="str">
            <v>R.OR 433(RNA 6902 SPL)</v>
          </cell>
        </row>
        <row r="3287">
          <cell r="C3287">
            <v>309433.01</v>
          </cell>
          <cell r="D3287" t="str">
            <v>R.MCG 433(RNA 6902 SPL)</v>
          </cell>
        </row>
        <row r="3288">
          <cell r="C3288">
            <v>511433.01</v>
          </cell>
          <cell r="D3288" t="str">
            <v>RO 3.175X17.8</v>
          </cell>
        </row>
        <row r="3289">
          <cell r="C3289">
            <v>717433.01</v>
          </cell>
          <cell r="D3289" t="str">
            <v>R.SEAL 433(RNA 6902 SPL)</v>
          </cell>
        </row>
        <row r="3290">
          <cell r="C3290">
            <v>913010</v>
          </cell>
          <cell r="D3290" t="str">
            <v>Box 150x40x50</v>
          </cell>
        </row>
        <row r="3291">
          <cell r="C3291">
            <v>208433.01</v>
          </cell>
          <cell r="D3291" t="str">
            <v>R.OR 433(RNA 6902 SPL)</v>
          </cell>
        </row>
        <row r="3292">
          <cell r="C3292">
            <v>309433.01</v>
          </cell>
          <cell r="D3292" t="str">
            <v>R.MCG 433(RNA 6902 SPL)</v>
          </cell>
        </row>
        <row r="3293">
          <cell r="C3293">
            <v>511433.01</v>
          </cell>
          <cell r="D3293" t="str">
            <v>RO 3.175X17.8</v>
          </cell>
        </row>
        <row r="3294">
          <cell r="C3294">
            <v>717433.01</v>
          </cell>
          <cell r="D3294" t="str">
            <v>R.SEAL 433(RNA 6902 SPL)</v>
          </cell>
        </row>
        <row r="3295">
          <cell r="C3295">
            <v>913010</v>
          </cell>
          <cell r="D3295" t="str">
            <v>Box 150x40x50</v>
          </cell>
        </row>
        <row r="3296">
          <cell r="C3296">
            <v>104433.01</v>
          </cell>
          <cell r="D3296" t="str">
            <v>R.IR 433(SHAFT 6902 SPL)</v>
          </cell>
        </row>
        <row r="3297">
          <cell r="C3297">
            <v>913010</v>
          </cell>
          <cell r="D3297" t="str">
            <v>Box 150x40x50</v>
          </cell>
        </row>
        <row r="3298">
          <cell r="C3298">
            <v>104433.01</v>
          </cell>
          <cell r="D3298" t="str">
            <v>R.IR 433(SHAFT 6902 SPL)</v>
          </cell>
        </row>
        <row r="3299">
          <cell r="C3299">
            <v>208433.01</v>
          </cell>
          <cell r="D3299" t="str">
            <v>R.OR 433(RNA 6902 SPL)</v>
          </cell>
        </row>
        <row r="3300">
          <cell r="C3300">
            <v>309433.01</v>
          </cell>
          <cell r="D3300" t="str">
            <v>R.MCG 433(RNA 6902 SPL)</v>
          </cell>
        </row>
        <row r="3301">
          <cell r="C3301">
            <v>511433.01</v>
          </cell>
          <cell r="D3301" t="str">
            <v>RO 3.175X17.8</v>
          </cell>
        </row>
        <row r="3302">
          <cell r="C3302">
            <v>717433.01</v>
          </cell>
          <cell r="D3302" t="str">
            <v>R.SEAL 433(RNA 6902 SPL)</v>
          </cell>
        </row>
        <row r="3303">
          <cell r="C3303">
            <v>208433.01</v>
          </cell>
          <cell r="D3303" t="str">
            <v>R.OR 433(RNA 6902 SPL)</v>
          </cell>
        </row>
        <row r="3304">
          <cell r="C3304">
            <v>309433.01</v>
          </cell>
          <cell r="D3304" t="str">
            <v>R.MCG 433(RNA 6902 SPL)</v>
          </cell>
        </row>
        <row r="3305">
          <cell r="C3305">
            <v>511433.01</v>
          </cell>
          <cell r="D3305" t="str">
            <v>RO 3.175X17.8</v>
          </cell>
        </row>
        <row r="3306">
          <cell r="C3306">
            <v>717433.01</v>
          </cell>
          <cell r="D3306" t="str">
            <v>R.SEAL 433(RNA 6902 SPL)</v>
          </cell>
        </row>
        <row r="3307">
          <cell r="C3307">
            <v>913010</v>
          </cell>
          <cell r="D3307" t="str">
            <v>Box 150x40x50</v>
          </cell>
        </row>
        <row r="3308">
          <cell r="C3308">
            <v>104433.01</v>
          </cell>
          <cell r="D3308" t="str">
            <v>R.IR 433(SHAFT 6902 SPL)</v>
          </cell>
        </row>
        <row r="3309">
          <cell r="C3309">
            <v>208434</v>
          </cell>
          <cell r="D3309" t="str">
            <v>R.OR 434(NAST 17)       F</v>
          </cell>
        </row>
        <row r="3310">
          <cell r="C3310">
            <v>309434</v>
          </cell>
          <cell r="D3310" t="str">
            <v>R.MCG 434(NAST 17)</v>
          </cell>
        </row>
        <row r="3311">
          <cell r="C3311">
            <v>511434</v>
          </cell>
          <cell r="D3311" t="str">
            <v>RO 3.5X11.8</v>
          </cell>
        </row>
        <row r="3312">
          <cell r="C3312">
            <v>208435</v>
          </cell>
          <cell r="D3312" t="str">
            <v>R.OR 435(RNA 69/32 SPL)</v>
          </cell>
        </row>
        <row r="3313">
          <cell r="C3313">
            <v>309343.01</v>
          </cell>
          <cell r="D3313" t="str">
            <v>NA/RNA.MCG 69/32</v>
          </cell>
        </row>
        <row r="3314">
          <cell r="C3314">
            <v>511304.01</v>
          </cell>
          <cell r="D3314" t="str">
            <v>RO 4X12.8</v>
          </cell>
        </row>
        <row r="3315">
          <cell r="C3315">
            <v>913015</v>
          </cell>
          <cell r="D3315" t="str">
            <v>Box 75X40X75</v>
          </cell>
        </row>
        <row r="3316">
          <cell r="C3316">
            <v>208436</v>
          </cell>
          <cell r="D3316" t="str">
            <v>R.OR 436(NB 95076)</v>
          </cell>
        </row>
        <row r="3317">
          <cell r="C3317">
            <v>309436</v>
          </cell>
          <cell r="D3317" t="str">
            <v>CAGE.R 436(NB 95076)</v>
          </cell>
        </row>
        <row r="3318">
          <cell r="C3318">
            <v>511436</v>
          </cell>
          <cell r="D3318" t="str">
            <v>RO 4X15.8 (CRA)</v>
          </cell>
        </row>
        <row r="3319">
          <cell r="C3319">
            <v>104437</v>
          </cell>
          <cell r="D3319" t="str">
            <v>R.IR 437(STO 25 ZZ)</v>
          </cell>
        </row>
        <row r="3320">
          <cell r="C3320">
            <v>208437</v>
          </cell>
          <cell r="D3320" t="str">
            <v>R.OR 437(STO 25 ZZ)</v>
          </cell>
        </row>
        <row r="3321">
          <cell r="C3321">
            <v>309437</v>
          </cell>
          <cell r="D3321" t="str">
            <v>CAGE.R 437(STO 25 ZZ)</v>
          </cell>
        </row>
        <row r="3322">
          <cell r="C3322">
            <v>511304.01</v>
          </cell>
          <cell r="D3322" t="str">
            <v>RO 4X12.8</v>
          </cell>
        </row>
        <row r="3323">
          <cell r="C3323">
            <v>717437</v>
          </cell>
          <cell r="D3323" t="str">
            <v>METAL WASHER (STO 25 ZZ)</v>
          </cell>
        </row>
        <row r="3324">
          <cell r="C3324">
            <v>913021</v>
          </cell>
          <cell r="D3324" t="str">
            <v>Box 55X20X55</v>
          </cell>
        </row>
        <row r="3325">
          <cell r="C3325">
            <v>104438</v>
          </cell>
          <cell r="D3325" t="str">
            <v>R.IR 438(NURT 35)-1</v>
          </cell>
        </row>
        <row r="3326">
          <cell r="C3326">
            <v>104438.01</v>
          </cell>
          <cell r="D3326" t="str">
            <v>R.IR 438(NURT 35)-2     F</v>
          </cell>
        </row>
        <row r="3327">
          <cell r="C3327">
            <v>208438</v>
          </cell>
          <cell r="D3327" t="str">
            <v>R.OR 438(NURT 35)</v>
          </cell>
        </row>
        <row r="3328">
          <cell r="C3328">
            <v>511438</v>
          </cell>
          <cell r="D3328" t="str">
            <v>RO 6.5X9(BPM)</v>
          </cell>
        </row>
        <row r="3329">
          <cell r="C3329">
            <v>717438</v>
          </cell>
          <cell r="D3329" t="str">
            <v>METAL WASHER (NURT 35)</v>
          </cell>
        </row>
        <row r="3330">
          <cell r="C3330">
            <v>104440</v>
          </cell>
          <cell r="D3330" t="str">
            <v>R.IR 440(JC 8021)</v>
          </cell>
        </row>
        <row r="3331">
          <cell r="C3331">
            <v>511440</v>
          </cell>
          <cell r="D3331" t="str">
            <v>RO 10X22</v>
          </cell>
        </row>
        <row r="3332">
          <cell r="C3332">
            <v>717440</v>
          </cell>
          <cell r="D3332" t="str">
            <v>NYLONE BUSH 64X70X24.7</v>
          </cell>
        </row>
        <row r="3333">
          <cell r="C3333">
            <v>104441</v>
          </cell>
          <cell r="D3333" t="str">
            <v>R.IR 441(JC 8024)</v>
          </cell>
        </row>
        <row r="3334">
          <cell r="C3334">
            <v>511441</v>
          </cell>
          <cell r="D3334" t="str">
            <v>RO 10X20</v>
          </cell>
        </row>
        <row r="3335">
          <cell r="C3335">
            <v>208442</v>
          </cell>
          <cell r="D3335" t="str">
            <v>R.OR 442(JC 8015)</v>
          </cell>
        </row>
        <row r="3336">
          <cell r="C3336">
            <v>309442</v>
          </cell>
          <cell r="D3336" t="str">
            <v>R.NCG 442(JC 8015)</v>
          </cell>
        </row>
        <row r="3337">
          <cell r="C3337">
            <v>511442</v>
          </cell>
          <cell r="D3337" t="str">
            <v>RO 8X9</v>
          </cell>
        </row>
        <row r="3338">
          <cell r="C3338">
            <v>1422443</v>
          </cell>
          <cell r="D3338" t="str">
            <v>NATV 15 material</v>
          </cell>
        </row>
        <row r="3339">
          <cell r="C3339">
            <v>511443</v>
          </cell>
          <cell r="D3339" t="str">
            <v>RO 2.20X13.25 (BP)</v>
          </cell>
        </row>
        <row r="3340">
          <cell r="C3340">
            <v>104443</v>
          </cell>
          <cell r="D3340" t="str">
            <v>R.IR 443(NATV 15 PP A)</v>
          </cell>
        </row>
        <row r="3341">
          <cell r="C3341">
            <v>208443</v>
          </cell>
          <cell r="D3341" t="str">
            <v>R.OR 443(NATV 15 PP A)</v>
          </cell>
        </row>
        <row r="3342">
          <cell r="C3342">
            <v>511443</v>
          </cell>
          <cell r="D3342" t="str">
            <v>RO 2.20X13.25 (BP)</v>
          </cell>
        </row>
        <row r="3343">
          <cell r="C3343">
            <v>717443</v>
          </cell>
          <cell r="D3343" t="str">
            <v>NYLON WASHER (NATV 15)</v>
          </cell>
        </row>
        <row r="3344">
          <cell r="C3344">
            <v>717443.01</v>
          </cell>
          <cell r="D3344" t="str">
            <v>METAL WASHER NATV 15</v>
          </cell>
        </row>
        <row r="3345">
          <cell r="C3345">
            <v>104443</v>
          </cell>
          <cell r="D3345" t="str">
            <v>R.IR 443(NATV 15 PP A)</v>
          </cell>
        </row>
        <row r="3346">
          <cell r="C3346">
            <v>208443</v>
          </cell>
          <cell r="D3346" t="str">
            <v>R.OR 443(NATV 15 PP A)</v>
          </cell>
        </row>
        <row r="3347">
          <cell r="C3347">
            <v>511443</v>
          </cell>
          <cell r="D3347" t="str">
            <v>RO 2.20X13.25 (BP)</v>
          </cell>
        </row>
        <row r="3348">
          <cell r="C3348">
            <v>717443.01</v>
          </cell>
          <cell r="D3348" t="str">
            <v>METAL WASHER NATV 15</v>
          </cell>
        </row>
        <row r="3349">
          <cell r="C3349">
            <v>104444</v>
          </cell>
          <cell r="D3349" t="str">
            <v>R.IR 444 (1041400) 44MM</v>
          </cell>
        </row>
        <row r="3350">
          <cell r="C3350">
            <v>208444</v>
          </cell>
          <cell r="D3350" t="str">
            <v>R.OR 444 (1041400) 44MM</v>
          </cell>
        </row>
        <row r="3351">
          <cell r="C3351">
            <v>511210.01</v>
          </cell>
          <cell r="D3351" t="str">
            <v>RO 4X5.6BPM</v>
          </cell>
        </row>
        <row r="3352">
          <cell r="C3352">
            <v>717444</v>
          </cell>
          <cell r="D3352" t="str">
            <v>WASHER R 444</v>
          </cell>
        </row>
        <row r="3353">
          <cell r="C3353">
            <v>913010</v>
          </cell>
          <cell r="D3353" t="str">
            <v>Box 150x40x50</v>
          </cell>
        </row>
        <row r="3354">
          <cell r="C3354">
            <v>1422444.01</v>
          </cell>
          <cell r="D3354" t="str">
            <v>R 444(1041400) materilRS</v>
          </cell>
        </row>
        <row r="3355">
          <cell r="C3355">
            <v>1422444.01</v>
          </cell>
          <cell r="D3355" t="str">
            <v>R 444(1041400) materilRS</v>
          </cell>
        </row>
        <row r="3356">
          <cell r="C3356">
            <v>5221208</v>
          </cell>
          <cell r="D3356" t="str">
            <v>O G NBU 12/300 KP</v>
          </cell>
        </row>
        <row r="3357">
          <cell r="C3357">
            <v>1422444.03</v>
          </cell>
          <cell r="D3357" t="str">
            <v>R 444 (16mm ID) material.</v>
          </cell>
        </row>
        <row r="3358">
          <cell r="C3358">
            <v>104445</v>
          </cell>
          <cell r="D3358" t="str">
            <v>R.IR 445(310-4715)</v>
          </cell>
        </row>
        <row r="3359">
          <cell r="C3359">
            <v>208445</v>
          </cell>
          <cell r="D3359" t="str">
            <v>R.OR 445(310-4715)</v>
          </cell>
        </row>
        <row r="3360">
          <cell r="C3360">
            <v>511445</v>
          </cell>
          <cell r="D3360" t="str">
            <v>RO 2.96X5.8</v>
          </cell>
        </row>
        <row r="3361">
          <cell r="C3361">
            <v>717445</v>
          </cell>
          <cell r="D3361" t="str">
            <v>PLATIC CAP R 445</v>
          </cell>
        </row>
        <row r="3362">
          <cell r="C3362">
            <v>913016</v>
          </cell>
          <cell r="D3362" t="str">
            <v>Box 250x40x50</v>
          </cell>
        </row>
        <row r="3363">
          <cell r="C3363">
            <v>104445</v>
          </cell>
          <cell r="D3363" t="str">
            <v>R.IR 445(310-4715)</v>
          </cell>
        </row>
        <row r="3364">
          <cell r="C3364">
            <v>208445</v>
          </cell>
          <cell r="D3364" t="str">
            <v>R.OR 445(310-4715)</v>
          </cell>
        </row>
        <row r="3365">
          <cell r="C3365">
            <v>511445.01</v>
          </cell>
          <cell r="D3365" t="str">
            <v>RO 3.150X5.8</v>
          </cell>
        </row>
        <row r="3366">
          <cell r="C3366">
            <v>208445</v>
          </cell>
          <cell r="D3366" t="str">
            <v>R.OR 445(310-4715)</v>
          </cell>
        </row>
        <row r="3367">
          <cell r="C3367">
            <v>511445.01</v>
          </cell>
          <cell r="D3367" t="str">
            <v>RO 3.150X5.8</v>
          </cell>
        </row>
        <row r="3368">
          <cell r="C3368">
            <v>104445</v>
          </cell>
          <cell r="D3368" t="str">
            <v>R.IR 445(310-4715)</v>
          </cell>
        </row>
        <row r="3369">
          <cell r="C3369">
            <v>1422446</v>
          </cell>
          <cell r="D3369" t="str">
            <v>R 446(KL 205 NPPB AH-01)</v>
          </cell>
        </row>
        <row r="3370">
          <cell r="C3370">
            <v>913006</v>
          </cell>
          <cell r="D3370" t="str">
            <v>Box 50x35x50</v>
          </cell>
        </row>
        <row r="3371">
          <cell r="C3371">
            <v>1422447</v>
          </cell>
          <cell r="D3371" t="str">
            <v>R 447 material</v>
          </cell>
        </row>
        <row r="3372">
          <cell r="C3372">
            <v>208448</v>
          </cell>
          <cell r="D3372" t="str">
            <v>R.OR 448(JC 8007)</v>
          </cell>
        </row>
        <row r="3373">
          <cell r="C3373">
            <v>511448</v>
          </cell>
          <cell r="D3373" t="str">
            <v>RO 11X15 BPM</v>
          </cell>
        </row>
        <row r="3374">
          <cell r="C3374">
            <v>717448</v>
          </cell>
          <cell r="D3374" t="str">
            <v>NYLON INSAERT(JC 8007)25%</v>
          </cell>
        </row>
        <row r="3375">
          <cell r="C3375">
            <v>208449</v>
          </cell>
          <cell r="D3375" t="str">
            <v>R.OR 449(JC 8037)</v>
          </cell>
        </row>
        <row r="3376">
          <cell r="C3376">
            <v>208450</v>
          </cell>
          <cell r="D3376" t="str">
            <v>R.OR 450(CY-600-168) CF</v>
          </cell>
        </row>
        <row r="3377">
          <cell r="C3377">
            <v>511450</v>
          </cell>
          <cell r="D3377" t="str">
            <v>RO 2.5X7.8</v>
          </cell>
        </row>
        <row r="3378">
          <cell r="C3378">
            <v>913016</v>
          </cell>
          <cell r="D3378" t="str">
            <v>Box 250x40x50</v>
          </cell>
        </row>
        <row r="3379">
          <cell r="C3379">
            <v>511325.01</v>
          </cell>
          <cell r="D3379" t="str">
            <v>RO 2.5X17.8</v>
          </cell>
        </row>
        <row r="3380">
          <cell r="C3380">
            <v>208451</v>
          </cell>
          <cell r="D3380" t="str">
            <v>R.OR 451 (NK 50/20)</v>
          </cell>
        </row>
        <row r="3381">
          <cell r="C3381">
            <v>309451</v>
          </cell>
          <cell r="D3381" t="str">
            <v>R.MCG 451 (NK 50/20)</v>
          </cell>
        </row>
        <row r="3382">
          <cell r="C3382">
            <v>511451</v>
          </cell>
          <cell r="D3382" t="str">
            <v>RO 2.5X15.8</v>
          </cell>
        </row>
        <row r="3383">
          <cell r="C3383">
            <v>913002</v>
          </cell>
          <cell r="D3383" t="str">
            <v>Box 75x30x75</v>
          </cell>
        </row>
        <row r="3384">
          <cell r="C3384">
            <v>200451.1</v>
          </cell>
          <cell r="D3384" t="str">
            <v>NK.OR 50/12</v>
          </cell>
        </row>
        <row r="3385">
          <cell r="C3385">
            <v>300451.09999999998</v>
          </cell>
          <cell r="D3385" t="str">
            <v>NK.MCG 50/12</v>
          </cell>
        </row>
        <row r="3386">
          <cell r="C3386">
            <v>511450</v>
          </cell>
          <cell r="D3386" t="str">
            <v>RO 2.5X7.8</v>
          </cell>
        </row>
        <row r="3387">
          <cell r="C3387">
            <v>208452</v>
          </cell>
          <cell r="D3387" t="str">
            <v>R.OR 452 (NK 121816)</v>
          </cell>
        </row>
        <row r="3388">
          <cell r="C3388">
            <v>309452</v>
          </cell>
          <cell r="D3388" t="str">
            <v>R.MCG 452 (NK 121816)</v>
          </cell>
        </row>
        <row r="3389">
          <cell r="C3389">
            <v>511200</v>
          </cell>
          <cell r="D3389" t="str">
            <v>RO 1.5X9.3</v>
          </cell>
        </row>
        <row r="3390">
          <cell r="C3390">
            <v>913010</v>
          </cell>
          <cell r="D3390" t="str">
            <v>Box 150x40x50</v>
          </cell>
        </row>
        <row r="3391">
          <cell r="C3391">
            <v>208453</v>
          </cell>
          <cell r="D3391" t="str">
            <v>R.OR 453 (S 1032)</v>
          </cell>
        </row>
        <row r="3392">
          <cell r="C3392">
            <v>913006</v>
          </cell>
          <cell r="D3392" t="str">
            <v>Box 50x35x50</v>
          </cell>
        </row>
        <row r="3393">
          <cell r="C3393">
            <v>9953</v>
          </cell>
          <cell r="D3393" t="str">
            <v/>
          </cell>
        </row>
        <row r="3394">
          <cell r="C3394">
            <v>208455</v>
          </cell>
          <cell r="D3394" t="str">
            <v>R.OR 455 (Y 1032)</v>
          </cell>
        </row>
        <row r="3395">
          <cell r="C3395">
            <v>309455</v>
          </cell>
          <cell r="D3395" t="str">
            <v>R.MCG 455 (Y 1032)</v>
          </cell>
        </row>
        <row r="3396">
          <cell r="C3396">
            <v>208455.1</v>
          </cell>
          <cell r="D3396" t="str">
            <v>OR.Y 1032</v>
          </cell>
        </row>
        <row r="3397">
          <cell r="C3397">
            <v>309455.09999999998</v>
          </cell>
          <cell r="D3397" t="str">
            <v>MCG.Y 1032</v>
          </cell>
        </row>
        <row r="3398">
          <cell r="C3398">
            <v>511455.1</v>
          </cell>
          <cell r="D3398" t="str">
            <v>RO 6.37X20.8 BPER</v>
          </cell>
        </row>
        <row r="3399">
          <cell r="C3399">
            <v>104456</v>
          </cell>
          <cell r="D3399" t="str">
            <v>R.IR 456 (XR 12072)</v>
          </cell>
        </row>
        <row r="3400">
          <cell r="C3400">
            <v>208456</v>
          </cell>
          <cell r="D3400" t="str">
            <v>R.OR 456 (XR 12072)</v>
          </cell>
        </row>
        <row r="3401">
          <cell r="C3401">
            <v>511493</v>
          </cell>
          <cell r="D3401" t="str">
            <v>RO 6.5X6.5</v>
          </cell>
        </row>
        <row r="3402">
          <cell r="C3402">
            <v>717456</v>
          </cell>
          <cell r="D3402" t="str">
            <v>WASHER XR 12072</v>
          </cell>
        </row>
        <row r="3403">
          <cell r="C3403">
            <v>208457</v>
          </cell>
          <cell r="D3403" t="str">
            <v>R.OR 457 (NB 152312)</v>
          </cell>
        </row>
        <row r="3404">
          <cell r="C3404">
            <v>309457</v>
          </cell>
          <cell r="D3404" t="str">
            <v>R.MCG 457 (NB 152312)</v>
          </cell>
        </row>
        <row r="3405">
          <cell r="C3405">
            <v>511450</v>
          </cell>
          <cell r="D3405" t="str">
            <v>RO 2.5X7.8</v>
          </cell>
        </row>
        <row r="3406">
          <cell r="C3406">
            <v>913010</v>
          </cell>
          <cell r="D3406" t="str">
            <v>Box 150x40x50</v>
          </cell>
        </row>
        <row r="3407">
          <cell r="C3407">
            <v>200458</v>
          </cell>
          <cell r="D3407" t="str">
            <v>JC.OR 8038</v>
          </cell>
        </row>
        <row r="3408">
          <cell r="C3408">
            <v>511954</v>
          </cell>
          <cell r="D3408" t="str">
            <v>RO 9X13</v>
          </cell>
        </row>
        <row r="3409">
          <cell r="C3409">
            <v>717458</v>
          </cell>
          <cell r="D3409" t="str">
            <v>NYLON INSAERT(JC 8038)25%</v>
          </cell>
        </row>
        <row r="3410">
          <cell r="C3410">
            <v>1422459</v>
          </cell>
          <cell r="D3410" t="str">
            <v>R 459(WPB 781415) materi</v>
          </cell>
        </row>
        <row r="3411">
          <cell r="C3411">
            <v>1421460</v>
          </cell>
          <cell r="D3411" t="str">
            <v>R 460 material</v>
          </cell>
        </row>
        <row r="3412">
          <cell r="C3412">
            <v>104461</v>
          </cell>
          <cell r="D3412" t="str">
            <v>R.IR 461(108-2381)SIDE</v>
          </cell>
        </row>
        <row r="3413">
          <cell r="C3413">
            <v>208461</v>
          </cell>
          <cell r="D3413" t="str">
            <v>R.OR 461(108-2381)</v>
          </cell>
        </row>
        <row r="3414">
          <cell r="C3414">
            <v>309461</v>
          </cell>
          <cell r="D3414" t="str">
            <v>R.MCG 461(108-2381)</v>
          </cell>
        </row>
        <row r="3415">
          <cell r="C3415">
            <v>511461</v>
          </cell>
          <cell r="D3415" t="str">
            <v>RO 6X6</v>
          </cell>
        </row>
        <row r="3416">
          <cell r="C3416">
            <v>717461</v>
          </cell>
          <cell r="D3416" t="str">
            <v>RUBBERSEAL R461(108-2381)</v>
          </cell>
        </row>
        <row r="3417">
          <cell r="C3417">
            <v>913016</v>
          </cell>
          <cell r="D3417" t="str">
            <v>Box 250x40x50</v>
          </cell>
        </row>
        <row r="3418">
          <cell r="C3418">
            <v>208462</v>
          </cell>
          <cell r="D3418" t="str">
            <v>R.OR 462 (12.24 SPL.)</v>
          </cell>
        </row>
        <row r="3419">
          <cell r="C3419">
            <v>309462</v>
          </cell>
          <cell r="D3419" t="str">
            <v>R.NCG 462 (12.24 SPL.)</v>
          </cell>
        </row>
        <row r="3420">
          <cell r="C3420">
            <v>511462</v>
          </cell>
          <cell r="D3420" t="str">
            <v>RO 4X6 (R 462)</v>
          </cell>
        </row>
        <row r="3421">
          <cell r="C3421">
            <v>717462</v>
          </cell>
          <cell r="D3421" t="str">
            <v>WASHER FOR R 462(12.24SPL</v>
          </cell>
        </row>
        <row r="3422">
          <cell r="C3422">
            <v>913010</v>
          </cell>
          <cell r="D3422" t="str">
            <v>Box 150x40x50</v>
          </cell>
        </row>
        <row r="3423">
          <cell r="C3423">
            <v>208463</v>
          </cell>
          <cell r="D3423" t="str">
            <v>R.OR 463(F 82925)</v>
          </cell>
        </row>
        <row r="3424">
          <cell r="C3424">
            <v>309463</v>
          </cell>
          <cell r="D3424" t="str">
            <v>R.MCG 463(F 82925)</v>
          </cell>
        </row>
        <row r="3425">
          <cell r="C3425">
            <v>511261.01</v>
          </cell>
          <cell r="D3425" t="str">
            <v>RO 3X23.8</v>
          </cell>
        </row>
        <row r="3426">
          <cell r="C3426">
            <v>913010</v>
          </cell>
          <cell r="D3426" t="str">
            <v>Box 150x40x50</v>
          </cell>
        </row>
        <row r="3427">
          <cell r="C3427">
            <v>208464</v>
          </cell>
          <cell r="D3427" t="str">
            <v>R.OR 464</v>
          </cell>
        </row>
        <row r="3428">
          <cell r="C3428">
            <v>309464</v>
          </cell>
          <cell r="D3428" t="str">
            <v>R.MCG 464</v>
          </cell>
        </row>
        <row r="3429">
          <cell r="C3429">
            <v>511464</v>
          </cell>
          <cell r="D3429" t="str">
            <v>BALL 7/32"(IS:2898-1976)</v>
          </cell>
        </row>
        <row r="3430">
          <cell r="C3430">
            <v>717464</v>
          </cell>
          <cell r="D3430" t="str">
            <v>R COPPER WASHER 464</v>
          </cell>
        </row>
        <row r="3431">
          <cell r="C3431">
            <v>717464.01</v>
          </cell>
          <cell r="D3431" t="str">
            <v>R CAR CLIPS 464</v>
          </cell>
        </row>
        <row r="3432">
          <cell r="C3432">
            <v>913010</v>
          </cell>
          <cell r="D3432" t="str">
            <v>Box 150x40x50</v>
          </cell>
        </row>
        <row r="3433">
          <cell r="C3433">
            <v>1422465</v>
          </cell>
          <cell r="D3433" t="str">
            <v>R 465(7x19x18)   Material</v>
          </cell>
        </row>
        <row r="3434">
          <cell r="C3434">
            <v>913016</v>
          </cell>
          <cell r="D3434" t="str">
            <v>Box 250x40x50</v>
          </cell>
        </row>
        <row r="3435">
          <cell r="C3435">
            <v>1422465.01</v>
          </cell>
          <cell r="D3435" t="str">
            <v>465(7x19x18X10) RS Materi</v>
          </cell>
        </row>
        <row r="3436">
          <cell r="C3436">
            <v>1422465.02</v>
          </cell>
          <cell r="D3436" t="str">
            <v>R 465(7x19x18X10) MS Mate</v>
          </cell>
        </row>
        <row r="3437">
          <cell r="C3437">
            <v>1422466</v>
          </cell>
          <cell r="D3437" t="str">
            <v>R 466(6x18.5x22) Material</v>
          </cell>
        </row>
        <row r="3438">
          <cell r="C3438">
            <v>1422467</v>
          </cell>
          <cell r="D3438" t="str">
            <v>R 467(8406-1)    Material</v>
          </cell>
        </row>
        <row r="3439">
          <cell r="C3439">
            <v>208468</v>
          </cell>
          <cell r="D3439" t="str">
            <v>R.OR 468 (KDL 12/12)</v>
          </cell>
        </row>
        <row r="3440">
          <cell r="C3440">
            <v>309806.01</v>
          </cell>
          <cell r="D3440" t="str">
            <v>NKI.MCG 9/12(NK 12/12)</v>
          </cell>
        </row>
        <row r="3441">
          <cell r="C3441">
            <v>511090</v>
          </cell>
          <cell r="D3441" t="str">
            <v>RO 2X7.8</v>
          </cell>
        </row>
        <row r="3442">
          <cell r="C3442">
            <v>913016</v>
          </cell>
          <cell r="D3442" t="str">
            <v>Box 250x40x50</v>
          </cell>
        </row>
        <row r="3443">
          <cell r="C3443">
            <v>208469</v>
          </cell>
          <cell r="D3443" t="str">
            <v>R.OR 469 (KDL 16/12P)</v>
          </cell>
        </row>
        <row r="3444">
          <cell r="C3444">
            <v>309469</v>
          </cell>
          <cell r="D3444" t="str">
            <v>R.MCG 469 (KDL 16/12P)</v>
          </cell>
        </row>
        <row r="3445">
          <cell r="C3445">
            <v>511090</v>
          </cell>
          <cell r="D3445" t="str">
            <v>RO 2X7.8</v>
          </cell>
        </row>
        <row r="3446">
          <cell r="C3446">
            <v>913016</v>
          </cell>
          <cell r="D3446" t="str">
            <v>Box 250x40x50</v>
          </cell>
        </row>
        <row r="3447">
          <cell r="C3447">
            <v>1422470</v>
          </cell>
          <cell r="D3447" t="str">
            <v>R 470            material</v>
          </cell>
        </row>
        <row r="3448">
          <cell r="C3448">
            <v>5221208</v>
          </cell>
          <cell r="D3448" t="str">
            <v>O G NBU 12/300 KP</v>
          </cell>
        </row>
        <row r="3449">
          <cell r="C3449">
            <v>913016</v>
          </cell>
          <cell r="D3449" t="str">
            <v>Box 250x40x50</v>
          </cell>
        </row>
        <row r="3450">
          <cell r="C3450">
            <v>1422470</v>
          </cell>
          <cell r="D3450" t="str">
            <v>R 470            material</v>
          </cell>
        </row>
        <row r="3451">
          <cell r="C3451">
            <v>5221208.0199999996</v>
          </cell>
          <cell r="D3451" t="str">
            <v>O Centoplex BE41 103BH</v>
          </cell>
        </row>
        <row r="3452">
          <cell r="C3452">
            <v>913016</v>
          </cell>
          <cell r="D3452" t="str">
            <v>Box 250x40x50</v>
          </cell>
        </row>
        <row r="3453">
          <cell r="C3453">
            <v>1422471</v>
          </cell>
          <cell r="D3453" t="str">
            <v>R 471 (42mmDia)  Material</v>
          </cell>
        </row>
        <row r="3454">
          <cell r="C3454">
            <v>511210.01</v>
          </cell>
          <cell r="D3454" t="str">
            <v>RO 4X5.6BPM</v>
          </cell>
        </row>
        <row r="3455">
          <cell r="C3455">
            <v>5221208.0199999996</v>
          </cell>
          <cell r="D3455" t="str">
            <v>O Centoplex BE41 103BH</v>
          </cell>
        </row>
        <row r="3456">
          <cell r="C3456">
            <v>913016</v>
          </cell>
          <cell r="D3456" t="str">
            <v>Box 250x40x50</v>
          </cell>
        </row>
        <row r="3457">
          <cell r="C3457">
            <v>1422471</v>
          </cell>
          <cell r="D3457" t="str">
            <v>R 471 (42mmDia)  Material</v>
          </cell>
        </row>
        <row r="3458">
          <cell r="C3458">
            <v>511210.01</v>
          </cell>
          <cell r="D3458" t="str">
            <v>RO 4X5.6BPM</v>
          </cell>
        </row>
        <row r="3459">
          <cell r="C3459">
            <v>5221208</v>
          </cell>
          <cell r="D3459" t="str">
            <v>O G NBU 12/300 KP</v>
          </cell>
        </row>
        <row r="3460">
          <cell r="C3460">
            <v>913016</v>
          </cell>
          <cell r="D3460" t="str">
            <v>Box 250x40x50</v>
          </cell>
        </row>
        <row r="3461">
          <cell r="C3461">
            <v>1422472</v>
          </cell>
          <cell r="D3461" t="str">
            <v>R 472           Materials</v>
          </cell>
        </row>
        <row r="3462">
          <cell r="C3462">
            <v>5221208.0199999996</v>
          </cell>
          <cell r="D3462" t="str">
            <v>O Centoplex BE41 103BH</v>
          </cell>
        </row>
        <row r="3463">
          <cell r="C3463">
            <v>913010</v>
          </cell>
          <cell r="D3463" t="str">
            <v>Box 150x40x50</v>
          </cell>
        </row>
        <row r="3464">
          <cell r="C3464">
            <v>1422472</v>
          </cell>
          <cell r="D3464" t="str">
            <v>R 472           Materials</v>
          </cell>
        </row>
        <row r="3465">
          <cell r="C3465">
            <v>5221208</v>
          </cell>
          <cell r="D3465" t="str">
            <v>O G NBU 12/300 KP</v>
          </cell>
        </row>
        <row r="3466">
          <cell r="C3466">
            <v>913010</v>
          </cell>
          <cell r="D3466" t="str">
            <v>Box 150x40x50</v>
          </cell>
        </row>
        <row r="3467">
          <cell r="C3467">
            <v>1422472</v>
          </cell>
          <cell r="D3467" t="str">
            <v>R 472           Materials</v>
          </cell>
        </row>
        <row r="3468">
          <cell r="C3468">
            <v>5221208.01</v>
          </cell>
          <cell r="D3468" t="str">
            <v/>
          </cell>
        </row>
        <row r="3469">
          <cell r="C3469">
            <v>913010</v>
          </cell>
          <cell r="D3469" t="str">
            <v>Box 150x40x50</v>
          </cell>
        </row>
        <row r="3470">
          <cell r="C3470">
            <v>1422472.03</v>
          </cell>
          <cell r="D3470" t="str">
            <v>R 472 WITH 6 MM IDmateria</v>
          </cell>
        </row>
        <row r="3471">
          <cell r="C3471">
            <v>104473</v>
          </cell>
          <cell r="D3471" t="str">
            <v>R.IR 473</v>
          </cell>
        </row>
        <row r="3472">
          <cell r="C3472">
            <v>208473</v>
          </cell>
          <cell r="D3472" t="str">
            <v>R.OR 473</v>
          </cell>
        </row>
        <row r="3473">
          <cell r="C3473">
            <v>511473</v>
          </cell>
          <cell r="D3473" t="str">
            <v>RO 2X5.7 BPM</v>
          </cell>
        </row>
        <row r="3474">
          <cell r="C3474">
            <v>913010</v>
          </cell>
          <cell r="D3474" t="str">
            <v>Box 150x40x50</v>
          </cell>
        </row>
        <row r="3475">
          <cell r="C3475">
            <v>104473</v>
          </cell>
          <cell r="D3475" t="str">
            <v>R.IR 473</v>
          </cell>
        </row>
        <row r="3476">
          <cell r="C3476">
            <v>104474</v>
          </cell>
          <cell r="D3476" t="str">
            <v>R.IR 474</v>
          </cell>
        </row>
        <row r="3477">
          <cell r="C3477">
            <v>208474</v>
          </cell>
          <cell r="D3477" t="str">
            <v>R.OR 474</v>
          </cell>
        </row>
        <row r="3478">
          <cell r="C3478">
            <v>208474.01</v>
          </cell>
          <cell r="D3478" t="str">
            <v>WASHER R 474</v>
          </cell>
        </row>
        <row r="3479">
          <cell r="C3479">
            <v>511474</v>
          </cell>
          <cell r="D3479" t="str">
            <v>RO 15X15 BPM</v>
          </cell>
        </row>
        <row r="3480">
          <cell r="C3480">
            <v>913058</v>
          </cell>
          <cell r="D3480" t="str">
            <v>Box 115x60x115    Exp.</v>
          </cell>
        </row>
        <row r="3481">
          <cell r="C3481">
            <v>208474</v>
          </cell>
          <cell r="D3481" t="str">
            <v>R.OR 474</v>
          </cell>
        </row>
        <row r="3482">
          <cell r="C3482">
            <v>208474.01</v>
          </cell>
          <cell r="D3482" t="str">
            <v>WASHER R 474</v>
          </cell>
        </row>
        <row r="3483">
          <cell r="C3483">
            <v>511474</v>
          </cell>
          <cell r="D3483" t="str">
            <v>RO 15X15 BPM</v>
          </cell>
        </row>
        <row r="3484">
          <cell r="C3484">
            <v>913058</v>
          </cell>
          <cell r="D3484" t="str">
            <v>Box 115x60x115    Exp.</v>
          </cell>
        </row>
        <row r="3485">
          <cell r="C3485">
            <v>104474</v>
          </cell>
          <cell r="D3485" t="str">
            <v>R.IR 474</v>
          </cell>
        </row>
        <row r="3486">
          <cell r="C3486">
            <v>104475</v>
          </cell>
          <cell r="D3486" t="str">
            <v>R.IR 475</v>
          </cell>
        </row>
        <row r="3487">
          <cell r="C3487">
            <v>208419.01</v>
          </cell>
          <cell r="D3487" t="str">
            <v>WASHER.567833           F</v>
          </cell>
        </row>
        <row r="3488">
          <cell r="C3488">
            <v>208475</v>
          </cell>
          <cell r="D3488" t="str">
            <v>R.OR 475</v>
          </cell>
        </row>
        <row r="3489">
          <cell r="C3489">
            <v>511475</v>
          </cell>
          <cell r="D3489" t="str">
            <v>RO 11X11 BPM</v>
          </cell>
        </row>
        <row r="3490">
          <cell r="C3490">
            <v>104475</v>
          </cell>
          <cell r="D3490" t="str">
            <v>R.IR 475</v>
          </cell>
        </row>
        <row r="3491">
          <cell r="C3491">
            <v>208475</v>
          </cell>
          <cell r="D3491" t="str">
            <v>R.OR 475</v>
          </cell>
        </row>
        <row r="3492">
          <cell r="C3492">
            <v>511475</v>
          </cell>
          <cell r="D3492" t="str">
            <v>RO 11X11 BPM</v>
          </cell>
        </row>
        <row r="3493">
          <cell r="C3493">
            <v>104475</v>
          </cell>
          <cell r="D3493" t="str">
            <v>R.IR 475</v>
          </cell>
        </row>
        <row r="3494">
          <cell r="C3494">
            <v>104476</v>
          </cell>
          <cell r="D3494" t="str">
            <v>R.IR 476 (OSN0615/16V)</v>
          </cell>
        </row>
        <row r="3495">
          <cell r="C3495">
            <v>208476</v>
          </cell>
          <cell r="D3495" t="str">
            <v>R.OR 476 (OSN0615/16V)</v>
          </cell>
        </row>
        <row r="3496">
          <cell r="C3496">
            <v>511476</v>
          </cell>
          <cell r="D3496" t="str">
            <v>RO 5.74X11</v>
          </cell>
        </row>
        <row r="3497">
          <cell r="C3497">
            <v>208477</v>
          </cell>
          <cell r="D3497" t="str">
            <v>R.OR 477 (STR 587745)</v>
          </cell>
        </row>
        <row r="3498">
          <cell r="C3498">
            <v>511477</v>
          </cell>
          <cell r="D3498" t="str">
            <v>RO 5.69X42.9</v>
          </cell>
        </row>
        <row r="3499">
          <cell r="C3499">
            <v>104478</v>
          </cell>
          <cell r="D3499" t="str">
            <v>R.IR 478 (40NAN6530)</v>
          </cell>
        </row>
        <row r="3500">
          <cell r="C3500">
            <v>208478</v>
          </cell>
          <cell r="D3500" t="str">
            <v>R.OR 478 (40NAN6530)</v>
          </cell>
        </row>
        <row r="3501">
          <cell r="C3501">
            <v>511478</v>
          </cell>
          <cell r="D3501" t="str">
            <v>RO 3X23.8 (T Type)</v>
          </cell>
        </row>
        <row r="3502">
          <cell r="C3502">
            <v>200479</v>
          </cell>
          <cell r="D3502" t="str">
            <v>R.OR 479</v>
          </cell>
        </row>
        <row r="3503">
          <cell r="C3503">
            <v>511448</v>
          </cell>
          <cell r="D3503" t="str">
            <v>RO 11X15 BPM</v>
          </cell>
        </row>
        <row r="3504">
          <cell r="C3504">
            <v>700479</v>
          </cell>
          <cell r="D3504" t="str">
            <v>NYLON INSAERT(R 479)25%</v>
          </cell>
        </row>
        <row r="3505">
          <cell r="C3505">
            <v>1422480</v>
          </cell>
          <cell r="D3505" t="str">
            <v>R 480           Materials</v>
          </cell>
        </row>
        <row r="3506">
          <cell r="C3506">
            <v>5221208</v>
          </cell>
          <cell r="D3506" t="str">
            <v>O G NBU 12/300 KP</v>
          </cell>
        </row>
        <row r="3507">
          <cell r="C3507">
            <v>913016</v>
          </cell>
          <cell r="D3507" t="str">
            <v>Box 250x40x50</v>
          </cell>
        </row>
        <row r="3508">
          <cell r="C3508">
            <v>104481</v>
          </cell>
          <cell r="D3508" t="str">
            <v>R.IR 481(BR26[P]4344.6)</v>
          </cell>
        </row>
        <row r="3509">
          <cell r="C3509">
            <v>208481</v>
          </cell>
          <cell r="D3509" t="str">
            <v>R.OR 481(BR 26[P]4344.6)</v>
          </cell>
        </row>
        <row r="3510">
          <cell r="C3510">
            <v>309481.01</v>
          </cell>
          <cell r="D3510" t="str">
            <v>R.NCG 481(BR 26[P]4344.6)</v>
          </cell>
        </row>
        <row r="3511">
          <cell r="C3511">
            <v>1422482</v>
          </cell>
          <cell r="D3511" t="str">
            <v>R 482 WASHER (AS 2542)</v>
          </cell>
        </row>
        <row r="3512">
          <cell r="C3512">
            <v>309482</v>
          </cell>
          <cell r="D3512" t="str">
            <v>R.NCG 482(AS 2542)</v>
          </cell>
        </row>
        <row r="3513">
          <cell r="C3513">
            <v>511391</v>
          </cell>
          <cell r="D3513" t="str">
            <v>RO 2X4.8 SP</v>
          </cell>
        </row>
        <row r="3514">
          <cell r="C3514">
            <v>913016</v>
          </cell>
          <cell r="D3514" t="str">
            <v>Box 250x40x50</v>
          </cell>
        </row>
        <row r="3515">
          <cell r="C3515">
            <v>300482.01</v>
          </cell>
          <cell r="D3515" t="str">
            <v>AXK.NCG 2542 SPL</v>
          </cell>
        </row>
        <row r="3516">
          <cell r="C3516">
            <v>511391</v>
          </cell>
          <cell r="D3516" t="str">
            <v>RO 2X4.8 SP</v>
          </cell>
        </row>
        <row r="3517">
          <cell r="C3517">
            <v>1422480</v>
          </cell>
          <cell r="D3517" t="str">
            <v>R 480           Materials</v>
          </cell>
        </row>
        <row r="3518">
          <cell r="C3518">
            <v>5221208.0199999996</v>
          </cell>
          <cell r="D3518" t="str">
            <v>O Centoplex BE41 103BH</v>
          </cell>
        </row>
        <row r="3519">
          <cell r="C3519">
            <v>913016</v>
          </cell>
          <cell r="D3519" t="str">
            <v>Box 250x40x50</v>
          </cell>
        </row>
        <row r="3520">
          <cell r="C3520">
            <v>208484</v>
          </cell>
          <cell r="D3520" t="str">
            <v>R.OR 484 (SPL 1226)</v>
          </cell>
        </row>
        <row r="3521">
          <cell r="C3521">
            <v>208484.01</v>
          </cell>
          <cell r="D3521" t="str">
            <v>R.OR 484 (SPL 1226) W</v>
          </cell>
        </row>
        <row r="3522">
          <cell r="C3522">
            <v>309484</v>
          </cell>
          <cell r="D3522" t="str">
            <v>R.NCG 484 (SPL 1226)</v>
          </cell>
        </row>
        <row r="3523">
          <cell r="C3523">
            <v>511484</v>
          </cell>
          <cell r="D3523" t="str">
            <v>RO 5X8</v>
          </cell>
        </row>
        <row r="3524">
          <cell r="C3524">
            <v>913016</v>
          </cell>
          <cell r="D3524" t="str">
            <v>Box 250x40x50</v>
          </cell>
        </row>
        <row r="3525">
          <cell r="C3525">
            <v>511484</v>
          </cell>
          <cell r="D3525" t="str">
            <v>RO 5X8</v>
          </cell>
        </row>
        <row r="3526">
          <cell r="C3526">
            <v>104111</v>
          </cell>
          <cell r="D3526" t="str">
            <v>BR.IR 3216.3(06)</v>
          </cell>
        </row>
        <row r="3527">
          <cell r="C3527">
            <v>309111</v>
          </cell>
          <cell r="D3527" t="str">
            <v>BR.TCG 3216.3</v>
          </cell>
        </row>
        <row r="3528">
          <cell r="C3528">
            <v>410111</v>
          </cell>
          <cell r="D3528" t="str">
            <v>BR.K 3216.3(06)    WITH R</v>
          </cell>
        </row>
        <row r="3529">
          <cell r="C3529">
            <v>612042</v>
          </cell>
          <cell r="D3529" t="str">
            <v>BR.N 3222</v>
          </cell>
        </row>
        <row r="3530">
          <cell r="C3530">
            <v>913016</v>
          </cell>
          <cell r="D3530" t="str">
            <v>Box 250x40x50</v>
          </cell>
        </row>
        <row r="3531">
          <cell r="C3531">
            <v>104486</v>
          </cell>
          <cell r="D3531" t="str">
            <v>NJ.IR 2206</v>
          </cell>
        </row>
        <row r="3532">
          <cell r="C3532">
            <v>208486</v>
          </cell>
          <cell r="D3532" t="str">
            <v>NJ.OR 2206</v>
          </cell>
        </row>
        <row r="3533">
          <cell r="C3533">
            <v>309486</v>
          </cell>
          <cell r="D3533" t="str">
            <v>NJ.MCG 2206</v>
          </cell>
        </row>
        <row r="3534">
          <cell r="C3534">
            <v>913022</v>
          </cell>
          <cell r="D3534" t="str">
            <v>Box 65X25X65</v>
          </cell>
        </row>
        <row r="3535">
          <cell r="C3535">
            <v>104487</v>
          </cell>
          <cell r="D3535" t="str">
            <v>NJ.IR 206</v>
          </cell>
        </row>
        <row r="3536">
          <cell r="C3536">
            <v>208487</v>
          </cell>
          <cell r="D3536" t="str">
            <v>NJ.OR 206</v>
          </cell>
        </row>
        <row r="3537">
          <cell r="C3537">
            <v>309604.05</v>
          </cell>
          <cell r="D3537" t="str">
            <v>NU/NJ.MCG 206</v>
          </cell>
        </row>
        <row r="3538">
          <cell r="C3538">
            <v>104489</v>
          </cell>
          <cell r="D3538" t="str">
            <v>NU.IR 309</v>
          </cell>
        </row>
        <row r="3539">
          <cell r="C3539">
            <v>208489</v>
          </cell>
          <cell r="D3539" t="str">
            <v>NU.OR 309</v>
          </cell>
        </row>
        <row r="3540">
          <cell r="C3540">
            <v>309489</v>
          </cell>
          <cell r="D3540" t="str">
            <v>NU.MCG 309</v>
          </cell>
        </row>
        <row r="3541">
          <cell r="C3541">
            <v>511998</v>
          </cell>
          <cell r="D3541" t="str">
            <v>RO 14X14</v>
          </cell>
        </row>
        <row r="3542">
          <cell r="C3542">
            <v>104489</v>
          </cell>
          <cell r="D3542" t="str">
            <v>NU.IR 309</v>
          </cell>
        </row>
        <row r="3543">
          <cell r="C3543">
            <v>208489</v>
          </cell>
          <cell r="D3543" t="str">
            <v>NU.OR 309</v>
          </cell>
        </row>
        <row r="3544">
          <cell r="C3544">
            <v>309489</v>
          </cell>
          <cell r="D3544" t="str">
            <v>NU.MCG 309</v>
          </cell>
        </row>
        <row r="3545">
          <cell r="C3545">
            <v>511998</v>
          </cell>
          <cell r="D3545" t="str">
            <v>RO 14X14</v>
          </cell>
        </row>
        <row r="3546">
          <cell r="C3546">
            <v>208489</v>
          </cell>
          <cell r="D3546" t="str">
            <v>NU.OR 309</v>
          </cell>
        </row>
        <row r="3547">
          <cell r="C3547">
            <v>309489</v>
          </cell>
          <cell r="D3547" t="str">
            <v>NU.MCG 309</v>
          </cell>
        </row>
        <row r="3548">
          <cell r="C3548">
            <v>511998</v>
          </cell>
          <cell r="D3548" t="str">
            <v>RO 14X14</v>
          </cell>
        </row>
        <row r="3549">
          <cell r="C3549">
            <v>104489</v>
          </cell>
          <cell r="D3549" t="str">
            <v>NU.IR 309</v>
          </cell>
        </row>
        <row r="3550">
          <cell r="C3550">
            <v>104489</v>
          </cell>
          <cell r="D3550" t="str">
            <v>NU.IR 309</v>
          </cell>
        </row>
        <row r="3551">
          <cell r="C3551">
            <v>208489</v>
          </cell>
          <cell r="D3551" t="str">
            <v>NU.OR 309</v>
          </cell>
        </row>
        <row r="3552">
          <cell r="C3552">
            <v>309489</v>
          </cell>
          <cell r="D3552" t="str">
            <v>NU.MCG 309</v>
          </cell>
        </row>
        <row r="3553">
          <cell r="C3553">
            <v>511998</v>
          </cell>
          <cell r="D3553" t="str">
            <v>RO 14X14</v>
          </cell>
        </row>
        <row r="3554">
          <cell r="C3554">
            <v>104490</v>
          </cell>
          <cell r="D3554" t="str">
            <v>NU.IR 305</v>
          </cell>
        </row>
        <row r="3555">
          <cell r="C3555">
            <v>208490</v>
          </cell>
          <cell r="D3555" t="str">
            <v>NU.OR 305</v>
          </cell>
        </row>
        <row r="3556">
          <cell r="C3556">
            <v>309490</v>
          </cell>
          <cell r="D3556" t="str">
            <v>NU.MCG 305</v>
          </cell>
        </row>
        <row r="3557">
          <cell r="C3557">
            <v>511997</v>
          </cell>
          <cell r="D3557" t="str">
            <v>RO 9X11</v>
          </cell>
        </row>
        <row r="3558">
          <cell r="C3558">
            <v>913002</v>
          </cell>
          <cell r="D3558" t="str">
            <v>Box 75x30x75</v>
          </cell>
        </row>
        <row r="3559">
          <cell r="C3559">
            <v>104491</v>
          </cell>
          <cell r="D3559" t="str">
            <v>NU.IR 205</v>
          </cell>
        </row>
        <row r="3560">
          <cell r="C3560">
            <v>208491</v>
          </cell>
          <cell r="D3560" t="str">
            <v>NU.OR 205</v>
          </cell>
        </row>
        <row r="3561">
          <cell r="C3561">
            <v>309491</v>
          </cell>
          <cell r="D3561" t="str">
            <v>NU.MCG 205</v>
          </cell>
        </row>
        <row r="3562">
          <cell r="C3562">
            <v>913002</v>
          </cell>
          <cell r="D3562" t="str">
            <v>Box 75x30x75</v>
          </cell>
        </row>
        <row r="3563">
          <cell r="C3563">
            <v>104492</v>
          </cell>
          <cell r="D3563" t="str">
            <v>N.IR 305</v>
          </cell>
        </row>
        <row r="3564">
          <cell r="C3564">
            <v>208492</v>
          </cell>
          <cell r="D3564" t="str">
            <v>N.OR 305</v>
          </cell>
        </row>
        <row r="3565">
          <cell r="C3565">
            <v>309492</v>
          </cell>
          <cell r="D3565" t="str">
            <v>N.MCG 305</v>
          </cell>
        </row>
        <row r="3566">
          <cell r="C3566">
            <v>511992</v>
          </cell>
          <cell r="D3566" t="str">
            <v>RO 9X9</v>
          </cell>
        </row>
        <row r="3567">
          <cell r="C3567">
            <v>104493</v>
          </cell>
          <cell r="D3567" t="str">
            <v>N.IR 205</v>
          </cell>
        </row>
        <row r="3568">
          <cell r="C3568">
            <v>208493</v>
          </cell>
          <cell r="D3568" t="str">
            <v>N.OR 205</v>
          </cell>
        </row>
        <row r="3569">
          <cell r="C3569">
            <v>309493</v>
          </cell>
          <cell r="D3569" t="str">
            <v>N.MCG 205</v>
          </cell>
        </row>
        <row r="3570">
          <cell r="C3570">
            <v>511493</v>
          </cell>
          <cell r="D3570" t="str">
            <v>RO 6.5X6.5</v>
          </cell>
        </row>
        <row r="3571">
          <cell r="C3571">
            <v>208161</v>
          </cell>
          <cell r="D3571" t="str">
            <v>BR.OR 32[P]19</v>
          </cell>
        </row>
        <row r="3572">
          <cell r="C3572">
            <v>309040</v>
          </cell>
          <cell r="D3572" t="str">
            <v>BR.NCG 3222</v>
          </cell>
        </row>
        <row r="3573">
          <cell r="C3573">
            <v>511040</v>
          </cell>
          <cell r="D3573" t="str">
            <v>RO 2X11.8</v>
          </cell>
        </row>
        <row r="3574">
          <cell r="C3574">
            <v>612040.4</v>
          </cell>
          <cell r="D3574" t="str">
            <v>BR.N 3200 LMW</v>
          </cell>
        </row>
        <row r="3575">
          <cell r="C3575">
            <v>818150</v>
          </cell>
          <cell r="D3575" t="str">
            <v>3 mm Pin (BR 28[P]16)</v>
          </cell>
        </row>
        <row r="3576">
          <cell r="C3576">
            <v>208495</v>
          </cell>
          <cell r="D3576" t="str">
            <v>NB.OR 3230</v>
          </cell>
        </row>
        <row r="3577">
          <cell r="C3577">
            <v>309495</v>
          </cell>
          <cell r="D3577" t="str">
            <v>NB.MCG 3230</v>
          </cell>
        </row>
        <row r="3578">
          <cell r="C3578">
            <v>4495</v>
          </cell>
          <cell r="D3578" t="str">
            <v/>
          </cell>
        </row>
        <row r="3579">
          <cell r="C3579">
            <v>104496</v>
          </cell>
          <cell r="D3579" t="str">
            <v>NJ.IR 211</v>
          </cell>
        </row>
        <row r="3580">
          <cell r="C3580">
            <v>208496</v>
          </cell>
          <cell r="D3580" t="str">
            <v>NJ.OR 211</v>
          </cell>
        </row>
        <row r="3581">
          <cell r="C3581">
            <v>309496</v>
          </cell>
          <cell r="D3581" t="str">
            <v>NJ.MCG 211</v>
          </cell>
        </row>
        <row r="3582">
          <cell r="C3582">
            <v>511475</v>
          </cell>
          <cell r="D3582" t="str">
            <v>RO 11X11 BPM</v>
          </cell>
        </row>
        <row r="3583">
          <cell r="C3583">
            <v>208497</v>
          </cell>
          <cell r="D3583" t="str">
            <v>NB.OR 95076             F</v>
          </cell>
        </row>
        <row r="3584">
          <cell r="C3584">
            <v>309497</v>
          </cell>
          <cell r="D3584" t="str">
            <v>NB.MCG 95076</v>
          </cell>
        </row>
        <row r="3585">
          <cell r="C3585">
            <v>511436</v>
          </cell>
          <cell r="D3585" t="str">
            <v>RO 4X15.8 (CRA)</v>
          </cell>
        </row>
        <row r="3586">
          <cell r="C3586">
            <v>5221247.0199999996</v>
          </cell>
          <cell r="D3586" t="str">
            <v>O G VEEDOL SPICLE VB GRE.</v>
          </cell>
        </row>
        <row r="3587">
          <cell r="C3587">
            <v>913074</v>
          </cell>
          <cell r="D3587" t="str">
            <v>BOX R.P.C 68X150MM</v>
          </cell>
        </row>
        <row r="3588">
          <cell r="C3588">
            <v>208497.01</v>
          </cell>
          <cell r="D3588" t="str">
            <v>NB.OR 95076 TN</v>
          </cell>
        </row>
        <row r="3589">
          <cell r="C3589">
            <v>309497.01</v>
          </cell>
          <cell r="D3589" t="str">
            <v>NB.NCG 95076</v>
          </cell>
        </row>
        <row r="3590">
          <cell r="C3590">
            <v>511436</v>
          </cell>
          <cell r="D3590" t="str">
            <v>RO 4X15.8 (CRA)</v>
          </cell>
        </row>
        <row r="3591">
          <cell r="C3591">
            <v>5221247.0199999996</v>
          </cell>
          <cell r="D3591" t="str">
            <v>O G VEEDOL SPICLE VB GRE.</v>
          </cell>
        </row>
        <row r="3592">
          <cell r="C3592">
            <v>913074</v>
          </cell>
          <cell r="D3592" t="str">
            <v>BOX R.P.C 68X150MM</v>
          </cell>
        </row>
        <row r="3593">
          <cell r="C3593">
            <v>200497.11</v>
          </cell>
          <cell r="D3593" t="str">
            <v>OR.MNA6718G</v>
          </cell>
        </row>
        <row r="3594">
          <cell r="C3594">
            <v>300497.11</v>
          </cell>
          <cell r="D3594" t="str">
            <v>MCG.MNA6718G</v>
          </cell>
        </row>
        <row r="3595">
          <cell r="C3595">
            <v>500497.11</v>
          </cell>
          <cell r="D3595" t="str">
            <v>RO 5X15.862 BP</v>
          </cell>
        </row>
        <row r="3596">
          <cell r="C3596">
            <v>5221247.0199999996</v>
          </cell>
          <cell r="D3596" t="str">
            <v>O G VEEDOL SPICLE VB GRE.</v>
          </cell>
        </row>
        <row r="3597">
          <cell r="C3597">
            <v>200497.2</v>
          </cell>
          <cell r="D3597" t="str">
            <v>WE.OR 015</v>
          </cell>
        </row>
        <row r="3598">
          <cell r="C3598">
            <v>104164</v>
          </cell>
          <cell r="D3598" t="str">
            <v>BR.IR 32[P]19(26)</v>
          </cell>
        </row>
        <row r="3599">
          <cell r="C3599">
            <v>208161</v>
          </cell>
          <cell r="D3599" t="str">
            <v>BR.OR 32[P]19</v>
          </cell>
        </row>
        <row r="3600">
          <cell r="C3600">
            <v>309040</v>
          </cell>
          <cell r="D3600" t="str">
            <v>BR.NCG 3222</v>
          </cell>
        </row>
        <row r="3601">
          <cell r="C3601">
            <v>104500.01</v>
          </cell>
          <cell r="D3601" t="str">
            <v>BRI.IR 61812(61012)</v>
          </cell>
        </row>
        <row r="3602">
          <cell r="C3602">
            <v>208500.01</v>
          </cell>
          <cell r="D3602" t="str">
            <v>BRI.OR 61812(BR 101812)</v>
          </cell>
        </row>
        <row r="3603">
          <cell r="C3603">
            <v>309500.01</v>
          </cell>
          <cell r="D3603" t="str">
            <v>BRI.MCG 61812(BR 101812)</v>
          </cell>
        </row>
        <row r="3604">
          <cell r="C3604">
            <v>511502.01</v>
          </cell>
          <cell r="D3604" t="str">
            <v>RO 3.5X14.8</v>
          </cell>
        </row>
        <row r="3605">
          <cell r="C3605">
            <v>208500.01</v>
          </cell>
          <cell r="D3605" t="str">
            <v>BRI.OR 61812(BR 101812)</v>
          </cell>
        </row>
        <row r="3606">
          <cell r="C3606">
            <v>309500.01</v>
          </cell>
          <cell r="D3606" t="str">
            <v>BRI.MCG 61812(BR 101812)</v>
          </cell>
        </row>
        <row r="3607">
          <cell r="C3607">
            <v>511502.01</v>
          </cell>
          <cell r="D3607" t="str">
            <v>RO 3.5X14.8</v>
          </cell>
        </row>
        <row r="3608">
          <cell r="C3608">
            <v>913016</v>
          </cell>
          <cell r="D3608" t="str">
            <v>Box 250x40x50</v>
          </cell>
        </row>
        <row r="3609">
          <cell r="C3609">
            <v>104500.01</v>
          </cell>
          <cell r="D3609" t="str">
            <v>BRI.IR 61812(61012)</v>
          </cell>
        </row>
        <row r="3610">
          <cell r="C3610">
            <v>4501.01</v>
          </cell>
          <cell r="D3610" t="str">
            <v/>
          </cell>
        </row>
        <row r="3611">
          <cell r="C3611">
            <v>8501.01</v>
          </cell>
          <cell r="D3611" t="str">
            <v/>
          </cell>
        </row>
        <row r="3612">
          <cell r="C3612">
            <v>9501.01</v>
          </cell>
          <cell r="D3612" t="str">
            <v/>
          </cell>
        </row>
        <row r="3613">
          <cell r="C3613">
            <v>8501.01</v>
          </cell>
          <cell r="D3613" t="str">
            <v/>
          </cell>
        </row>
        <row r="3614">
          <cell r="C3614">
            <v>9501.01</v>
          </cell>
          <cell r="D3614" t="str">
            <v/>
          </cell>
        </row>
        <row r="3615">
          <cell r="C3615">
            <v>4501.01</v>
          </cell>
          <cell r="D3615" t="str">
            <v/>
          </cell>
        </row>
        <row r="3616">
          <cell r="C3616">
            <v>104502.01</v>
          </cell>
          <cell r="D3616" t="str">
            <v>BRI.IR 82012(IR 122012)</v>
          </cell>
        </row>
        <row r="3617">
          <cell r="C3617">
            <v>208502.01</v>
          </cell>
          <cell r="D3617" t="str">
            <v>BRI.OR 82012(BR 122012)</v>
          </cell>
        </row>
        <row r="3618">
          <cell r="C3618">
            <v>309502.01</v>
          </cell>
          <cell r="D3618" t="str">
            <v>BRI.MCG 82012(BR 122012)</v>
          </cell>
        </row>
        <row r="3619">
          <cell r="C3619">
            <v>511502.01</v>
          </cell>
          <cell r="D3619" t="str">
            <v>RO 3.5X14.8</v>
          </cell>
        </row>
        <row r="3620">
          <cell r="C3620">
            <v>208502.01</v>
          </cell>
          <cell r="D3620" t="str">
            <v>BRI.OR 82012(BR 122012)</v>
          </cell>
        </row>
        <row r="3621">
          <cell r="C3621">
            <v>309502.01</v>
          </cell>
          <cell r="D3621" t="str">
            <v>BRI.MCG 82012(BR 122012)</v>
          </cell>
        </row>
        <row r="3622">
          <cell r="C3622">
            <v>511502.01</v>
          </cell>
          <cell r="D3622" t="str">
            <v>RO 3.5X14.8</v>
          </cell>
        </row>
        <row r="3623">
          <cell r="C3623">
            <v>913016</v>
          </cell>
          <cell r="D3623" t="str">
            <v>Box 250x40x50</v>
          </cell>
        </row>
        <row r="3624">
          <cell r="C3624">
            <v>104502.01</v>
          </cell>
          <cell r="D3624" t="str">
            <v>BRI.IR 82012(IR 122012)</v>
          </cell>
        </row>
        <row r="3625">
          <cell r="C3625">
            <v>4503.01</v>
          </cell>
          <cell r="D3625" t="str">
            <v/>
          </cell>
        </row>
        <row r="3626">
          <cell r="C3626">
            <v>8503.01</v>
          </cell>
          <cell r="D3626" t="str">
            <v/>
          </cell>
        </row>
        <row r="3627">
          <cell r="C3627">
            <v>9503.01</v>
          </cell>
          <cell r="D3627" t="str">
            <v/>
          </cell>
        </row>
        <row r="3628">
          <cell r="C3628">
            <v>8503.01</v>
          </cell>
          <cell r="D3628" t="str">
            <v/>
          </cell>
        </row>
        <row r="3629">
          <cell r="C3629">
            <v>9503.01</v>
          </cell>
          <cell r="D3629" t="str">
            <v/>
          </cell>
        </row>
        <row r="3630">
          <cell r="C3630">
            <v>4503.01</v>
          </cell>
          <cell r="D3630" t="str">
            <v/>
          </cell>
        </row>
        <row r="3631">
          <cell r="C3631">
            <v>104504.01</v>
          </cell>
          <cell r="D3631" t="str">
            <v>BRI.IR 102212(IR 142212)</v>
          </cell>
        </row>
        <row r="3632">
          <cell r="C3632">
            <v>208504.01</v>
          </cell>
          <cell r="D3632" t="str">
            <v>BRI.OR 102212(BR 142212)</v>
          </cell>
        </row>
        <row r="3633">
          <cell r="C3633">
            <v>309504.01</v>
          </cell>
          <cell r="D3633" t="str">
            <v>BRI.MCG 102212(142212)</v>
          </cell>
        </row>
        <row r="3634">
          <cell r="C3634">
            <v>511504.01</v>
          </cell>
          <cell r="D3634" t="str">
            <v>RO 4X14.8</v>
          </cell>
        </row>
        <row r="3635">
          <cell r="C3635">
            <v>913016</v>
          </cell>
          <cell r="D3635" t="str">
            <v>Box 250x40x50</v>
          </cell>
        </row>
        <row r="3636">
          <cell r="C3636">
            <v>208504.01</v>
          </cell>
          <cell r="D3636" t="str">
            <v>BRI.OR 102212(BR 142212)</v>
          </cell>
        </row>
        <row r="3637">
          <cell r="C3637">
            <v>309504.01</v>
          </cell>
          <cell r="D3637" t="str">
            <v>BRI.MCG 102212(142212)</v>
          </cell>
        </row>
        <row r="3638">
          <cell r="C3638">
            <v>511504.01</v>
          </cell>
          <cell r="D3638" t="str">
            <v>RO 4X14.8</v>
          </cell>
        </row>
        <row r="3639">
          <cell r="C3639">
            <v>913016</v>
          </cell>
          <cell r="D3639" t="str">
            <v>Box 250x40x50</v>
          </cell>
        </row>
        <row r="3640">
          <cell r="C3640">
            <v>104504.01</v>
          </cell>
          <cell r="D3640" t="str">
            <v>BRI.IR 102212(IR 142212)</v>
          </cell>
        </row>
        <row r="3641">
          <cell r="C3641">
            <v>104505.01</v>
          </cell>
          <cell r="D3641" t="str">
            <v>BRI.IR 102216(IR 142216)</v>
          </cell>
        </row>
        <row r="3642">
          <cell r="C3642">
            <v>208505.01</v>
          </cell>
          <cell r="D3642" t="str">
            <v>BRI.OR 102216(BR 142216)</v>
          </cell>
        </row>
        <row r="3643">
          <cell r="C3643">
            <v>309505.01</v>
          </cell>
          <cell r="D3643" t="str">
            <v>BRI.MCG 102216(142216)</v>
          </cell>
        </row>
        <row r="3644">
          <cell r="C3644">
            <v>511282.01</v>
          </cell>
          <cell r="D3644" t="str">
            <v>RO 4X19.8</v>
          </cell>
        </row>
        <row r="3645">
          <cell r="C3645">
            <v>208505.01</v>
          </cell>
          <cell r="D3645" t="str">
            <v>BRI.OR 102216(BR 142216)</v>
          </cell>
        </row>
        <row r="3646">
          <cell r="C3646">
            <v>309505.01</v>
          </cell>
          <cell r="D3646" t="str">
            <v>BRI.MCG 102216(142216)</v>
          </cell>
        </row>
        <row r="3647">
          <cell r="C3647">
            <v>511282.01</v>
          </cell>
          <cell r="D3647" t="str">
            <v>RO 4X19.8</v>
          </cell>
        </row>
        <row r="3648">
          <cell r="C3648">
            <v>913010</v>
          </cell>
          <cell r="D3648" t="str">
            <v>Box 150x40x50</v>
          </cell>
        </row>
        <row r="3649">
          <cell r="C3649">
            <v>104505.01</v>
          </cell>
          <cell r="D3649" t="str">
            <v>BRI.IR 102216(IR 142216)</v>
          </cell>
        </row>
        <row r="3650">
          <cell r="C3650">
            <v>104506.01</v>
          </cell>
          <cell r="D3650" t="str">
            <v>BRI.IR 122412</v>
          </cell>
        </row>
        <row r="3651">
          <cell r="C3651">
            <v>208506.01</v>
          </cell>
          <cell r="D3651" t="str">
            <v>BRI.OR 122412(BR 162412)</v>
          </cell>
        </row>
        <row r="3652">
          <cell r="C3652">
            <v>309506.01</v>
          </cell>
          <cell r="D3652" t="str">
            <v>BRI.MCG 122412(BR 162412)</v>
          </cell>
        </row>
        <row r="3653">
          <cell r="C3653">
            <v>511504.01</v>
          </cell>
          <cell r="D3653" t="str">
            <v>RO 4X14.8</v>
          </cell>
        </row>
        <row r="3654">
          <cell r="C3654">
            <v>913010</v>
          </cell>
          <cell r="D3654" t="str">
            <v>Box 150x40x50</v>
          </cell>
        </row>
        <row r="3655">
          <cell r="C3655">
            <v>208506.01</v>
          </cell>
          <cell r="D3655" t="str">
            <v>BRI.OR 122412(BR 162412)</v>
          </cell>
        </row>
        <row r="3656">
          <cell r="C3656">
            <v>309506.01</v>
          </cell>
          <cell r="D3656" t="str">
            <v>BRI.MCG 122412(BR 162412)</v>
          </cell>
        </row>
        <row r="3657">
          <cell r="C3657">
            <v>511504.01</v>
          </cell>
          <cell r="D3657" t="str">
            <v>RO 4X14.8</v>
          </cell>
        </row>
        <row r="3658">
          <cell r="C3658">
            <v>913010</v>
          </cell>
          <cell r="D3658" t="str">
            <v>Box 150x40x50</v>
          </cell>
        </row>
        <row r="3659">
          <cell r="C3659">
            <v>104506.01</v>
          </cell>
          <cell r="D3659" t="str">
            <v>BRI.IR 122412</v>
          </cell>
        </row>
        <row r="3660">
          <cell r="C3660">
            <v>104507.01</v>
          </cell>
          <cell r="D3660" t="str">
            <v>BRI.IR 122416</v>
          </cell>
        </row>
        <row r="3661">
          <cell r="C3661">
            <v>208507.01</v>
          </cell>
          <cell r="D3661" t="str">
            <v>BRI.OR 122416</v>
          </cell>
        </row>
        <row r="3662">
          <cell r="C3662">
            <v>309507.01</v>
          </cell>
          <cell r="D3662" t="str">
            <v>BRI.MCG 122416(BR 162416)</v>
          </cell>
        </row>
        <row r="3663">
          <cell r="C3663">
            <v>511282.01</v>
          </cell>
          <cell r="D3663" t="str">
            <v>RO 4X19.8</v>
          </cell>
        </row>
        <row r="3664">
          <cell r="C3664">
            <v>208507.01</v>
          </cell>
          <cell r="D3664" t="str">
            <v>BRI.OR 122416</v>
          </cell>
        </row>
        <row r="3665">
          <cell r="C3665">
            <v>309507.01</v>
          </cell>
          <cell r="D3665" t="str">
            <v>BRI.MCG 122416(BR 162416)</v>
          </cell>
        </row>
        <row r="3666">
          <cell r="C3666">
            <v>511282.01</v>
          </cell>
          <cell r="D3666" t="str">
            <v>RO 4X19.8</v>
          </cell>
        </row>
        <row r="3667">
          <cell r="C3667">
            <v>104507.01</v>
          </cell>
          <cell r="D3667" t="str">
            <v>BRI.IR 122416</v>
          </cell>
        </row>
        <row r="3668">
          <cell r="C3668">
            <v>100507.1</v>
          </cell>
          <cell r="D3668" t="str">
            <v>BRI.IR 122420</v>
          </cell>
        </row>
        <row r="3669">
          <cell r="C3669">
            <v>104508.01</v>
          </cell>
          <cell r="D3669" t="str">
            <v>BRI.IR 142616(IR 141816)</v>
          </cell>
        </row>
        <row r="3670">
          <cell r="C3670">
            <v>208508.01</v>
          </cell>
          <cell r="D3670" t="str">
            <v>BRI.OR 142616(BR 182616)</v>
          </cell>
        </row>
        <row r="3671">
          <cell r="C3671">
            <v>309508.01</v>
          </cell>
          <cell r="D3671" t="str">
            <v>BRI.MCG 142616(BR 182616)</v>
          </cell>
        </row>
        <row r="3672">
          <cell r="C3672">
            <v>511282.01</v>
          </cell>
          <cell r="D3672" t="str">
            <v>RO 4X19.8</v>
          </cell>
        </row>
        <row r="3673">
          <cell r="C3673">
            <v>208508.01</v>
          </cell>
          <cell r="D3673" t="str">
            <v>BRI.OR 142616(BR 182616)</v>
          </cell>
        </row>
        <row r="3674">
          <cell r="C3674">
            <v>309508.01</v>
          </cell>
          <cell r="D3674" t="str">
            <v>BRI.MCG 142616(BR 182616)</v>
          </cell>
        </row>
        <row r="3675">
          <cell r="C3675">
            <v>511282.01</v>
          </cell>
          <cell r="D3675" t="str">
            <v>RO 4X19.8</v>
          </cell>
        </row>
        <row r="3676">
          <cell r="C3676">
            <v>913006</v>
          </cell>
          <cell r="D3676" t="str">
            <v>Box 50x35x50</v>
          </cell>
        </row>
        <row r="3677">
          <cell r="C3677">
            <v>104508.01</v>
          </cell>
          <cell r="D3677" t="str">
            <v>BRI.IR 142616(IR 141816)</v>
          </cell>
        </row>
        <row r="3678">
          <cell r="C3678">
            <v>104509.01</v>
          </cell>
          <cell r="D3678" t="str">
            <v>BRI.IR 142620(IR 141820)</v>
          </cell>
        </row>
        <row r="3679">
          <cell r="C3679">
            <v>208509.01</v>
          </cell>
          <cell r="D3679" t="str">
            <v>BRI.OR 142620(BR 182620)</v>
          </cell>
        </row>
        <row r="3680">
          <cell r="C3680">
            <v>309509.01</v>
          </cell>
          <cell r="D3680" t="str">
            <v>BRI.MCG 142620(BR 182620)</v>
          </cell>
        </row>
        <row r="3681">
          <cell r="C3681">
            <v>511509.01</v>
          </cell>
          <cell r="D3681" t="str">
            <v>RO 4X25.8</v>
          </cell>
        </row>
        <row r="3682">
          <cell r="C3682">
            <v>208509.01</v>
          </cell>
          <cell r="D3682" t="str">
            <v>BRI.OR 142620(BR 182620)</v>
          </cell>
        </row>
        <row r="3683">
          <cell r="C3683">
            <v>309509.01</v>
          </cell>
          <cell r="D3683" t="str">
            <v>BRI.MCG 142620(BR 182620)</v>
          </cell>
        </row>
        <row r="3684">
          <cell r="C3684">
            <v>511509.01</v>
          </cell>
          <cell r="D3684" t="str">
            <v>RO 4X25.8</v>
          </cell>
        </row>
        <row r="3685">
          <cell r="C3685">
            <v>913006</v>
          </cell>
          <cell r="D3685" t="str">
            <v>Box 50x35x50</v>
          </cell>
        </row>
        <row r="3686">
          <cell r="C3686">
            <v>104509.01</v>
          </cell>
          <cell r="D3686" t="str">
            <v>BRI.IR 142620(IR 141820)</v>
          </cell>
        </row>
        <row r="3687">
          <cell r="C3687">
            <v>4510.01</v>
          </cell>
          <cell r="D3687" t="str">
            <v/>
          </cell>
        </row>
        <row r="3688">
          <cell r="C3688">
            <v>8510.01</v>
          </cell>
          <cell r="D3688" t="str">
            <v/>
          </cell>
        </row>
        <row r="3689">
          <cell r="C3689">
            <v>9510.01</v>
          </cell>
          <cell r="D3689" t="str">
            <v/>
          </cell>
        </row>
        <row r="3690">
          <cell r="C3690">
            <v>8510.01</v>
          </cell>
          <cell r="D3690" t="str">
            <v/>
          </cell>
        </row>
        <row r="3691">
          <cell r="C3691">
            <v>9510.01</v>
          </cell>
          <cell r="D3691" t="str">
            <v/>
          </cell>
        </row>
        <row r="3692">
          <cell r="C3692">
            <v>4510.01</v>
          </cell>
          <cell r="D3692" t="str">
            <v/>
          </cell>
        </row>
        <row r="3693">
          <cell r="C3693">
            <v>208511.01</v>
          </cell>
          <cell r="D3693" t="str">
            <v>BRI.OR 162816</v>
          </cell>
        </row>
        <row r="3694">
          <cell r="C3694">
            <v>309511.01</v>
          </cell>
          <cell r="D3694" t="str">
            <v>BRI.MCG 162816(BR 202816)</v>
          </cell>
        </row>
        <row r="3695">
          <cell r="C3695">
            <v>4511.01</v>
          </cell>
          <cell r="D3695" t="str">
            <v/>
          </cell>
        </row>
        <row r="3696">
          <cell r="C3696">
            <v>511282.01</v>
          </cell>
          <cell r="D3696" t="str">
            <v>RO 4X19.8</v>
          </cell>
        </row>
        <row r="3697">
          <cell r="C3697">
            <v>208511.01</v>
          </cell>
          <cell r="D3697" t="str">
            <v>BRI.OR 162816</v>
          </cell>
        </row>
        <row r="3698">
          <cell r="C3698">
            <v>309511.01</v>
          </cell>
          <cell r="D3698" t="str">
            <v>BRI.MCG 162816(BR 202816)</v>
          </cell>
        </row>
        <row r="3699">
          <cell r="C3699">
            <v>511282.01</v>
          </cell>
          <cell r="D3699" t="str">
            <v>RO 4X19.8</v>
          </cell>
        </row>
        <row r="3700">
          <cell r="C3700">
            <v>913006</v>
          </cell>
          <cell r="D3700" t="str">
            <v>Box 50x35x50</v>
          </cell>
        </row>
        <row r="3701">
          <cell r="C3701">
            <v>104511.15</v>
          </cell>
          <cell r="D3701" t="str">
            <v>BRI.IR 162816 SP.</v>
          </cell>
        </row>
        <row r="3702">
          <cell r="C3702">
            <v>104511.15</v>
          </cell>
          <cell r="D3702" t="str">
            <v>BRI.IR 162816 SP.</v>
          </cell>
        </row>
        <row r="3703">
          <cell r="C3703">
            <v>208511.01</v>
          </cell>
          <cell r="D3703" t="str">
            <v>BRI.OR 162816</v>
          </cell>
        </row>
        <row r="3704">
          <cell r="C3704">
            <v>309511.01</v>
          </cell>
          <cell r="D3704" t="str">
            <v>BRI.MCG 162816(BR 202816)</v>
          </cell>
        </row>
        <row r="3705">
          <cell r="C3705">
            <v>511282.01</v>
          </cell>
          <cell r="D3705" t="str">
            <v>RO 4X19.8</v>
          </cell>
        </row>
        <row r="3706">
          <cell r="C3706">
            <v>913006</v>
          </cell>
          <cell r="D3706" t="str">
            <v>Box 50x35x50</v>
          </cell>
        </row>
        <row r="3707">
          <cell r="C3707">
            <v>104511.15</v>
          </cell>
          <cell r="D3707" t="str">
            <v>BRI.IR 162816 SP.</v>
          </cell>
        </row>
        <row r="3708">
          <cell r="C3708">
            <v>104512.01</v>
          </cell>
          <cell r="D3708" t="str">
            <v>BRI.IR 162820</v>
          </cell>
        </row>
        <row r="3709">
          <cell r="C3709">
            <v>208512.01</v>
          </cell>
          <cell r="D3709" t="str">
            <v>BRI.OR 162820</v>
          </cell>
        </row>
        <row r="3710">
          <cell r="C3710">
            <v>309512.01</v>
          </cell>
          <cell r="D3710" t="str">
            <v>BRI.MCG 162820</v>
          </cell>
        </row>
        <row r="3711">
          <cell r="C3711">
            <v>511509.01</v>
          </cell>
          <cell r="D3711" t="str">
            <v>RO 4X25.8</v>
          </cell>
        </row>
        <row r="3712">
          <cell r="C3712">
            <v>913006</v>
          </cell>
          <cell r="D3712" t="str">
            <v>Box 50x35x50</v>
          </cell>
        </row>
        <row r="3713">
          <cell r="C3713">
            <v>208512.01</v>
          </cell>
          <cell r="D3713" t="str">
            <v>BRI.OR 162820</v>
          </cell>
        </row>
        <row r="3714">
          <cell r="C3714">
            <v>309512.01</v>
          </cell>
          <cell r="D3714" t="str">
            <v>BRI.MCG 162820</v>
          </cell>
        </row>
        <row r="3715">
          <cell r="C3715">
            <v>511509.01</v>
          </cell>
          <cell r="D3715" t="str">
            <v>RO 4X25.8</v>
          </cell>
        </row>
        <row r="3716">
          <cell r="C3716">
            <v>913006</v>
          </cell>
          <cell r="D3716" t="str">
            <v>Box 50x35x50</v>
          </cell>
        </row>
        <row r="3717">
          <cell r="C3717">
            <v>104512.01</v>
          </cell>
          <cell r="D3717" t="str">
            <v>BRI.IR 162820</v>
          </cell>
        </row>
        <row r="3718">
          <cell r="C3718">
            <v>104513.01</v>
          </cell>
          <cell r="D3718" t="str">
            <v>BRI.IR 183016(IR 182216)</v>
          </cell>
        </row>
        <row r="3719">
          <cell r="C3719">
            <v>208513.01</v>
          </cell>
          <cell r="D3719" t="str">
            <v>BRI.OR 183016(BR 223016)</v>
          </cell>
        </row>
        <row r="3720">
          <cell r="C3720">
            <v>309513.01</v>
          </cell>
          <cell r="D3720" t="str">
            <v>BRI.MCG 183016(BR 223016)</v>
          </cell>
        </row>
        <row r="3721">
          <cell r="C3721">
            <v>511282.01</v>
          </cell>
          <cell r="D3721" t="str">
            <v>RO 4X19.8</v>
          </cell>
        </row>
        <row r="3722">
          <cell r="C3722">
            <v>913006</v>
          </cell>
          <cell r="D3722" t="str">
            <v>Box 50x35x50</v>
          </cell>
        </row>
        <row r="3723">
          <cell r="C3723">
            <v>208513.01</v>
          </cell>
          <cell r="D3723" t="str">
            <v>BRI.OR 183016(BR 223016)</v>
          </cell>
        </row>
        <row r="3724">
          <cell r="C3724">
            <v>309513.01</v>
          </cell>
          <cell r="D3724" t="str">
            <v>BRI.MCG 183016(BR 223016)</v>
          </cell>
        </row>
        <row r="3725">
          <cell r="C3725">
            <v>511282.01</v>
          </cell>
          <cell r="D3725" t="str">
            <v>RO 4X19.8</v>
          </cell>
        </row>
        <row r="3726">
          <cell r="C3726">
            <v>913006</v>
          </cell>
          <cell r="D3726" t="str">
            <v>Box 50x35x50</v>
          </cell>
        </row>
        <row r="3727">
          <cell r="C3727">
            <v>104513.01</v>
          </cell>
          <cell r="D3727" t="str">
            <v>BRI.IR 183016(IR 182216)</v>
          </cell>
        </row>
        <row r="3728">
          <cell r="C3728">
            <v>104514.01</v>
          </cell>
          <cell r="D3728" t="str">
            <v>BRI.IR 183020(IR 222220)</v>
          </cell>
        </row>
        <row r="3729">
          <cell r="C3729">
            <v>208514.01</v>
          </cell>
          <cell r="D3729" t="str">
            <v>BRI.OR 183020(IR 223020)</v>
          </cell>
        </row>
        <row r="3730">
          <cell r="C3730">
            <v>309514.01</v>
          </cell>
          <cell r="D3730" t="str">
            <v>BRI.MCG 183020(BR 223020)</v>
          </cell>
        </row>
        <row r="3731">
          <cell r="C3731">
            <v>511509.01</v>
          </cell>
          <cell r="D3731" t="str">
            <v>RO 4X25.8</v>
          </cell>
        </row>
        <row r="3732">
          <cell r="C3732">
            <v>208514.01</v>
          </cell>
          <cell r="D3732" t="str">
            <v>BRI.OR 183020(IR 223020)</v>
          </cell>
        </row>
        <row r="3733">
          <cell r="C3733">
            <v>309514.01</v>
          </cell>
          <cell r="D3733" t="str">
            <v>BRI.MCG 183020(BR 223020)</v>
          </cell>
        </row>
        <row r="3734">
          <cell r="C3734">
            <v>511509.01</v>
          </cell>
          <cell r="D3734" t="str">
            <v>RO 4X25.8</v>
          </cell>
        </row>
        <row r="3735">
          <cell r="C3735">
            <v>913006</v>
          </cell>
          <cell r="D3735" t="str">
            <v>Box 50x35x50</v>
          </cell>
        </row>
        <row r="3736">
          <cell r="C3736">
            <v>104514.01</v>
          </cell>
          <cell r="D3736" t="str">
            <v>BRI.IR 183020(IR 222220)</v>
          </cell>
        </row>
        <row r="3737">
          <cell r="C3737">
            <v>104515.01</v>
          </cell>
          <cell r="D3737" t="str">
            <v>BRI.IR 203316(IR 202416)</v>
          </cell>
        </row>
        <row r="3738">
          <cell r="C3738">
            <v>208515.01</v>
          </cell>
          <cell r="D3738" t="str">
            <v>BRI.OR 203316(BR 243316)</v>
          </cell>
        </row>
        <row r="3739">
          <cell r="C3739">
            <v>309515.01</v>
          </cell>
          <cell r="D3739" t="str">
            <v>BRI.MCG 203316(BR 243316)</v>
          </cell>
        </row>
        <row r="3740">
          <cell r="C3740">
            <v>511515.01</v>
          </cell>
          <cell r="D3740" t="str">
            <v>RO 4.5X19.8</v>
          </cell>
        </row>
        <row r="3741">
          <cell r="C3741">
            <v>208515.01</v>
          </cell>
          <cell r="D3741" t="str">
            <v>BRI.OR 203316(BR 243316)</v>
          </cell>
        </row>
        <row r="3742">
          <cell r="C3742">
            <v>309515.01</v>
          </cell>
          <cell r="D3742" t="str">
            <v>BRI.MCG 203316(BR 243316)</v>
          </cell>
        </row>
        <row r="3743">
          <cell r="C3743">
            <v>511515.01</v>
          </cell>
          <cell r="D3743" t="str">
            <v>RO 4.5X19.8</v>
          </cell>
        </row>
        <row r="3744">
          <cell r="C3744">
            <v>913006</v>
          </cell>
          <cell r="D3744" t="str">
            <v>Box 50x35x50</v>
          </cell>
        </row>
        <row r="3745">
          <cell r="C3745">
            <v>104515.01</v>
          </cell>
          <cell r="D3745" t="str">
            <v>BRI.IR 203316(IR 202416)</v>
          </cell>
        </row>
        <row r="3746">
          <cell r="C3746">
            <v>104516.01</v>
          </cell>
          <cell r="D3746" t="str">
            <v>BRI.IR 203320(IR 202420)</v>
          </cell>
        </row>
        <row r="3747">
          <cell r="C3747">
            <v>208516.01</v>
          </cell>
          <cell r="D3747" t="str">
            <v>BRI.OR 203320(BR 243320)</v>
          </cell>
        </row>
        <row r="3748">
          <cell r="C3748">
            <v>309516.01</v>
          </cell>
          <cell r="D3748" t="str">
            <v>BRI.MCG 203320(BR 243320)</v>
          </cell>
        </row>
        <row r="3749">
          <cell r="C3749">
            <v>511516.01</v>
          </cell>
          <cell r="D3749" t="str">
            <v>RO 4.5X25.8</v>
          </cell>
        </row>
        <row r="3750">
          <cell r="C3750">
            <v>208516.01</v>
          </cell>
          <cell r="D3750" t="str">
            <v>BRI.OR 203320(BR 243320)</v>
          </cell>
        </row>
        <row r="3751">
          <cell r="C3751">
            <v>309516.01</v>
          </cell>
          <cell r="D3751" t="str">
            <v>BRI.MCG 203320(BR 243320)</v>
          </cell>
        </row>
        <row r="3752">
          <cell r="C3752">
            <v>511516.01</v>
          </cell>
          <cell r="D3752" t="str">
            <v>RO 4.5X25.8</v>
          </cell>
        </row>
        <row r="3753">
          <cell r="C3753">
            <v>913006</v>
          </cell>
          <cell r="D3753" t="str">
            <v>Box 50x35x50</v>
          </cell>
        </row>
        <row r="3754">
          <cell r="C3754">
            <v>104516.01</v>
          </cell>
          <cell r="D3754" t="str">
            <v>BRI.IR 203320(IR 202420)</v>
          </cell>
        </row>
        <row r="3755">
          <cell r="C3755">
            <v>4517.01</v>
          </cell>
          <cell r="D3755" t="str">
            <v/>
          </cell>
        </row>
        <row r="3756">
          <cell r="C3756">
            <v>511515.01</v>
          </cell>
          <cell r="D3756" t="str">
            <v>RO 4.5X19.8</v>
          </cell>
        </row>
        <row r="3757">
          <cell r="C3757">
            <v>8517.01</v>
          </cell>
          <cell r="D3757" t="str">
            <v/>
          </cell>
        </row>
        <row r="3758">
          <cell r="C3758">
            <v>9517.01</v>
          </cell>
          <cell r="D3758" t="str">
            <v/>
          </cell>
        </row>
        <row r="3759">
          <cell r="C3759">
            <v>511515.01</v>
          </cell>
          <cell r="D3759" t="str">
            <v>RO 4.5X19.8</v>
          </cell>
        </row>
        <row r="3760">
          <cell r="C3760">
            <v>8517.01</v>
          </cell>
          <cell r="D3760" t="str">
            <v/>
          </cell>
        </row>
        <row r="3761">
          <cell r="C3761">
            <v>9517.01</v>
          </cell>
          <cell r="D3761" t="str">
            <v/>
          </cell>
        </row>
        <row r="3762">
          <cell r="C3762">
            <v>4517.01</v>
          </cell>
          <cell r="D3762" t="str">
            <v/>
          </cell>
        </row>
        <row r="3763">
          <cell r="C3763">
            <v>4518.01</v>
          </cell>
          <cell r="D3763" t="str">
            <v/>
          </cell>
        </row>
        <row r="3764">
          <cell r="C3764">
            <v>511516.01</v>
          </cell>
          <cell r="D3764" t="str">
            <v>RO 4.5X25.8</v>
          </cell>
        </row>
        <row r="3765">
          <cell r="C3765">
            <v>8518.01</v>
          </cell>
          <cell r="D3765" t="str">
            <v/>
          </cell>
        </row>
        <row r="3766">
          <cell r="C3766">
            <v>9518.01</v>
          </cell>
          <cell r="D3766" t="str">
            <v/>
          </cell>
        </row>
        <row r="3767">
          <cell r="C3767">
            <v>511516.01</v>
          </cell>
          <cell r="D3767" t="str">
            <v>RO 4.5X25.8</v>
          </cell>
        </row>
        <row r="3768">
          <cell r="C3768">
            <v>8518.01</v>
          </cell>
          <cell r="D3768" t="str">
            <v/>
          </cell>
        </row>
        <row r="3769">
          <cell r="C3769">
            <v>9518.01</v>
          </cell>
          <cell r="D3769" t="str">
            <v/>
          </cell>
        </row>
        <row r="3770">
          <cell r="C3770">
            <v>4518.01</v>
          </cell>
          <cell r="D3770" t="str">
            <v/>
          </cell>
        </row>
        <row r="3771">
          <cell r="C3771">
            <v>4519.01</v>
          </cell>
          <cell r="D3771" t="str">
            <v/>
          </cell>
        </row>
        <row r="3772">
          <cell r="C3772">
            <v>511515.01</v>
          </cell>
          <cell r="D3772" t="str">
            <v>RO 4.5X19.8</v>
          </cell>
        </row>
        <row r="3773">
          <cell r="C3773">
            <v>8519.01</v>
          </cell>
          <cell r="D3773" t="str">
            <v/>
          </cell>
        </row>
        <row r="3774">
          <cell r="C3774">
            <v>9519.01</v>
          </cell>
          <cell r="D3774" t="str">
            <v/>
          </cell>
        </row>
        <row r="3775">
          <cell r="C3775">
            <v>511515.01</v>
          </cell>
          <cell r="D3775" t="str">
            <v>RO 4.5X19.8</v>
          </cell>
        </row>
        <row r="3776">
          <cell r="C3776">
            <v>8519.01</v>
          </cell>
          <cell r="D3776" t="str">
            <v/>
          </cell>
        </row>
        <row r="3777">
          <cell r="C3777">
            <v>9519.01</v>
          </cell>
          <cell r="D3777" t="str">
            <v/>
          </cell>
        </row>
        <row r="3778">
          <cell r="C3778">
            <v>4519.01</v>
          </cell>
          <cell r="D3778" t="str">
            <v/>
          </cell>
        </row>
        <row r="3779">
          <cell r="C3779">
            <v>4520.01</v>
          </cell>
          <cell r="D3779" t="str">
            <v/>
          </cell>
        </row>
        <row r="3780">
          <cell r="C3780">
            <v>511516.01</v>
          </cell>
          <cell r="D3780" t="str">
            <v>RO 4.5X25.8</v>
          </cell>
        </row>
        <row r="3781">
          <cell r="C3781">
            <v>8520.01</v>
          </cell>
          <cell r="D3781" t="str">
            <v/>
          </cell>
        </row>
        <row r="3782">
          <cell r="C3782">
            <v>9520.01</v>
          </cell>
          <cell r="D3782" t="str">
            <v/>
          </cell>
        </row>
        <row r="3783">
          <cell r="C3783">
            <v>511516.01</v>
          </cell>
          <cell r="D3783" t="str">
            <v>RO 4.5X25.8</v>
          </cell>
        </row>
        <row r="3784">
          <cell r="C3784">
            <v>8520.01</v>
          </cell>
          <cell r="D3784" t="str">
            <v/>
          </cell>
        </row>
        <row r="3785">
          <cell r="C3785">
            <v>9520.01</v>
          </cell>
          <cell r="D3785" t="str">
            <v/>
          </cell>
        </row>
        <row r="3786">
          <cell r="C3786">
            <v>4520.01</v>
          </cell>
          <cell r="D3786" t="str">
            <v/>
          </cell>
        </row>
        <row r="3787">
          <cell r="C3787">
            <v>4521.01</v>
          </cell>
          <cell r="D3787" t="str">
            <v/>
          </cell>
        </row>
        <row r="3788">
          <cell r="C3788">
            <v>8521.01</v>
          </cell>
          <cell r="D3788" t="str">
            <v/>
          </cell>
        </row>
        <row r="3789">
          <cell r="C3789">
            <v>9521.01</v>
          </cell>
          <cell r="D3789" t="str">
            <v/>
          </cell>
        </row>
        <row r="3790">
          <cell r="C3790">
            <v>8521.01</v>
          </cell>
          <cell r="D3790" t="str">
            <v/>
          </cell>
        </row>
        <row r="3791">
          <cell r="C3791">
            <v>9521.01</v>
          </cell>
          <cell r="D3791" t="str">
            <v/>
          </cell>
        </row>
        <row r="3792">
          <cell r="C3792">
            <v>4521.01</v>
          </cell>
          <cell r="D3792" t="str">
            <v/>
          </cell>
        </row>
        <row r="3793">
          <cell r="C3793">
            <v>4522.01</v>
          </cell>
          <cell r="D3793" t="str">
            <v/>
          </cell>
        </row>
        <row r="3794">
          <cell r="C3794">
            <v>8522.01</v>
          </cell>
          <cell r="D3794" t="str">
            <v/>
          </cell>
        </row>
        <row r="3795">
          <cell r="C3795">
            <v>9522.01</v>
          </cell>
          <cell r="D3795" t="str">
            <v/>
          </cell>
        </row>
        <row r="3796">
          <cell r="C3796">
            <v>8522.01</v>
          </cell>
          <cell r="D3796" t="str">
            <v/>
          </cell>
        </row>
        <row r="3797">
          <cell r="C3797">
            <v>9522.01</v>
          </cell>
          <cell r="D3797" t="str">
            <v/>
          </cell>
        </row>
        <row r="3798">
          <cell r="C3798">
            <v>4522.01</v>
          </cell>
          <cell r="D3798" t="str">
            <v/>
          </cell>
        </row>
        <row r="3799">
          <cell r="C3799">
            <v>4523.01</v>
          </cell>
          <cell r="D3799" t="str">
            <v/>
          </cell>
        </row>
        <row r="3800">
          <cell r="C3800">
            <v>8523.01</v>
          </cell>
          <cell r="D3800" t="str">
            <v/>
          </cell>
        </row>
        <row r="3801">
          <cell r="C3801">
            <v>9523.01</v>
          </cell>
          <cell r="D3801" t="str">
            <v/>
          </cell>
        </row>
        <row r="3802">
          <cell r="C3802">
            <v>8523.01</v>
          </cell>
          <cell r="D3802" t="str">
            <v/>
          </cell>
        </row>
        <row r="3803">
          <cell r="C3803">
            <v>9523.01</v>
          </cell>
          <cell r="D3803" t="str">
            <v/>
          </cell>
        </row>
        <row r="3804">
          <cell r="C3804">
            <v>4523.01</v>
          </cell>
          <cell r="D3804" t="str">
            <v/>
          </cell>
        </row>
        <row r="3805">
          <cell r="C3805">
            <v>4524.01</v>
          </cell>
          <cell r="D3805" t="str">
            <v/>
          </cell>
        </row>
        <row r="3806">
          <cell r="C3806">
            <v>511515.01</v>
          </cell>
          <cell r="D3806" t="str">
            <v>RO 4.5X19.8</v>
          </cell>
        </row>
        <row r="3807">
          <cell r="C3807">
            <v>8524.01</v>
          </cell>
          <cell r="D3807" t="str">
            <v/>
          </cell>
        </row>
        <row r="3808">
          <cell r="C3808">
            <v>9524.01</v>
          </cell>
          <cell r="D3808" t="str">
            <v/>
          </cell>
        </row>
        <row r="3809">
          <cell r="C3809">
            <v>511515.01</v>
          </cell>
          <cell r="D3809" t="str">
            <v>RO 4.5X19.8</v>
          </cell>
        </row>
        <row r="3810">
          <cell r="C3810">
            <v>8524.01</v>
          </cell>
          <cell r="D3810" t="str">
            <v/>
          </cell>
        </row>
        <row r="3811">
          <cell r="C3811">
            <v>9524.01</v>
          </cell>
          <cell r="D3811" t="str">
            <v/>
          </cell>
        </row>
        <row r="3812">
          <cell r="C3812">
            <v>4524.01</v>
          </cell>
          <cell r="D3812" t="str">
            <v/>
          </cell>
        </row>
        <row r="3813">
          <cell r="C3813">
            <v>4525.01</v>
          </cell>
          <cell r="D3813" t="str">
            <v/>
          </cell>
        </row>
        <row r="3814">
          <cell r="C3814">
            <v>511516.01</v>
          </cell>
          <cell r="D3814" t="str">
            <v>RO 4.5X25.8</v>
          </cell>
        </row>
        <row r="3815">
          <cell r="C3815">
            <v>8525.01</v>
          </cell>
          <cell r="D3815" t="str">
            <v/>
          </cell>
        </row>
        <row r="3816">
          <cell r="C3816">
            <v>9525.01</v>
          </cell>
          <cell r="D3816" t="str">
            <v/>
          </cell>
        </row>
        <row r="3817">
          <cell r="C3817">
            <v>511516.01</v>
          </cell>
          <cell r="D3817" t="str">
            <v>RO 4.5X25.8</v>
          </cell>
        </row>
        <row r="3818">
          <cell r="C3818">
            <v>8525.01</v>
          </cell>
          <cell r="D3818" t="str">
            <v/>
          </cell>
        </row>
        <row r="3819">
          <cell r="C3819">
            <v>9525.01</v>
          </cell>
          <cell r="D3819" t="str">
            <v/>
          </cell>
        </row>
        <row r="3820">
          <cell r="C3820">
            <v>4525.01</v>
          </cell>
          <cell r="D3820" t="str">
            <v/>
          </cell>
        </row>
        <row r="3821">
          <cell r="C3821">
            <v>4526.01</v>
          </cell>
          <cell r="D3821" t="str">
            <v/>
          </cell>
        </row>
        <row r="3822">
          <cell r="C3822">
            <v>8526.01</v>
          </cell>
          <cell r="D3822" t="str">
            <v/>
          </cell>
        </row>
        <row r="3823">
          <cell r="C3823">
            <v>9526.01</v>
          </cell>
          <cell r="D3823" t="str">
            <v/>
          </cell>
        </row>
        <row r="3824">
          <cell r="C3824">
            <v>8526.01</v>
          </cell>
          <cell r="D3824" t="str">
            <v/>
          </cell>
        </row>
        <row r="3825">
          <cell r="C3825">
            <v>9526.01</v>
          </cell>
          <cell r="D3825" t="str">
            <v/>
          </cell>
        </row>
        <row r="3826">
          <cell r="C3826">
            <v>4526.01</v>
          </cell>
          <cell r="D3826" t="str">
            <v/>
          </cell>
        </row>
        <row r="3827">
          <cell r="C3827">
            <v>4527.01</v>
          </cell>
          <cell r="D3827" t="str">
            <v/>
          </cell>
        </row>
        <row r="3828">
          <cell r="C3828">
            <v>8527.01</v>
          </cell>
          <cell r="D3828" t="str">
            <v/>
          </cell>
        </row>
        <row r="3829">
          <cell r="C3829">
            <v>9527.01</v>
          </cell>
          <cell r="D3829" t="str">
            <v/>
          </cell>
        </row>
        <row r="3830">
          <cell r="C3830">
            <v>8527.01</v>
          </cell>
          <cell r="D3830" t="str">
            <v/>
          </cell>
        </row>
        <row r="3831">
          <cell r="C3831">
            <v>9527.01</v>
          </cell>
          <cell r="D3831" t="str">
            <v/>
          </cell>
        </row>
        <row r="3832">
          <cell r="C3832">
            <v>4527.01</v>
          </cell>
          <cell r="D3832" t="str">
            <v/>
          </cell>
        </row>
        <row r="3833">
          <cell r="C3833">
            <v>4528.01</v>
          </cell>
          <cell r="D3833" t="str">
            <v/>
          </cell>
        </row>
        <row r="3834">
          <cell r="C3834">
            <v>8528.01</v>
          </cell>
          <cell r="D3834" t="str">
            <v/>
          </cell>
        </row>
        <row r="3835">
          <cell r="C3835">
            <v>9528.01</v>
          </cell>
          <cell r="D3835" t="str">
            <v/>
          </cell>
        </row>
        <row r="3836">
          <cell r="C3836">
            <v>8528.01</v>
          </cell>
          <cell r="D3836" t="str">
            <v/>
          </cell>
        </row>
        <row r="3837">
          <cell r="C3837">
            <v>9528.01</v>
          </cell>
          <cell r="D3837" t="str">
            <v/>
          </cell>
        </row>
        <row r="3838">
          <cell r="C3838">
            <v>4528.01</v>
          </cell>
          <cell r="D3838" t="str">
            <v/>
          </cell>
        </row>
        <row r="3839">
          <cell r="C3839">
            <v>4529.01</v>
          </cell>
          <cell r="D3839" t="str">
            <v/>
          </cell>
        </row>
        <row r="3840">
          <cell r="C3840">
            <v>8529.01</v>
          </cell>
          <cell r="D3840" t="str">
            <v/>
          </cell>
        </row>
        <row r="3841">
          <cell r="C3841">
            <v>9529.01</v>
          </cell>
          <cell r="D3841" t="str">
            <v/>
          </cell>
        </row>
        <row r="3842">
          <cell r="C3842">
            <v>8529.01</v>
          </cell>
          <cell r="D3842" t="str">
            <v/>
          </cell>
        </row>
        <row r="3843">
          <cell r="C3843">
            <v>9529.01</v>
          </cell>
          <cell r="D3843" t="str">
            <v/>
          </cell>
        </row>
        <row r="3844">
          <cell r="C3844">
            <v>4529.01</v>
          </cell>
          <cell r="D3844" t="str">
            <v/>
          </cell>
        </row>
        <row r="3845">
          <cell r="C3845">
            <v>4530.01</v>
          </cell>
          <cell r="D3845" t="str">
            <v/>
          </cell>
        </row>
        <row r="3846">
          <cell r="C3846">
            <v>8530.01</v>
          </cell>
          <cell r="D3846" t="str">
            <v/>
          </cell>
        </row>
        <row r="3847">
          <cell r="C3847">
            <v>9530.01</v>
          </cell>
          <cell r="D3847" t="str">
            <v/>
          </cell>
        </row>
        <row r="3848">
          <cell r="C3848">
            <v>8530.01</v>
          </cell>
          <cell r="D3848" t="str">
            <v/>
          </cell>
        </row>
        <row r="3849">
          <cell r="C3849">
            <v>9530.01</v>
          </cell>
          <cell r="D3849" t="str">
            <v/>
          </cell>
        </row>
        <row r="3850">
          <cell r="C3850">
            <v>4530.01</v>
          </cell>
          <cell r="D3850" t="str">
            <v/>
          </cell>
        </row>
        <row r="3851">
          <cell r="C3851">
            <v>4531.01</v>
          </cell>
          <cell r="D3851" t="str">
            <v/>
          </cell>
        </row>
        <row r="3852">
          <cell r="C3852">
            <v>8531.01</v>
          </cell>
          <cell r="D3852" t="str">
            <v/>
          </cell>
        </row>
        <row r="3853">
          <cell r="C3853">
            <v>9531.01</v>
          </cell>
          <cell r="D3853" t="str">
            <v/>
          </cell>
        </row>
        <row r="3854">
          <cell r="C3854">
            <v>8531.01</v>
          </cell>
          <cell r="D3854" t="str">
            <v/>
          </cell>
        </row>
        <row r="3855">
          <cell r="C3855">
            <v>9531.01</v>
          </cell>
          <cell r="D3855" t="str">
            <v/>
          </cell>
        </row>
        <row r="3856">
          <cell r="C3856">
            <v>4531.01</v>
          </cell>
          <cell r="D3856" t="str">
            <v/>
          </cell>
        </row>
        <row r="3857">
          <cell r="C3857">
            <v>4532.01</v>
          </cell>
          <cell r="D3857" t="str">
            <v/>
          </cell>
        </row>
        <row r="3858">
          <cell r="C3858">
            <v>8532.01</v>
          </cell>
          <cell r="D3858" t="str">
            <v/>
          </cell>
        </row>
        <row r="3859">
          <cell r="C3859">
            <v>9532.01</v>
          </cell>
          <cell r="D3859" t="str">
            <v/>
          </cell>
        </row>
        <row r="3860">
          <cell r="C3860">
            <v>8532.01</v>
          </cell>
          <cell r="D3860" t="str">
            <v/>
          </cell>
        </row>
        <row r="3861">
          <cell r="C3861">
            <v>9532.01</v>
          </cell>
          <cell r="D3861" t="str">
            <v/>
          </cell>
        </row>
        <row r="3862">
          <cell r="C3862">
            <v>4532.01</v>
          </cell>
          <cell r="D3862" t="str">
            <v/>
          </cell>
        </row>
        <row r="3863">
          <cell r="C3863">
            <v>4533.01</v>
          </cell>
          <cell r="D3863" t="str">
            <v/>
          </cell>
        </row>
        <row r="3864">
          <cell r="C3864">
            <v>8533.01</v>
          </cell>
          <cell r="D3864" t="str">
            <v/>
          </cell>
        </row>
        <row r="3865">
          <cell r="C3865">
            <v>9533.01</v>
          </cell>
          <cell r="D3865" t="str">
            <v/>
          </cell>
        </row>
        <row r="3866">
          <cell r="C3866">
            <v>8533.01</v>
          </cell>
          <cell r="D3866" t="str">
            <v/>
          </cell>
        </row>
        <row r="3867">
          <cell r="C3867">
            <v>9533.01</v>
          </cell>
          <cell r="D3867" t="str">
            <v/>
          </cell>
        </row>
        <row r="3868">
          <cell r="C3868">
            <v>4533.01</v>
          </cell>
          <cell r="D3868" t="str">
            <v/>
          </cell>
        </row>
        <row r="3869">
          <cell r="C3869">
            <v>4534.01</v>
          </cell>
          <cell r="D3869" t="str">
            <v/>
          </cell>
        </row>
        <row r="3870">
          <cell r="C3870">
            <v>8534.01</v>
          </cell>
          <cell r="D3870" t="str">
            <v/>
          </cell>
        </row>
        <row r="3871">
          <cell r="C3871">
            <v>9534.01</v>
          </cell>
          <cell r="D3871" t="str">
            <v/>
          </cell>
        </row>
        <row r="3872">
          <cell r="C3872">
            <v>8534.01</v>
          </cell>
          <cell r="D3872" t="str">
            <v/>
          </cell>
        </row>
        <row r="3873">
          <cell r="C3873">
            <v>9534.01</v>
          </cell>
          <cell r="D3873" t="str">
            <v/>
          </cell>
        </row>
        <row r="3874">
          <cell r="C3874">
            <v>4534.01</v>
          </cell>
          <cell r="D3874" t="str">
            <v/>
          </cell>
        </row>
        <row r="3875">
          <cell r="C3875">
            <v>4535.01</v>
          </cell>
          <cell r="D3875" t="str">
            <v/>
          </cell>
        </row>
        <row r="3876">
          <cell r="C3876">
            <v>8535.01</v>
          </cell>
          <cell r="D3876" t="str">
            <v/>
          </cell>
        </row>
        <row r="3877">
          <cell r="C3877">
            <v>9535.01</v>
          </cell>
          <cell r="D3877" t="str">
            <v/>
          </cell>
        </row>
        <row r="3878">
          <cell r="C3878">
            <v>8535.01</v>
          </cell>
          <cell r="D3878" t="str">
            <v/>
          </cell>
        </row>
        <row r="3879">
          <cell r="C3879">
            <v>9535.01</v>
          </cell>
          <cell r="D3879" t="str">
            <v/>
          </cell>
        </row>
        <row r="3880">
          <cell r="C3880">
            <v>4535.01</v>
          </cell>
          <cell r="D3880" t="str">
            <v/>
          </cell>
        </row>
        <row r="3881">
          <cell r="C3881">
            <v>4536.01</v>
          </cell>
          <cell r="D3881" t="str">
            <v/>
          </cell>
        </row>
        <row r="3882">
          <cell r="C3882">
            <v>8536.01</v>
          </cell>
          <cell r="D3882" t="str">
            <v/>
          </cell>
        </row>
        <row r="3883">
          <cell r="C3883">
            <v>9536.01</v>
          </cell>
          <cell r="D3883" t="str">
            <v/>
          </cell>
        </row>
        <row r="3884">
          <cell r="C3884">
            <v>8536.01</v>
          </cell>
          <cell r="D3884" t="str">
            <v/>
          </cell>
        </row>
        <row r="3885">
          <cell r="C3885">
            <v>9536.01</v>
          </cell>
          <cell r="D3885" t="str">
            <v/>
          </cell>
        </row>
        <row r="3886">
          <cell r="C3886">
            <v>4536.01</v>
          </cell>
          <cell r="D3886" t="str">
            <v/>
          </cell>
        </row>
        <row r="3887">
          <cell r="C3887">
            <v>4537.01</v>
          </cell>
          <cell r="D3887" t="str">
            <v/>
          </cell>
        </row>
        <row r="3888">
          <cell r="C3888">
            <v>8537.01</v>
          </cell>
          <cell r="D3888" t="str">
            <v/>
          </cell>
        </row>
        <row r="3889">
          <cell r="C3889">
            <v>9537.01</v>
          </cell>
          <cell r="D3889" t="str">
            <v/>
          </cell>
        </row>
        <row r="3890">
          <cell r="C3890">
            <v>8537.01</v>
          </cell>
          <cell r="D3890" t="str">
            <v/>
          </cell>
        </row>
        <row r="3891">
          <cell r="C3891">
            <v>9537.01</v>
          </cell>
          <cell r="D3891" t="str">
            <v/>
          </cell>
        </row>
        <row r="3892">
          <cell r="C3892">
            <v>4537.01</v>
          </cell>
          <cell r="D3892" t="str">
            <v/>
          </cell>
        </row>
        <row r="3893">
          <cell r="C3893">
            <v>4538.01</v>
          </cell>
          <cell r="D3893" t="str">
            <v/>
          </cell>
        </row>
        <row r="3894">
          <cell r="C3894">
            <v>8538.01</v>
          </cell>
          <cell r="D3894" t="str">
            <v/>
          </cell>
        </row>
        <row r="3895">
          <cell r="C3895">
            <v>9538.01</v>
          </cell>
          <cell r="D3895" t="str">
            <v/>
          </cell>
        </row>
        <row r="3896">
          <cell r="C3896">
            <v>8538.01</v>
          </cell>
          <cell r="D3896" t="str">
            <v/>
          </cell>
        </row>
        <row r="3897">
          <cell r="C3897">
            <v>9538.01</v>
          </cell>
          <cell r="D3897" t="str">
            <v/>
          </cell>
        </row>
        <row r="3898">
          <cell r="C3898">
            <v>4538.01</v>
          </cell>
          <cell r="D3898" t="str">
            <v/>
          </cell>
        </row>
        <row r="3899">
          <cell r="C3899">
            <v>4539.01</v>
          </cell>
          <cell r="D3899" t="str">
            <v/>
          </cell>
        </row>
        <row r="3900">
          <cell r="C3900">
            <v>8539.01</v>
          </cell>
          <cell r="D3900" t="str">
            <v/>
          </cell>
        </row>
        <row r="3901">
          <cell r="C3901">
            <v>9539.01</v>
          </cell>
          <cell r="D3901" t="str">
            <v/>
          </cell>
        </row>
        <row r="3902">
          <cell r="C3902">
            <v>8539.01</v>
          </cell>
          <cell r="D3902" t="str">
            <v/>
          </cell>
        </row>
        <row r="3903">
          <cell r="C3903">
            <v>9539.01</v>
          </cell>
          <cell r="D3903" t="str">
            <v/>
          </cell>
        </row>
        <row r="3904">
          <cell r="C3904">
            <v>4539.01</v>
          </cell>
          <cell r="D3904" t="str">
            <v/>
          </cell>
        </row>
        <row r="3905">
          <cell r="C3905">
            <v>4540.01</v>
          </cell>
          <cell r="D3905" t="str">
            <v/>
          </cell>
        </row>
        <row r="3906">
          <cell r="C3906">
            <v>8540.01</v>
          </cell>
          <cell r="D3906" t="str">
            <v/>
          </cell>
        </row>
        <row r="3907">
          <cell r="C3907">
            <v>9540.01</v>
          </cell>
          <cell r="D3907" t="str">
            <v/>
          </cell>
        </row>
        <row r="3908">
          <cell r="C3908">
            <v>8540.01</v>
          </cell>
          <cell r="D3908" t="str">
            <v/>
          </cell>
        </row>
        <row r="3909">
          <cell r="C3909">
            <v>9540.01</v>
          </cell>
          <cell r="D3909" t="str">
            <v/>
          </cell>
        </row>
        <row r="3910">
          <cell r="C3910">
            <v>100541.01</v>
          </cell>
          <cell r="D3910" t="str">
            <v>BA-62000 CONE</v>
          </cell>
        </row>
        <row r="3911">
          <cell r="C3911">
            <v>100541.02</v>
          </cell>
          <cell r="D3911" t="str">
            <v>BB-62000 CONE</v>
          </cell>
        </row>
        <row r="3912">
          <cell r="C3912">
            <v>200541.01</v>
          </cell>
          <cell r="D3912" t="str">
            <v>BC-62000 CUP</v>
          </cell>
        </row>
        <row r="3913">
          <cell r="C3913">
            <v>200541.02</v>
          </cell>
          <cell r="D3913" t="str">
            <v>BD-62000 CUP</v>
          </cell>
        </row>
        <row r="3914">
          <cell r="C3914">
            <v>300541.01</v>
          </cell>
          <cell r="D3914" t="str">
            <v>62000 CAGE</v>
          </cell>
        </row>
        <row r="3915">
          <cell r="C3915">
            <v>511170.1</v>
          </cell>
          <cell r="D3915" t="str">
            <v>4.762 MM (3/16") G10</v>
          </cell>
        </row>
        <row r="3916">
          <cell r="C3916">
            <v>100541.01</v>
          </cell>
          <cell r="D3916" t="str">
            <v>BA-62000 CONE</v>
          </cell>
        </row>
        <row r="3917">
          <cell r="C3917">
            <v>200541.01</v>
          </cell>
          <cell r="D3917" t="str">
            <v>BC-62000 CUP</v>
          </cell>
        </row>
        <row r="3918">
          <cell r="C3918">
            <v>300541.01</v>
          </cell>
          <cell r="D3918" t="str">
            <v>62000 CAGE</v>
          </cell>
        </row>
        <row r="3919">
          <cell r="C3919">
            <v>511170</v>
          </cell>
          <cell r="D3919" t="str">
            <v>BALL 3/16" (IS:2898-1976)</v>
          </cell>
        </row>
        <row r="3920">
          <cell r="C3920">
            <v>100541.02</v>
          </cell>
          <cell r="D3920" t="str">
            <v>BB-62000 CONE</v>
          </cell>
        </row>
        <row r="3921">
          <cell r="C3921">
            <v>200541.01</v>
          </cell>
          <cell r="D3921" t="str">
            <v>BC-62000 CUP</v>
          </cell>
        </row>
        <row r="3922">
          <cell r="C3922">
            <v>300541.01</v>
          </cell>
          <cell r="D3922" t="str">
            <v>62000 CAGE</v>
          </cell>
        </row>
        <row r="3923">
          <cell r="C3923">
            <v>511170</v>
          </cell>
          <cell r="D3923" t="str">
            <v>BALL 3/16" (IS:2898-1976)</v>
          </cell>
        </row>
        <row r="3924">
          <cell r="C3924">
            <v>100542.01</v>
          </cell>
          <cell r="D3924" t="str">
            <v>HA-63000 CONE</v>
          </cell>
        </row>
        <row r="3925">
          <cell r="C3925">
            <v>100542.02</v>
          </cell>
          <cell r="D3925" t="str">
            <v>HC-63000 CONE</v>
          </cell>
        </row>
        <row r="3926">
          <cell r="C3926">
            <v>200542.01</v>
          </cell>
          <cell r="D3926" t="str">
            <v>HB-63000 CUP</v>
          </cell>
        </row>
        <row r="3927">
          <cell r="C3927">
            <v>300542.01</v>
          </cell>
          <cell r="D3927" t="str">
            <v>63000 CAGE</v>
          </cell>
        </row>
        <row r="3928">
          <cell r="C3928">
            <v>511170.1</v>
          </cell>
          <cell r="D3928" t="str">
            <v>4.762 MM (3/16") G10</v>
          </cell>
        </row>
        <row r="3929">
          <cell r="C3929">
            <v>100542.01</v>
          </cell>
          <cell r="D3929" t="str">
            <v>HA-63000 CONE</v>
          </cell>
        </row>
        <row r="3930">
          <cell r="C3930">
            <v>200542.01</v>
          </cell>
          <cell r="D3930" t="str">
            <v>HB-63000 CUP</v>
          </cell>
        </row>
        <row r="3931">
          <cell r="C3931">
            <v>300542.01</v>
          </cell>
          <cell r="D3931" t="str">
            <v>63000 CAGE</v>
          </cell>
        </row>
        <row r="3932">
          <cell r="C3932">
            <v>511170</v>
          </cell>
          <cell r="D3932" t="str">
            <v>BALL 3/16" (IS:2898-1976)</v>
          </cell>
        </row>
        <row r="3933">
          <cell r="C3933">
            <v>100542.02</v>
          </cell>
          <cell r="D3933" t="str">
            <v>HC-63000 CONE</v>
          </cell>
        </row>
        <row r="3934">
          <cell r="C3934">
            <v>200542.01</v>
          </cell>
          <cell r="D3934" t="str">
            <v>HB-63000 CUP</v>
          </cell>
        </row>
        <row r="3935">
          <cell r="C3935">
            <v>300542.01</v>
          </cell>
          <cell r="D3935" t="str">
            <v>63000 CAGE</v>
          </cell>
        </row>
        <row r="3936">
          <cell r="C3936">
            <v>511170</v>
          </cell>
          <cell r="D3936" t="str">
            <v>BALL 3/16" (IS:2898-1976)</v>
          </cell>
        </row>
        <row r="3937">
          <cell r="C3937">
            <v>100543.01</v>
          </cell>
          <cell r="D3937" t="str">
            <v>OB-73001 CONE</v>
          </cell>
        </row>
        <row r="3938">
          <cell r="C3938">
            <v>100543.02</v>
          </cell>
          <cell r="D3938" t="str">
            <v>OC-73001 CONE</v>
          </cell>
        </row>
        <row r="3939">
          <cell r="C3939">
            <v>200543.01</v>
          </cell>
          <cell r="D3939" t="str">
            <v>OA-73001 CUP</v>
          </cell>
        </row>
        <row r="3940">
          <cell r="C3940">
            <v>300543.01</v>
          </cell>
          <cell r="D3940" t="str">
            <v>73001 CAGE</v>
          </cell>
        </row>
        <row r="3941">
          <cell r="C3941">
            <v>511182.1</v>
          </cell>
          <cell r="D3941" t="str">
            <v>6.350 MM (1/4") G10</v>
          </cell>
        </row>
        <row r="3942">
          <cell r="C3942">
            <v>100543.01</v>
          </cell>
          <cell r="D3942" t="str">
            <v>OB-73001 CONE</v>
          </cell>
        </row>
        <row r="3943">
          <cell r="C3943">
            <v>200543.01</v>
          </cell>
          <cell r="D3943" t="str">
            <v>OA-73001 CUP</v>
          </cell>
        </row>
        <row r="3944">
          <cell r="C3944">
            <v>300543.01</v>
          </cell>
          <cell r="D3944" t="str">
            <v>73001 CAGE</v>
          </cell>
        </row>
        <row r="3945">
          <cell r="C3945">
            <v>511182</v>
          </cell>
          <cell r="D3945" t="str">
            <v>BALL 1/4" (IS:2898-1976)</v>
          </cell>
        </row>
        <row r="3946">
          <cell r="C3946">
            <v>100543.02</v>
          </cell>
          <cell r="D3946" t="str">
            <v>OC-73001 CONE</v>
          </cell>
        </row>
        <row r="3947">
          <cell r="C3947">
            <v>200543.01</v>
          </cell>
          <cell r="D3947" t="str">
            <v>OA-73001 CUP</v>
          </cell>
        </row>
        <row r="3948">
          <cell r="C3948">
            <v>300543.01</v>
          </cell>
          <cell r="D3948" t="str">
            <v>73001 CAGE</v>
          </cell>
        </row>
        <row r="3949">
          <cell r="C3949">
            <v>511182</v>
          </cell>
          <cell r="D3949" t="str">
            <v>BALL 1/4" (IS:2898-1976)</v>
          </cell>
        </row>
        <row r="3950">
          <cell r="C3950">
            <v>100543.01</v>
          </cell>
          <cell r="D3950" t="str">
            <v>OB-73001 CONE</v>
          </cell>
        </row>
        <row r="3951">
          <cell r="C3951">
            <v>100543.01</v>
          </cell>
          <cell r="D3951" t="str">
            <v>OB-73001 CONE</v>
          </cell>
        </row>
        <row r="3952">
          <cell r="C3952">
            <v>100543.02</v>
          </cell>
          <cell r="D3952" t="str">
            <v>OC-73001 CONE</v>
          </cell>
        </row>
        <row r="3953">
          <cell r="C3953">
            <v>100543.02</v>
          </cell>
          <cell r="D3953" t="str">
            <v>OC-73001 CONE</v>
          </cell>
        </row>
        <row r="3954">
          <cell r="C3954">
            <v>200543.01</v>
          </cell>
          <cell r="D3954" t="str">
            <v>OA-73001 CUP</v>
          </cell>
        </row>
        <row r="3955">
          <cell r="C3955">
            <v>200543.01</v>
          </cell>
          <cell r="D3955" t="str">
            <v>OA-73001 CUP</v>
          </cell>
        </row>
        <row r="3956">
          <cell r="C3956">
            <v>300543.01</v>
          </cell>
          <cell r="D3956" t="str">
            <v>73001 CAGE</v>
          </cell>
        </row>
        <row r="3957">
          <cell r="C3957">
            <v>300543.01</v>
          </cell>
          <cell r="D3957" t="str">
            <v>73001 CAGE</v>
          </cell>
        </row>
        <row r="3958">
          <cell r="C3958">
            <v>511182.1</v>
          </cell>
          <cell r="D3958" t="str">
            <v>6.350 MM (1/4") G10</v>
          </cell>
        </row>
        <row r="3959">
          <cell r="C3959">
            <v>511182.1</v>
          </cell>
          <cell r="D3959" t="str">
            <v>6.350 MM (1/4") G10</v>
          </cell>
        </row>
        <row r="3960">
          <cell r="C3960">
            <v>100543.01</v>
          </cell>
          <cell r="D3960" t="str">
            <v>OB-73001 CONE</v>
          </cell>
        </row>
        <row r="3961">
          <cell r="C3961">
            <v>200543.01</v>
          </cell>
          <cell r="D3961" t="str">
            <v>OA-73001 CUP</v>
          </cell>
        </row>
        <row r="3962">
          <cell r="C3962">
            <v>300543.01</v>
          </cell>
          <cell r="D3962" t="str">
            <v>73001 CAGE</v>
          </cell>
        </row>
        <row r="3963">
          <cell r="C3963">
            <v>511182</v>
          </cell>
          <cell r="D3963" t="str">
            <v>BALL 1/4" (IS:2898-1976)</v>
          </cell>
        </row>
        <row r="3964">
          <cell r="C3964">
            <v>100543.02</v>
          </cell>
          <cell r="D3964" t="str">
            <v>OC-73001 CONE</v>
          </cell>
        </row>
        <row r="3965">
          <cell r="C3965">
            <v>200543.01</v>
          </cell>
          <cell r="D3965" t="str">
            <v>OA-73001 CUP</v>
          </cell>
        </row>
        <row r="3966">
          <cell r="C3966">
            <v>300543.01</v>
          </cell>
          <cell r="D3966" t="str">
            <v>73001 CAGE</v>
          </cell>
        </row>
        <row r="3967">
          <cell r="C3967">
            <v>511182</v>
          </cell>
          <cell r="D3967" t="str">
            <v>BALL 1/4" (IS:2898-1976)</v>
          </cell>
        </row>
        <row r="3968">
          <cell r="C3968">
            <v>100544.01</v>
          </cell>
          <cell r="D3968" t="str">
            <v>HD-63003 CONE</v>
          </cell>
        </row>
        <row r="3969">
          <cell r="C3969">
            <v>100544.01</v>
          </cell>
          <cell r="D3969" t="str">
            <v>HD-63003 CONE</v>
          </cell>
        </row>
        <row r="3970">
          <cell r="C3970">
            <v>100544.02</v>
          </cell>
          <cell r="D3970" t="str">
            <v>HA-63003 CONE</v>
          </cell>
        </row>
        <row r="3971">
          <cell r="C3971">
            <v>100544.02</v>
          </cell>
          <cell r="D3971" t="str">
            <v>HA-63003 CONE</v>
          </cell>
        </row>
        <row r="3972">
          <cell r="C3972">
            <v>200544.01</v>
          </cell>
          <cell r="D3972" t="str">
            <v>HC-63003 CUP</v>
          </cell>
        </row>
        <row r="3973">
          <cell r="C3973">
            <v>200544.01</v>
          </cell>
          <cell r="D3973" t="str">
            <v>HC-63003 CUP</v>
          </cell>
        </row>
        <row r="3974">
          <cell r="C3974">
            <v>200544.02</v>
          </cell>
          <cell r="D3974" t="str">
            <v>HB-63003 CUP</v>
          </cell>
        </row>
        <row r="3975">
          <cell r="C3975">
            <v>200544.02</v>
          </cell>
          <cell r="D3975" t="str">
            <v>HB-63003 CUP</v>
          </cell>
        </row>
        <row r="3976">
          <cell r="C3976">
            <v>300544.01</v>
          </cell>
          <cell r="D3976" t="str">
            <v>HD/HC-63003 CAGE</v>
          </cell>
        </row>
        <row r="3977">
          <cell r="C3977">
            <v>300544.01</v>
          </cell>
          <cell r="D3977" t="str">
            <v>HD/HC-63003 CAGE</v>
          </cell>
        </row>
        <row r="3978">
          <cell r="C3978">
            <v>300544.02</v>
          </cell>
          <cell r="D3978" t="str">
            <v>HA/HB-63003 CAGE</v>
          </cell>
        </row>
        <row r="3979">
          <cell r="C3979">
            <v>300544.02</v>
          </cell>
          <cell r="D3979" t="str">
            <v>HA/HB-63003 CAGE</v>
          </cell>
        </row>
        <row r="3980">
          <cell r="C3980">
            <v>511182.1</v>
          </cell>
          <cell r="D3980" t="str">
            <v>6.350 MM (1/4") G10</v>
          </cell>
        </row>
        <row r="3981">
          <cell r="C3981">
            <v>511182.1</v>
          </cell>
          <cell r="D3981" t="str">
            <v>6.350 MM (1/4") G10</v>
          </cell>
        </row>
        <row r="3982">
          <cell r="C3982">
            <v>511187.1</v>
          </cell>
          <cell r="D3982" t="str">
            <v>3.969 MM (5/32") G10</v>
          </cell>
        </row>
        <row r="3983">
          <cell r="C3983">
            <v>511187.1</v>
          </cell>
          <cell r="D3983" t="str">
            <v>3.969 MM (5/32") G10</v>
          </cell>
        </row>
        <row r="3984">
          <cell r="C3984">
            <v>100544.01</v>
          </cell>
          <cell r="D3984" t="str">
            <v>HD-63003 CONE</v>
          </cell>
        </row>
        <row r="3985">
          <cell r="C3985">
            <v>200544.01</v>
          </cell>
          <cell r="D3985" t="str">
            <v>HC-63003 CUP</v>
          </cell>
        </row>
        <row r="3986">
          <cell r="C3986">
            <v>300544.01</v>
          </cell>
          <cell r="D3986" t="str">
            <v>HD/HC-63003 CAGE</v>
          </cell>
        </row>
        <row r="3987">
          <cell r="C3987">
            <v>511187</v>
          </cell>
          <cell r="D3987" t="str">
            <v>BALL 05/32"(IS:2898-1976)</v>
          </cell>
        </row>
        <row r="3988">
          <cell r="C3988">
            <v>100544.02</v>
          </cell>
          <cell r="D3988" t="str">
            <v>HA-63003 CONE</v>
          </cell>
        </row>
        <row r="3989">
          <cell r="C3989">
            <v>200544.02</v>
          </cell>
          <cell r="D3989" t="str">
            <v>HB-63003 CUP</v>
          </cell>
        </row>
        <row r="3990">
          <cell r="C3990">
            <v>300544.02</v>
          </cell>
          <cell r="D3990" t="str">
            <v>HA/HB-63003 CAGE</v>
          </cell>
        </row>
        <row r="3991">
          <cell r="C3991">
            <v>511182</v>
          </cell>
          <cell r="D3991" t="str">
            <v>BALL 1/4" (IS:2898-1976)</v>
          </cell>
        </row>
        <row r="3992">
          <cell r="C3992">
            <v>100544.01</v>
          </cell>
          <cell r="D3992" t="str">
            <v>HD-63003 CONE</v>
          </cell>
        </row>
        <row r="3993">
          <cell r="C3993">
            <v>100544.02</v>
          </cell>
          <cell r="D3993" t="str">
            <v>HA-63003 CONE</v>
          </cell>
        </row>
        <row r="3994">
          <cell r="C3994">
            <v>200544.01</v>
          </cell>
          <cell r="D3994" t="str">
            <v>HC-63003 CUP</v>
          </cell>
        </row>
        <row r="3995">
          <cell r="C3995">
            <v>200544.02</v>
          </cell>
          <cell r="D3995" t="str">
            <v>HB-63003 CUP</v>
          </cell>
        </row>
        <row r="3996">
          <cell r="C3996">
            <v>300544.02</v>
          </cell>
          <cell r="D3996" t="str">
            <v>HA/HB-63003 CAGE</v>
          </cell>
        </row>
        <row r="3997">
          <cell r="C3997">
            <v>300544.51</v>
          </cell>
          <cell r="D3997" t="str">
            <v>HD/HC-63003 CAGE   21 PCO</v>
          </cell>
        </row>
        <row r="3998">
          <cell r="C3998">
            <v>511182</v>
          </cell>
          <cell r="D3998" t="str">
            <v>BALL 1/4" (IS:2898-1976)</v>
          </cell>
        </row>
        <row r="3999">
          <cell r="C3999">
            <v>511187</v>
          </cell>
          <cell r="D3999" t="str">
            <v>BALL 05/32"(IS:2898-1976)</v>
          </cell>
        </row>
        <row r="4000">
          <cell r="C4000">
            <v>100544.01</v>
          </cell>
          <cell r="D4000" t="str">
            <v>HD-63003 CONE</v>
          </cell>
        </row>
        <row r="4001">
          <cell r="C4001">
            <v>200544.01</v>
          </cell>
          <cell r="D4001" t="str">
            <v>HC-63003 CUP</v>
          </cell>
        </row>
        <row r="4002">
          <cell r="C4002">
            <v>300544.51</v>
          </cell>
          <cell r="D4002" t="str">
            <v>HD/HC-63003 CAGE   21 PCO</v>
          </cell>
        </row>
        <row r="4003">
          <cell r="C4003">
            <v>511187</v>
          </cell>
          <cell r="D4003" t="str">
            <v>BALL 05/32"(IS:2898-1976)</v>
          </cell>
        </row>
        <row r="4004">
          <cell r="C4004">
            <v>100545.01</v>
          </cell>
          <cell r="D4004" t="str">
            <v>YA-66000 CONE</v>
          </cell>
        </row>
        <row r="4005">
          <cell r="C4005">
            <v>100545.02</v>
          </cell>
          <cell r="D4005" t="str">
            <v>YC-66000 CONE</v>
          </cell>
        </row>
        <row r="4006">
          <cell r="C4006">
            <v>200545.01</v>
          </cell>
          <cell r="D4006" t="str">
            <v>YB-66000 CUP</v>
          </cell>
        </row>
        <row r="4007">
          <cell r="C4007">
            <v>200545.02</v>
          </cell>
          <cell r="D4007" t="str">
            <v>YD-66000 CUP</v>
          </cell>
        </row>
        <row r="4008">
          <cell r="C4008">
            <v>300545.01</v>
          </cell>
          <cell r="D4008" t="str">
            <v>YA/YB-66000 CAGE</v>
          </cell>
        </row>
        <row r="4009">
          <cell r="C4009">
            <v>300545.02</v>
          </cell>
          <cell r="D4009" t="str">
            <v>YC/YD-66000 CAGE</v>
          </cell>
        </row>
        <row r="4010">
          <cell r="C4010">
            <v>511170</v>
          </cell>
          <cell r="D4010" t="str">
            <v>BALL 3/16" (IS:2898-1976)</v>
          </cell>
        </row>
        <row r="4011">
          <cell r="C4011">
            <v>511182</v>
          </cell>
          <cell r="D4011" t="str">
            <v>BALL 1/4" (IS:2898-1976)</v>
          </cell>
        </row>
        <row r="4012">
          <cell r="C4012">
            <v>100545.01</v>
          </cell>
          <cell r="D4012" t="str">
            <v>YA-66000 CONE</v>
          </cell>
        </row>
        <row r="4013">
          <cell r="C4013">
            <v>200545.01</v>
          </cell>
          <cell r="D4013" t="str">
            <v>YB-66000 CUP</v>
          </cell>
        </row>
        <row r="4014">
          <cell r="C4014">
            <v>300545.01</v>
          </cell>
          <cell r="D4014" t="str">
            <v>YA/YB-66000 CAGE</v>
          </cell>
        </row>
        <row r="4015">
          <cell r="C4015">
            <v>511170</v>
          </cell>
          <cell r="D4015" t="str">
            <v>BALL 3/16" (IS:2898-1976)</v>
          </cell>
        </row>
        <row r="4016">
          <cell r="C4016">
            <v>100545.02</v>
          </cell>
          <cell r="D4016" t="str">
            <v>YC-66000 CONE</v>
          </cell>
        </row>
        <row r="4017">
          <cell r="C4017">
            <v>200545.02</v>
          </cell>
          <cell r="D4017" t="str">
            <v>YD-66000 CUP</v>
          </cell>
        </row>
        <row r="4018">
          <cell r="C4018">
            <v>300545.02</v>
          </cell>
          <cell r="D4018" t="str">
            <v>YC/YD-66000 CAGE</v>
          </cell>
        </row>
        <row r="4019">
          <cell r="C4019">
            <v>511182</v>
          </cell>
          <cell r="D4019" t="str">
            <v>BALL 1/4" (IS:2898-1976)</v>
          </cell>
        </row>
        <row r="4020">
          <cell r="C4020">
            <v>100544.01</v>
          </cell>
          <cell r="D4020" t="str">
            <v>HD-63003 CONE</v>
          </cell>
        </row>
        <row r="4021">
          <cell r="C4021">
            <v>100544.01</v>
          </cell>
          <cell r="D4021" t="str">
            <v>HD-63003 CONE</v>
          </cell>
        </row>
        <row r="4022">
          <cell r="C4022">
            <v>100544.02</v>
          </cell>
          <cell r="D4022" t="str">
            <v>HA-63003 CONE</v>
          </cell>
        </row>
        <row r="4023">
          <cell r="C4023">
            <v>100544.02</v>
          </cell>
          <cell r="D4023" t="str">
            <v>HA-63003 CONE</v>
          </cell>
        </row>
        <row r="4024">
          <cell r="C4024">
            <v>200544.01</v>
          </cell>
          <cell r="D4024" t="str">
            <v>HC-63003 CUP</v>
          </cell>
        </row>
        <row r="4025">
          <cell r="C4025">
            <v>200544.01</v>
          </cell>
          <cell r="D4025" t="str">
            <v>HC-63003 CUP</v>
          </cell>
        </row>
        <row r="4026">
          <cell r="C4026">
            <v>200544.02</v>
          </cell>
          <cell r="D4026" t="str">
            <v>HB-63003 CUP</v>
          </cell>
        </row>
        <row r="4027">
          <cell r="C4027">
            <v>200544.02</v>
          </cell>
          <cell r="D4027" t="str">
            <v>HB-63003 CUP</v>
          </cell>
        </row>
        <row r="4028">
          <cell r="C4028">
            <v>300544.01</v>
          </cell>
          <cell r="D4028" t="str">
            <v>HD/HC-63003 CAGE</v>
          </cell>
        </row>
        <row r="4029">
          <cell r="C4029">
            <v>300544.02</v>
          </cell>
          <cell r="D4029" t="str">
            <v>HA/HB-63003 CAGE</v>
          </cell>
        </row>
        <row r="4030">
          <cell r="C4030">
            <v>300544.02</v>
          </cell>
          <cell r="D4030" t="str">
            <v>HA/HB-63003 CAGE</v>
          </cell>
        </row>
        <row r="4031">
          <cell r="C4031">
            <v>300544.51</v>
          </cell>
          <cell r="D4031" t="str">
            <v>HD/HC-63003 CAGE   21 PCO</v>
          </cell>
        </row>
        <row r="4032">
          <cell r="C4032">
            <v>511182</v>
          </cell>
          <cell r="D4032" t="str">
            <v>BALL 1/4" (IS:2898-1976)</v>
          </cell>
        </row>
        <row r="4033">
          <cell r="C4033">
            <v>511182.1</v>
          </cell>
          <cell r="D4033" t="str">
            <v>6.350 MM (1/4") G10</v>
          </cell>
        </row>
        <row r="4034">
          <cell r="C4034">
            <v>511187</v>
          </cell>
          <cell r="D4034" t="str">
            <v>BALL 05/32"(IS:2898-1976)</v>
          </cell>
        </row>
        <row r="4035">
          <cell r="C4035">
            <v>511187.1</v>
          </cell>
          <cell r="D4035" t="str">
            <v>3.969 MM (5/32") G10</v>
          </cell>
        </row>
        <row r="4036">
          <cell r="C4036">
            <v>1422550</v>
          </cell>
          <cell r="D4036" t="str">
            <v>22218 MATERIAL</v>
          </cell>
        </row>
        <row r="4037">
          <cell r="C4037">
            <v>104551</v>
          </cell>
          <cell r="D4037" t="str">
            <v>IR 22205                F</v>
          </cell>
        </row>
        <row r="4038">
          <cell r="C4038">
            <v>208551</v>
          </cell>
          <cell r="D4038" t="str">
            <v>OR 22205                F</v>
          </cell>
        </row>
        <row r="4039">
          <cell r="C4039">
            <v>309551</v>
          </cell>
          <cell r="D4039" t="str">
            <v>MCG 22205</v>
          </cell>
        </row>
        <row r="4040">
          <cell r="C4040">
            <v>511551</v>
          </cell>
          <cell r="D4040" t="str">
            <v>RO 6.515X6.4(R 19.6)</v>
          </cell>
        </row>
        <row r="4041">
          <cell r="C4041">
            <v>717551</v>
          </cell>
          <cell r="D4041" t="str">
            <v>RING 22205</v>
          </cell>
        </row>
        <row r="4042">
          <cell r="C4042">
            <v>913021</v>
          </cell>
          <cell r="D4042" t="str">
            <v>Box 55X20X55</v>
          </cell>
        </row>
        <row r="4043">
          <cell r="C4043">
            <v>104551.4</v>
          </cell>
          <cell r="D4043" t="str">
            <v>IR 22205 LMW            F</v>
          </cell>
        </row>
        <row r="4044">
          <cell r="C4044">
            <v>208551.4</v>
          </cell>
          <cell r="D4044" t="str">
            <v>OR 22205 LMW            F</v>
          </cell>
        </row>
        <row r="4045">
          <cell r="C4045">
            <v>309551.40000000002</v>
          </cell>
          <cell r="D4045" t="str">
            <v>MCG 22205 LMW</v>
          </cell>
        </row>
        <row r="4046">
          <cell r="C4046">
            <v>511551.4</v>
          </cell>
          <cell r="D4046" t="str">
            <v>RO 7.8X6.9 (R 23.3)</v>
          </cell>
        </row>
        <row r="4047">
          <cell r="C4047">
            <v>104552</v>
          </cell>
          <cell r="D4047" t="str">
            <v>IR 22206                F</v>
          </cell>
        </row>
        <row r="4048">
          <cell r="C4048">
            <v>208552</v>
          </cell>
          <cell r="D4048" t="str">
            <v>OR 22206                F</v>
          </cell>
        </row>
        <row r="4049">
          <cell r="C4049">
            <v>309552</v>
          </cell>
          <cell r="D4049" t="str">
            <v>MCG 22206</v>
          </cell>
        </row>
        <row r="4050">
          <cell r="C4050">
            <v>511552</v>
          </cell>
          <cell r="D4050" t="str">
            <v>RO 8X7.2(R 26.07)</v>
          </cell>
        </row>
        <row r="4051">
          <cell r="C4051">
            <v>913022</v>
          </cell>
          <cell r="D4051" t="str">
            <v>Box 65X25X65</v>
          </cell>
        </row>
        <row r="4052">
          <cell r="C4052">
            <v>104552.01</v>
          </cell>
          <cell r="D4052" t="str">
            <v>IR 549157 D             F</v>
          </cell>
        </row>
        <row r="4053">
          <cell r="C4053">
            <v>208552</v>
          </cell>
          <cell r="D4053" t="str">
            <v>OR 22206                F</v>
          </cell>
        </row>
        <row r="4054">
          <cell r="C4054">
            <v>309552.01</v>
          </cell>
          <cell r="D4054" t="str">
            <v>NCG 549157 D</v>
          </cell>
        </row>
        <row r="4055">
          <cell r="C4055">
            <v>511552</v>
          </cell>
          <cell r="D4055" t="str">
            <v>RO 8X7.2(R 26.07)</v>
          </cell>
        </row>
        <row r="4056">
          <cell r="C4056">
            <v>913022</v>
          </cell>
          <cell r="D4056" t="str">
            <v>Box 65X25X65</v>
          </cell>
        </row>
        <row r="4057">
          <cell r="C4057">
            <v>104552.4</v>
          </cell>
          <cell r="D4057" t="str">
            <v>IR 22206(409680800)LMW  F</v>
          </cell>
        </row>
        <row r="4058">
          <cell r="C4058">
            <v>208552.4</v>
          </cell>
          <cell r="D4058" t="str">
            <v>OR 22206(409680800)LMW  F</v>
          </cell>
        </row>
        <row r="4059">
          <cell r="C4059">
            <v>309552.40000000002</v>
          </cell>
          <cell r="D4059" t="str">
            <v>MCG 22206(409680800)LMW</v>
          </cell>
        </row>
        <row r="4060">
          <cell r="C4060">
            <v>511552.4</v>
          </cell>
          <cell r="D4060" t="str">
            <v>RO 8.7X7.8(R 26.645)</v>
          </cell>
        </row>
        <row r="4061">
          <cell r="C4061">
            <v>104553</v>
          </cell>
          <cell r="D4061" t="str">
            <v>IR 22207                F</v>
          </cell>
        </row>
        <row r="4062">
          <cell r="C4062">
            <v>208553</v>
          </cell>
          <cell r="D4062" t="str">
            <v>OR 22207                F</v>
          </cell>
        </row>
        <row r="4063">
          <cell r="C4063">
            <v>309553</v>
          </cell>
          <cell r="D4063" t="str">
            <v>MCG 22207</v>
          </cell>
        </row>
        <row r="4064">
          <cell r="C4064">
            <v>511553</v>
          </cell>
          <cell r="D4064" t="str">
            <v>RO 9X8.2(R 26.665)</v>
          </cell>
        </row>
        <row r="4065">
          <cell r="C4065">
            <v>717553</v>
          </cell>
          <cell r="D4065" t="str">
            <v>RING 22207</v>
          </cell>
        </row>
        <row r="4066">
          <cell r="C4066">
            <v>913023</v>
          </cell>
          <cell r="D4066" t="str">
            <v>Box 75X25X75</v>
          </cell>
        </row>
        <row r="4067">
          <cell r="C4067">
            <v>104554</v>
          </cell>
          <cell r="D4067" t="str">
            <v>IR 22208                F</v>
          </cell>
        </row>
        <row r="4068">
          <cell r="C4068">
            <v>208554</v>
          </cell>
          <cell r="D4068" t="str">
            <v>OR 22208                F</v>
          </cell>
        </row>
        <row r="4069">
          <cell r="C4069">
            <v>309554</v>
          </cell>
          <cell r="D4069" t="str">
            <v>MCG 22208</v>
          </cell>
        </row>
        <row r="4070">
          <cell r="C4070">
            <v>511554</v>
          </cell>
          <cell r="D4070" t="str">
            <v>RO 10X8.350(R 31.330)</v>
          </cell>
        </row>
        <row r="4071">
          <cell r="C4071">
            <v>717554</v>
          </cell>
          <cell r="D4071" t="str">
            <v>RING 22208</v>
          </cell>
        </row>
        <row r="4072">
          <cell r="C4072">
            <v>913024</v>
          </cell>
          <cell r="D4072" t="str">
            <v>Box 85X25X85</v>
          </cell>
        </row>
        <row r="4073">
          <cell r="C4073">
            <v>104555</v>
          </cell>
          <cell r="D4073" t="str">
            <v>IR 22209                F</v>
          </cell>
        </row>
        <row r="4074">
          <cell r="C4074">
            <v>208555</v>
          </cell>
          <cell r="D4074" t="str">
            <v>OR 22209                F</v>
          </cell>
        </row>
        <row r="4075">
          <cell r="C4075">
            <v>309555</v>
          </cell>
          <cell r="D4075" t="str">
            <v>MCG 22209</v>
          </cell>
        </row>
        <row r="4076">
          <cell r="C4076">
            <v>511555</v>
          </cell>
          <cell r="D4076" t="str">
            <v>RO 10X8.300(R 33.000)</v>
          </cell>
        </row>
        <row r="4077">
          <cell r="C4077">
            <v>717555</v>
          </cell>
          <cell r="D4077" t="str">
            <v>RING 22209</v>
          </cell>
        </row>
        <row r="4078">
          <cell r="C4078">
            <v>913025</v>
          </cell>
          <cell r="D4078" t="str">
            <v>Box 90X30X90</v>
          </cell>
        </row>
        <row r="4079">
          <cell r="C4079">
            <v>104556</v>
          </cell>
          <cell r="D4079" t="str">
            <v>IR 22210                F</v>
          </cell>
        </row>
        <row r="4080">
          <cell r="C4080">
            <v>208556</v>
          </cell>
          <cell r="D4080" t="str">
            <v>OR 22210                F</v>
          </cell>
        </row>
        <row r="4081">
          <cell r="C4081">
            <v>309556</v>
          </cell>
          <cell r="D4081" t="str">
            <v>MCG 22210</v>
          </cell>
        </row>
        <row r="4082">
          <cell r="C4082">
            <v>511556</v>
          </cell>
          <cell r="D4082" t="str">
            <v>RO 10X8.300(R 31.000)</v>
          </cell>
        </row>
        <row r="4083">
          <cell r="C4083">
            <v>913026</v>
          </cell>
          <cell r="D4083" t="str">
            <v>Box 95X25X95</v>
          </cell>
        </row>
        <row r="4084">
          <cell r="C4084">
            <v>104557</v>
          </cell>
          <cell r="D4084" t="str">
            <v>IR 22211                F</v>
          </cell>
        </row>
        <row r="4085">
          <cell r="C4085">
            <v>208557</v>
          </cell>
          <cell r="D4085" t="str">
            <v>OR 22211                F</v>
          </cell>
        </row>
        <row r="4086">
          <cell r="C4086">
            <v>309557</v>
          </cell>
          <cell r="D4086" t="str">
            <v>MCG 22211</v>
          </cell>
        </row>
        <row r="4087">
          <cell r="C4087">
            <v>511557</v>
          </cell>
          <cell r="D4087" t="str">
            <v>RO 12.06X9.15(R 36.35)</v>
          </cell>
        </row>
        <row r="4088">
          <cell r="C4088">
            <v>717557</v>
          </cell>
          <cell r="D4088" t="str">
            <v>RING 22211</v>
          </cell>
        </row>
        <row r="4089">
          <cell r="C4089">
            <v>913027</v>
          </cell>
          <cell r="D4089" t="str">
            <v>Box 105X30X105</v>
          </cell>
        </row>
        <row r="4090">
          <cell r="C4090">
            <v>104557.01</v>
          </cell>
          <cell r="D4090" t="str">
            <v>IR 22211 K              F</v>
          </cell>
        </row>
        <row r="4091">
          <cell r="C4091">
            <v>208557</v>
          </cell>
          <cell r="D4091" t="str">
            <v>OR 22211                F</v>
          </cell>
        </row>
        <row r="4092">
          <cell r="C4092">
            <v>309557</v>
          </cell>
          <cell r="D4092" t="str">
            <v>MCG 22211</v>
          </cell>
        </row>
        <row r="4093">
          <cell r="C4093">
            <v>511557</v>
          </cell>
          <cell r="D4093" t="str">
            <v>RO 12.06X9.15(R 36.35)</v>
          </cell>
        </row>
        <row r="4094">
          <cell r="C4094">
            <v>717557</v>
          </cell>
          <cell r="D4094" t="str">
            <v>RING 22211</v>
          </cell>
        </row>
        <row r="4095">
          <cell r="C4095">
            <v>913027</v>
          </cell>
          <cell r="D4095" t="str">
            <v>Box 105X30X105</v>
          </cell>
        </row>
        <row r="4096">
          <cell r="C4096">
            <v>104557.1</v>
          </cell>
          <cell r="D4096" t="str">
            <v>IR 22211 SPL</v>
          </cell>
        </row>
        <row r="4097">
          <cell r="C4097">
            <v>208557.1</v>
          </cell>
          <cell r="D4097" t="str">
            <v>OR 22211 SPL</v>
          </cell>
        </row>
        <row r="4098">
          <cell r="C4098">
            <v>309557.09999999998</v>
          </cell>
          <cell r="D4098" t="str">
            <v>MCG 22211  SPL</v>
          </cell>
        </row>
        <row r="4099">
          <cell r="C4099">
            <v>511557.1</v>
          </cell>
          <cell r="D4099" t="str">
            <v>RO 12.3X9.9(R 45)</v>
          </cell>
        </row>
        <row r="4100">
          <cell r="C4100">
            <v>913027</v>
          </cell>
          <cell r="D4100" t="str">
            <v>Box 105X30X105</v>
          </cell>
        </row>
        <row r="4101">
          <cell r="C4101">
            <v>104557</v>
          </cell>
          <cell r="D4101" t="str">
            <v>IR 22211                F</v>
          </cell>
        </row>
        <row r="4102">
          <cell r="C4102">
            <v>208557</v>
          </cell>
          <cell r="D4102" t="str">
            <v>OR 22211                F</v>
          </cell>
        </row>
        <row r="4103">
          <cell r="C4103">
            <v>309557</v>
          </cell>
          <cell r="D4103" t="str">
            <v>MCG 22211</v>
          </cell>
        </row>
        <row r="4104">
          <cell r="C4104">
            <v>511557</v>
          </cell>
          <cell r="D4104" t="str">
            <v>RO 12.06X9.15(R 36.35)</v>
          </cell>
        </row>
        <row r="4105">
          <cell r="C4105">
            <v>717557</v>
          </cell>
          <cell r="D4105" t="str">
            <v>RING 22211</v>
          </cell>
        </row>
        <row r="4106">
          <cell r="C4106">
            <v>913027</v>
          </cell>
          <cell r="D4106" t="str">
            <v>Box 105X30X105</v>
          </cell>
        </row>
        <row r="4107">
          <cell r="C4107">
            <v>100557.31</v>
          </cell>
          <cell r="D4107" t="str">
            <v>IR.22211 MB</v>
          </cell>
        </row>
        <row r="4108">
          <cell r="C4108">
            <v>200557.31</v>
          </cell>
          <cell r="D4108" t="str">
            <v>OR.22211 MB</v>
          </cell>
        </row>
        <row r="4109">
          <cell r="C4109">
            <v>300557.31</v>
          </cell>
          <cell r="D4109" t="str">
            <v>MCG.22211 MB</v>
          </cell>
        </row>
        <row r="4110">
          <cell r="C4110">
            <v>500557.31</v>
          </cell>
          <cell r="D4110" t="str">
            <v>RO 11.5X9 R 44</v>
          </cell>
        </row>
        <row r="4111">
          <cell r="C4111">
            <v>104557.1</v>
          </cell>
          <cell r="D4111" t="str">
            <v>IR 22211 SPL</v>
          </cell>
        </row>
        <row r="4112">
          <cell r="C4112">
            <v>104557.1</v>
          </cell>
          <cell r="D4112" t="str">
            <v>IR 22211 SPL</v>
          </cell>
        </row>
        <row r="4113">
          <cell r="C4113">
            <v>208557.1</v>
          </cell>
          <cell r="D4113" t="str">
            <v>OR 22211 SPL</v>
          </cell>
        </row>
        <row r="4114">
          <cell r="C4114">
            <v>208557.1</v>
          </cell>
          <cell r="D4114" t="str">
            <v>OR 22211 SPL</v>
          </cell>
        </row>
        <row r="4115">
          <cell r="C4115">
            <v>309557.09999999998</v>
          </cell>
          <cell r="D4115" t="str">
            <v>MCG 22211  SPL</v>
          </cell>
        </row>
        <row r="4116">
          <cell r="C4116">
            <v>309557.09999999998</v>
          </cell>
          <cell r="D4116" t="str">
            <v>MCG 22211  SPL</v>
          </cell>
        </row>
        <row r="4117">
          <cell r="C4117">
            <v>511557.1</v>
          </cell>
          <cell r="D4117" t="str">
            <v>RO 12.3X9.9(R 45)</v>
          </cell>
        </row>
        <row r="4118">
          <cell r="C4118">
            <v>511557.1</v>
          </cell>
          <cell r="D4118" t="str">
            <v>RO 12.3X9.9(R 45)</v>
          </cell>
        </row>
        <row r="4119">
          <cell r="C4119">
            <v>100558</v>
          </cell>
          <cell r="D4119" t="str">
            <v>IR 22212  E/C3</v>
          </cell>
        </row>
        <row r="4120">
          <cell r="C4120">
            <v>100558</v>
          </cell>
          <cell r="D4120" t="str">
            <v>IR 22212  E/C3</v>
          </cell>
        </row>
        <row r="4121">
          <cell r="C4121">
            <v>200558</v>
          </cell>
          <cell r="D4121" t="str">
            <v>OR 22212 E/C3</v>
          </cell>
        </row>
        <row r="4122">
          <cell r="C4122">
            <v>200558</v>
          </cell>
          <cell r="D4122" t="str">
            <v>OR 22212 E/C3</v>
          </cell>
        </row>
        <row r="4123">
          <cell r="C4123">
            <v>300558</v>
          </cell>
          <cell r="D4123" t="str">
            <v>MCG 22212 E/C3</v>
          </cell>
        </row>
        <row r="4124">
          <cell r="C4124">
            <v>300558</v>
          </cell>
          <cell r="D4124" t="str">
            <v>MCG 22212 E/C3</v>
          </cell>
        </row>
        <row r="4125">
          <cell r="C4125">
            <v>500558</v>
          </cell>
          <cell r="D4125" t="str">
            <v>RO 12.6X10.3 (R 48)</v>
          </cell>
        </row>
        <row r="4126">
          <cell r="C4126">
            <v>500558</v>
          </cell>
          <cell r="D4126" t="str">
            <v>RO 12.6X10.3 (R 48)</v>
          </cell>
        </row>
        <row r="4127">
          <cell r="C4127">
            <v>100558</v>
          </cell>
          <cell r="D4127" t="str">
            <v>IR 22212  E/C3</v>
          </cell>
        </row>
        <row r="4128">
          <cell r="C4128">
            <v>200558</v>
          </cell>
          <cell r="D4128" t="str">
            <v>OR 22212 E/C3</v>
          </cell>
        </row>
        <row r="4129">
          <cell r="C4129">
            <v>300558</v>
          </cell>
          <cell r="D4129" t="str">
            <v>MCG 22212 E/C3</v>
          </cell>
        </row>
        <row r="4130">
          <cell r="C4130">
            <v>500558</v>
          </cell>
          <cell r="D4130" t="str">
            <v>RO 12.6X10.3 (R 48)</v>
          </cell>
        </row>
        <row r="4131">
          <cell r="C4131">
            <v>104559</v>
          </cell>
          <cell r="D4131" t="str">
            <v>IR 21304                F</v>
          </cell>
        </row>
        <row r="4132">
          <cell r="C4132">
            <v>208559</v>
          </cell>
          <cell r="D4132" t="str">
            <v>OR 21304                F</v>
          </cell>
        </row>
        <row r="4133">
          <cell r="C4133">
            <v>309559</v>
          </cell>
          <cell r="D4133" t="str">
            <v>MCG 21304</v>
          </cell>
        </row>
        <row r="4134">
          <cell r="C4134">
            <v>511559</v>
          </cell>
          <cell r="D4134" t="str">
            <v>RO 6.3X5(R 19)</v>
          </cell>
        </row>
        <row r="4135">
          <cell r="C4135">
            <v>717559</v>
          </cell>
          <cell r="D4135" t="str">
            <v>RING 21304</v>
          </cell>
        </row>
        <row r="4136">
          <cell r="C4136">
            <v>913021</v>
          </cell>
          <cell r="D4136" t="str">
            <v>Box 55X20X55</v>
          </cell>
        </row>
        <row r="4137">
          <cell r="C4137">
            <v>104560</v>
          </cell>
          <cell r="D4137" t="str">
            <v>IR 21305                F</v>
          </cell>
        </row>
        <row r="4138">
          <cell r="C4138">
            <v>208560</v>
          </cell>
          <cell r="D4138" t="str">
            <v>OR 21305                F</v>
          </cell>
        </row>
        <row r="4139">
          <cell r="C4139">
            <v>309560</v>
          </cell>
          <cell r="D4139" t="str">
            <v>MCG 21305</v>
          </cell>
        </row>
        <row r="4140">
          <cell r="C4140">
            <v>511560</v>
          </cell>
          <cell r="D4140" t="str">
            <v>RO 8.030X5.560(R 19.615)</v>
          </cell>
        </row>
        <row r="4141">
          <cell r="C4141">
            <v>717560</v>
          </cell>
          <cell r="D4141" t="str">
            <v>RING 21305</v>
          </cell>
        </row>
        <row r="4142">
          <cell r="C4142">
            <v>913022</v>
          </cell>
          <cell r="D4142" t="str">
            <v>Box 65X25X65</v>
          </cell>
        </row>
        <row r="4143">
          <cell r="C4143">
            <v>104561</v>
          </cell>
          <cell r="D4143" t="str">
            <v>IR 21306                F</v>
          </cell>
        </row>
        <row r="4144">
          <cell r="C4144">
            <v>208561</v>
          </cell>
          <cell r="D4144" t="str">
            <v>OR 21306                F</v>
          </cell>
        </row>
        <row r="4145">
          <cell r="C4145">
            <v>309561</v>
          </cell>
          <cell r="D4145" t="str">
            <v>MCG 21306</v>
          </cell>
        </row>
        <row r="4146">
          <cell r="C4146">
            <v>511561</v>
          </cell>
          <cell r="D4146" t="str">
            <v>RO 8.3X6.7(R 36.35)</v>
          </cell>
        </row>
        <row r="4147">
          <cell r="C4147">
            <v>717561</v>
          </cell>
          <cell r="D4147" t="str">
            <v>RING 21306</v>
          </cell>
        </row>
        <row r="4148">
          <cell r="C4148">
            <v>913023</v>
          </cell>
          <cell r="D4148" t="str">
            <v>Box 75X25X75</v>
          </cell>
        </row>
        <row r="4149">
          <cell r="C4149">
            <v>104562</v>
          </cell>
          <cell r="D4149" t="str">
            <v>IR 21307                F</v>
          </cell>
        </row>
        <row r="4150">
          <cell r="C4150">
            <v>208562</v>
          </cell>
          <cell r="D4150" t="str">
            <v>OR 21307                F</v>
          </cell>
        </row>
        <row r="4151">
          <cell r="C4151">
            <v>309562</v>
          </cell>
          <cell r="D4151" t="str">
            <v>MCG 21307</v>
          </cell>
        </row>
        <row r="4152">
          <cell r="C4152">
            <v>511562</v>
          </cell>
          <cell r="D4152" t="str">
            <v>RO 9.8X7.05(R 31.7)</v>
          </cell>
        </row>
        <row r="4153">
          <cell r="C4153">
            <v>717562</v>
          </cell>
          <cell r="D4153" t="str">
            <v>RING 21307</v>
          </cell>
        </row>
        <row r="4154">
          <cell r="C4154">
            <v>913024</v>
          </cell>
          <cell r="D4154" t="str">
            <v>Box 85X25X85</v>
          </cell>
        </row>
        <row r="4155">
          <cell r="C4155">
            <v>104563</v>
          </cell>
          <cell r="D4155" t="str">
            <v>IR 21308                F</v>
          </cell>
        </row>
        <row r="4156">
          <cell r="C4156">
            <v>208563</v>
          </cell>
          <cell r="D4156" t="str">
            <v>OR 21308                F</v>
          </cell>
        </row>
        <row r="4157">
          <cell r="C4157">
            <v>309563</v>
          </cell>
          <cell r="D4157" t="str">
            <v>MCG 21308</v>
          </cell>
        </row>
        <row r="4158">
          <cell r="C4158">
            <v>511563</v>
          </cell>
          <cell r="D4158" t="str">
            <v>RO 10X8.3(R 31.73)</v>
          </cell>
        </row>
        <row r="4159">
          <cell r="C4159">
            <v>717563</v>
          </cell>
          <cell r="D4159" t="str">
            <v>RING 21308</v>
          </cell>
        </row>
        <row r="4160">
          <cell r="C4160">
            <v>913026</v>
          </cell>
          <cell r="D4160" t="str">
            <v>Box 95X25X95</v>
          </cell>
        </row>
        <row r="4161">
          <cell r="C4161">
            <v>104564</v>
          </cell>
          <cell r="D4161" t="str">
            <v>IR 21309                F</v>
          </cell>
        </row>
        <row r="4162">
          <cell r="C4162">
            <v>208557.1</v>
          </cell>
          <cell r="D4162" t="str">
            <v>OR 22211 SPL</v>
          </cell>
        </row>
        <row r="4163">
          <cell r="C4163">
            <v>309557.09999999998</v>
          </cell>
          <cell r="D4163" t="str">
            <v>MCG 22211  SPL</v>
          </cell>
        </row>
        <row r="4164">
          <cell r="C4164">
            <v>511557.1</v>
          </cell>
          <cell r="D4164" t="str">
            <v>RO 12.3X9.9(R 45)</v>
          </cell>
        </row>
        <row r="4165">
          <cell r="C4165">
            <v>104565</v>
          </cell>
          <cell r="D4165" t="str">
            <v>IR 21310                F</v>
          </cell>
        </row>
        <row r="4166">
          <cell r="C4166">
            <v>208565</v>
          </cell>
          <cell r="D4166" t="str">
            <v>OR 21310                F</v>
          </cell>
        </row>
        <row r="4167">
          <cell r="C4167">
            <v>309565</v>
          </cell>
          <cell r="D4167" t="str">
            <v>MCG 21310</v>
          </cell>
        </row>
        <row r="4168">
          <cell r="C4168">
            <v>511565</v>
          </cell>
          <cell r="D4168" t="str">
            <v>RO 12.380X9.5(R 41.55)</v>
          </cell>
        </row>
        <row r="4169">
          <cell r="C4169">
            <v>913028</v>
          </cell>
          <cell r="D4169" t="str">
            <v>Box 115X30X115</v>
          </cell>
        </row>
        <row r="4170">
          <cell r="C4170">
            <v>104566</v>
          </cell>
          <cell r="D4170" t="str">
            <v>IR 21311                F</v>
          </cell>
        </row>
        <row r="4171">
          <cell r="C4171">
            <v>208566</v>
          </cell>
          <cell r="D4171" t="str">
            <v>OR 21311                F</v>
          </cell>
        </row>
        <row r="4172">
          <cell r="C4172">
            <v>309566</v>
          </cell>
          <cell r="D4172" t="str">
            <v>MCG 21311</v>
          </cell>
        </row>
        <row r="4173">
          <cell r="C4173">
            <v>511566</v>
          </cell>
          <cell r="D4173" t="str">
            <v>RO 12.6X10.350(R 48.250)</v>
          </cell>
        </row>
        <row r="4174">
          <cell r="C4174">
            <v>717566</v>
          </cell>
          <cell r="D4174" t="str">
            <v>RING 21311</v>
          </cell>
        </row>
        <row r="4175">
          <cell r="C4175">
            <v>104566</v>
          </cell>
          <cell r="D4175" t="str">
            <v>IR 21311                F</v>
          </cell>
        </row>
        <row r="4176">
          <cell r="C4176">
            <v>208566</v>
          </cell>
          <cell r="D4176" t="str">
            <v>OR 21311                F</v>
          </cell>
        </row>
        <row r="4177">
          <cell r="C4177">
            <v>309566</v>
          </cell>
          <cell r="D4177" t="str">
            <v>MCG 21311</v>
          </cell>
        </row>
        <row r="4178">
          <cell r="C4178">
            <v>511566</v>
          </cell>
          <cell r="D4178" t="str">
            <v>RO 12.6X10.350(R 48.250)</v>
          </cell>
        </row>
        <row r="4179">
          <cell r="C4179">
            <v>717566</v>
          </cell>
          <cell r="D4179" t="str">
            <v>RING 21311</v>
          </cell>
        </row>
        <row r="4180">
          <cell r="C4180">
            <v>104567</v>
          </cell>
          <cell r="D4180" t="str">
            <v>IR 21312                F</v>
          </cell>
        </row>
        <row r="4181">
          <cell r="C4181">
            <v>208567</v>
          </cell>
          <cell r="D4181" t="str">
            <v>OR 21312                F</v>
          </cell>
        </row>
        <row r="4182">
          <cell r="C4182">
            <v>309567</v>
          </cell>
          <cell r="D4182" t="str">
            <v>MCG 21312</v>
          </cell>
        </row>
        <row r="4183">
          <cell r="C4183">
            <v>511567</v>
          </cell>
          <cell r="D4183" t="str">
            <v>RO 14.550X11.9(R 48)</v>
          </cell>
        </row>
        <row r="4184">
          <cell r="C4184">
            <v>100568</v>
          </cell>
          <cell r="D4184" t="str">
            <v>IR.22310</v>
          </cell>
        </row>
        <row r="4185">
          <cell r="C4185">
            <v>200568</v>
          </cell>
          <cell r="D4185" t="str">
            <v>OR.22310</v>
          </cell>
        </row>
        <row r="4186">
          <cell r="C4186">
            <v>300568</v>
          </cell>
          <cell r="D4186" t="str">
            <v>MCG.22310</v>
          </cell>
        </row>
        <row r="4187">
          <cell r="C4187">
            <v>500568</v>
          </cell>
          <cell r="D4187" t="str">
            <v>RO 15.60X15.60 (R 48.5)</v>
          </cell>
        </row>
        <row r="4188">
          <cell r="C4188">
            <v>700568</v>
          </cell>
          <cell r="D4188" t="str">
            <v>WASHER.22310</v>
          </cell>
        </row>
        <row r="4189">
          <cell r="C4189">
            <v>208572</v>
          </cell>
          <cell r="D4189" t="str">
            <v>WS 81118                F</v>
          </cell>
        </row>
        <row r="4190">
          <cell r="C4190">
            <v>208572.01</v>
          </cell>
          <cell r="D4190" t="str">
            <v>GS 81118                F</v>
          </cell>
        </row>
        <row r="4191">
          <cell r="C4191">
            <v>208572</v>
          </cell>
          <cell r="D4191" t="str">
            <v>WS 81118                F</v>
          </cell>
        </row>
        <row r="4192">
          <cell r="C4192">
            <v>208572.01</v>
          </cell>
          <cell r="D4192" t="str">
            <v>GS 81118                F</v>
          </cell>
        </row>
        <row r="4193">
          <cell r="C4193">
            <v>208572</v>
          </cell>
          <cell r="D4193" t="str">
            <v>WS 81118                F</v>
          </cell>
        </row>
        <row r="4194">
          <cell r="C4194">
            <v>208573</v>
          </cell>
          <cell r="D4194" t="str">
            <v>WS 81117               F</v>
          </cell>
        </row>
        <row r="4195">
          <cell r="C4195">
            <v>208573.01</v>
          </cell>
          <cell r="D4195" t="str">
            <v>GS 81117                F</v>
          </cell>
        </row>
        <row r="4196">
          <cell r="C4196">
            <v>208573</v>
          </cell>
          <cell r="D4196" t="str">
            <v>WS 81117               F</v>
          </cell>
        </row>
        <row r="4197">
          <cell r="C4197">
            <v>208573.01</v>
          </cell>
          <cell r="D4197" t="str">
            <v>GS 81117                F</v>
          </cell>
        </row>
        <row r="4198">
          <cell r="C4198">
            <v>208573</v>
          </cell>
          <cell r="D4198" t="str">
            <v>WS 81117               F</v>
          </cell>
        </row>
        <row r="4199">
          <cell r="C4199">
            <v>208574</v>
          </cell>
          <cell r="D4199" t="str">
            <v>WS 81126                F</v>
          </cell>
        </row>
        <row r="4200">
          <cell r="C4200">
            <v>208574.01</v>
          </cell>
          <cell r="D4200" t="str">
            <v>GS 81126                F</v>
          </cell>
        </row>
        <row r="4201">
          <cell r="C4201">
            <v>208574</v>
          </cell>
          <cell r="D4201" t="str">
            <v>WS 81126                F</v>
          </cell>
        </row>
        <row r="4202">
          <cell r="C4202">
            <v>208574.01</v>
          </cell>
          <cell r="D4202" t="str">
            <v>GS 81126                F</v>
          </cell>
        </row>
        <row r="4203">
          <cell r="C4203">
            <v>104575</v>
          </cell>
          <cell r="D4203" t="str">
            <v>S 575 (IR 7345)</v>
          </cell>
        </row>
        <row r="4204">
          <cell r="C4204">
            <v>208577</v>
          </cell>
          <cell r="D4204" t="str">
            <v>WS 81102                F</v>
          </cell>
        </row>
        <row r="4205">
          <cell r="C4205">
            <v>208577.01</v>
          </cell>
          <cell r="D4205" t="str">
            <v>GS 81102                F</v>
          </cell>
        </row>
        <row r="4206">
          <cell r="C4206">
            <v>309577</v>
          </cell>
          <cell r="D4206" t="str">
            <v>NCG 81102</v>
          </cell>
        </row>
        <row r="4207">
          <cell r="C4207">
            <v>208577</v>
          </cell>
          <cell r="D4207" t="str">
            <v>WS 81102                F</v>
          </cell>
        </row>
        <row r="4208">
          <cell r="C4208">
            <v>208577.01</v>
          </cell>
          <cell r="D4208" t="str">
            <v>GS 81102                F</v>
          </cell>
        </row>
        <row r="4209">
          <cell r="C4209">
            <v>208578</v>
          </cell>
          <cell r="D4209" t="str">
            <v>WS 81103                F</v>
          </cell>
        </row>
        <row r="4210">
          <cell r="C4210">
            <v>208578.01</v>
          </cell>
          <cell r="D4210" t="str">
            <v>GS 81103                F</v>
          </cell>
        </row>
        <row r="4211">
          <cell r="C4211">
            <v>309578</v>
          </cell>
          <cell r="D4211" t="str">
            <v>NCG 81103</v>
          </cell>
        </row>
        <row r="4212">
          <cell r="C4212">
            <v>208578</v>
          </cell>
          <cell r="D4212" t="str">
            <v>WS 81103                F</v>
          </cell>
        </row>
        <row r="4213">
          <cell r="C4213">
            <v>208578.01</v>
          </cell>
          <cell r="D4213" t="str">
            <v>GS 81103                F</v>
          </cell>
        </row>
        <row r="4214">
          <cell r="C4214">
            <v>208579</v>
          </cell>
          <cell r="D4214" t="str">
            <v>WS 81104                F</v>
          </cell>
        </row>
        <row r="4215">
          <cell r="C4215">
            <v>208579.01</v>
          </cell>
          <cell r="D4215" t="str">
            <v>GS 81104                F</v>
          </cell>
        </row>
        <row r="4216">
          <cell r="C4216">
            <v>309579</v>
          </cell>
          <cell r="D4216" t="str">
            <v>NCG 81104</v>
          </cell>
        </row>
        <row r="4217">
          <cell r="C4217">
            <v>511579</v>
          </cell>
          <cell r="D4217" t="str">
            <v>RO 4.5X4.5</v>
          </cell>
        </row>
        <row r="4218">
          <cell r="C4218">
            <v>208579</v>
          </cell>
          <cell r="D4218" t="str">
            <v>WS 81104                F</v>
          </cell>
        </row>
        <row r="4219">
          <cell r="C4219">
            <v>208579.01</v>
          </cell>
          <cell r="D4219" t="str">
            <v>GS 81104                F</v>
          </cell>
        </row>
        <row r="4220">
          <cell r="C4220">
            <v>309579</v>
          </cell>
          <cell r="D4220" t="str">
            <v>NCG 81104</v>
          </cell>
        </row>
        <row r="4221">
          <cell r="C4221">
            <v>511579</v>
          </cell>
          <cell r="D4221" t="str">
            <v>RO 4.5X4.5</v>
          </cell>
        </row>
        <row r="4222">
          <cell r="C4222">
            <v>208580</v>
          </cell>
          <cell r="D4222" t="str">
            <v>WS 81105                F</v>
          </cell>
        </row>
        <row r="4223">
          <cell r="C4223">
            <v>208580.01</v>
          </cell>
          <cell r="D4223" t="str">
            <v>GS 81105                F</v>
          </cell>
        </row>
        <row r="4224">
          <cell r="C4224">
            <v>309580</v>
          </cell>
          <cell r="D4224" t="str">
            <v>NCG 81105</v>
          </cell>
        </row>
        <row r="4225">
          <cell r="C4225">
            <v>511410</v>
          </cell>
          <cell r="D4225" t="str">
            <v>RO 5X5 BPM</v>
          </cell>
        </row>
        <row r="4226">
          <cell r="C4226">
            <v>208580</v>
          </cell>
          <cell r="D4226" t="str">
            <v>WS 81105                F</v>
          </cell>
        </row>
        <row r="4227">
          <cell r="C4227">
            <v>208580.01</v>
          </cell>
          <cell r="D4227" t="str">
            <v>GS 81105                F</v>
          </cell>
        </row>
        <row r="4228">
          <cell r="C4228">
            <v>309580</v>
          </cell>
          <cell r="D4228" t="str">
            <v>NCG 81105</v>
          </cell>
        </row>
        <row r="4229">
          <cell r="C4229">
            <v>511410</v>
          </cell>
          <cell r="D4229" t="str">
            <v>RO 5X5 BPM</v>
          </cell>
        </row>
        <row r="4230">
          <cell r="C4230">
            <v>208581</v>
          </cell>
          <cell r="D4230" t="str">
            <v>WS 81106                F</v>
          </cell>
        </row>
        <row r="4231">
          <cell r="C4231">
            <v>208581.01</v>
          </cell>
          <cell r="D4231" t="str">
            <v>GS 81106                F</v>
          </cell>
        </row>
        <row r="4232">
          <cell r="C4232">
            <v>309581</v>
          </cell>
          <cell r="D4232" t="str">
            <v>NCG 81106</v>
          </cell>
        </row>
        <row r="4233">
          <cell r="C4233">
            <v>511410</v>
          </cell>
          <cell r="D4233" t="str">
            <v>RO 5X5 BPM</v>
          </cell>
        </row>
        <row r="4234">
          <cell r="C4234">
            <v>208581</v>
          </cell>
          <cell r="D4234" t="str">
            <v>WS 81106                F</v>
          </cell>
        </row>
        <row r="4235">
          <cell r="C4235">
            <v>208581.01</v>
          </cell>
          <cell r="D4235" t="str">
            <v>GS 81106                F</v>
          </cell>
        </row>
        <row r="4236">
          <cell r="C4236">
            <v>309581</v>
          </cell>
          <cell r="D4236" t="str">
            <v>NCG 81106</v>
          </cell>
        </row>
        <row r="4237">
          <cell r="C4237">
            <v>511410</v>
          </cell>
          <cell r="D4237" t="str">
            <v>RO 5X5 BPM</v>
          </cell>
        </row>
        <row r="4238">
          <cell r="C4238">
            <v>208582</v>
          </cell>
          <cell r="D4238" t="str">
            <v>WS 81107                F</v>
          </cell>
        </row>
        <row r="4239">
          <cell r="C4239">
            <v>208582.01</v>
          </cell>
          <cell r="D4239" t="str">
            <v>GS 81107                F</v>
          </cell>
        </row>
        <row r="4240">
          <cell r="C4240">
            <v>309582</v>
          </cell>
          <cell r="D4240" t="str">
            <v>NCG 81107</v>
          </cell>
        </row>
        <row r="4241">
          <cell r="C4241">
            <v>511410</v>
          </cell>
          <cell r="D4241" t="str">
            <v>RO 5X5 BPM</v>
          </cell>
        </row>
        <row r="4242">
          <cell r="C4242">
            <v>208582</v>
          </cell>
          <cell r="D4242" t="str">
            <v>WS 81107                F</v>
          </cell>
        </row>
        <row r="4243">
          <cell r="C4243">
            <v>208582.01</v>
          </cell>
          <cell r="D4243" t="str">
            <v>GS 81107                F</v>
          </cell>
        </row>
        <row r="4244">
          <cell r="C4244">
            <v>309582</v>
          </cell>
          <cell r="D4244" t="str">
            <v>NCG 81107</v>
          </cell>
        </row>
        <row r="4245">
          <cell r="C4245">
            <v>511410</v>
          </cell>
          <cell r="D4245" t="str">
            <v>RO 5X5 BPM</v>
          </cell>
        </row>
        <row r="4246">
          <cell r="C4246">
            <v>208582</v>
          </cell>
          <cell r="D4246" t="str">
            <v>WS 81107                F</v>
          </cell>
        </row>
        <row r="4247">
          <cell r="C4247">
            <v>208582.01</v>
          </cell>
          <cell r="D4247" t="str">
            <v>GS 81107                F</v>
          </cell>
        </row>
        <row r="4248">
          <cell r="C4248">
            <v>309582</v>
          </cell>
          <cell r="D4248" t="str">
            <v>NCG 81107</v>
          </cell>
        </row>
        <row r="4249">
          <cell r="C4249">
            <v>511410</v>
          </cell>
          <cell r="D4249" t="str">
            <v>RO 5X5 BPM</v>
          </cell>
        </row>
        <row r="4250">
          <cell r="C4250">
            <v>208582</v>
          </cell>
          <cell r="D4250" t="str">
            <v>WS 81107                F</v>
          </cell>
        </row>
        <row r="4251">
          <cell r="C4251">
            <v>208583</v>
          </cell>
          <cell r="D4251" t="str">
            <v>WS 81108                F</v>
          </cell>
        </row>
        <row r="4252">
          <cell r="C4252">
            <v>208583.01</v>
          </cell>
          <cell r="D4252" t="str">
            <v>GS 81108                F</v>
          </cell>
        </row>
        <row r="4253">
          <cell r="C4253">
            <v>309583</v>
          </cell>
          <cell r="D4253" t="str">
            <v>NCG 81108</v>
          </cell>
        </row>
        <row r="4254">
          <cell r="C4254">
            <v>511461</v>
          </cell>
          <cell r="D4254" t="str">
            <v>RO 6X6</v>
          </cell>
        </row>
        <row r="4255">
          <cell r="C4255">
            <v>208583</v>
          </cell>
          <cell r="D4255" t="str">
            <v>WS 81108                F</v>
          </cell>
        </row>
        <row r="4256">
          <cell r="C4256">
            <v>208583.01</v>
          </cell>
          <cell r="D4256" t="str">
            <v>GS 81108                F</v>
          </cell>
        </row>
        <row r="4257">
          <cell r="C4257">
            <v>309583</v>
          </cell>
          <cell r="D4257" t="str">
            <v>NCG 81108</v>
          </cell>
        </row>
        <row r="4258">
          <cell r="C4258">
            <v>511461</v>
          </cell>
          <cell r="D4258" t="str">
            <v>RO 6X6</v>
          </cell>
        </row>
        <row r="4259">
          <cell r="C4259">
            <v>208583</v>
          </cell>
          <cell r="D4259" t="str">
            <v>WS 81108                F</v>
          </cell>
        </row>
        <row r="4260">
          <cell r="C4260">
            <v>208583.01</v>
          </cell>
          <cell r="D4260" t="str">
            <v>GS 81108                F</v>
          </cell>
        </row>
        <row r="4261">
          <cell r="C4261">
            <v>208584</v>
          </cell>
          <cell r="D4261" t="str">
            <v>WS 81109                F</v>
          </cell>
        </row>
        <row r="4262">
          <cell r="C4262">
            <v>208584.01</v>
          </cell>
          <cell r="D4262" t="str">
            <v>GS 81109                F</v>
          </cell>
        </row>
        <row r="4263">
          <cell r="C4263">
            <v>309584</v>
          </cell>
          <cell r="D4263" t="str">
            <v>NCG 81109</v>
          </cell>
        </row>
        <row r="4264">
          <cell r="C4264">
            <v>511461</v>
          </cell>
          <cell r="D4264" t="str">
            <v>RO 6X6</v>
          </cell>
        </row>
        <row r="4265">
          <cell r="C4265">
            <v>208584</v>
          </cell>
          <cell r="D4265" t="str">
            <v>WS 81109                F</v>
          </cell>
        </row>
        <row r="4266">
          <cell r="C4266">
            <v>208584.01</v>
          </cell>
          <cell r="D4266" t="str">
            <v>GS 81109                F</v>
          </cell>
        </row>
        <row r="4267">
          <cell r="C4267">
            <v>309584</v>
          </cell>
          <cell r="D4267" t="str">
            <v>NCG 81109</v>
          </cell>
        </row>
        <row r="4268">
          <cell r="C4268">
            <v>511461</v>
          </cell>
          <cell r="D4268" t="str">
            <v>RO 6X6</v>
          </cell>
        </row>
        <row r="4269">
          <cell r="C4269">
            <v>208585</v>
          </cell>
          <cell r="D4269" t="str">
            <v>WS 81110                F</v>
          </cell>
        </row>
        <row r="4270">
          <cell r="C4270">
            <v>208585.01</v>
          </cell>
          <cell r="D4270" t="str">
            <v>GS 81110                F</v>
          </cell>
        </row>
        <row r="4271">
          <cell r="C4271">
            <v>309585</v>
          </cell>
          <cell r="D4271" t="str">
            <v>NCG 81110</v>
          </cell>
        </row>
        <row r="4272">
          <cell r="C4272">
            <v>511461</v>
          </cell>
          <cell r="D4272" t="str">
            <v>RO 6X6</v>
          </cell>
        </row>
        <row r="4273">
          <cell r="C4273">
            <v>208585</v>
          </cell>
          <cell r="D4273" t="str">
            <v>WS 81110                F</v>
          </cell>
        </row>
        <row r="4274">
          <cell r="C4274">
            <v>208585.01</v>
          </cell>
          <cell r="D4274" t="str">
            <v>GS 81110                F</v>
          </cell>
        </row>
        <row r="4275">
          <cell r="C4275">
            <v>309585</v>
          </cell>
          <cell r="D4275" t="str">
            <v>NCG 81110</v>
          </cell>
        </row>
        <row r="4276">
          <cell r="C4276">
            <v>511461</v>
          </cell>
          <cell r="D4276" t="str">
            <v>RO 6X6</v>
          </cell>
        </row>
        <row r="4277">
          <cell r="C4277">
            <v>208585.01</v>
          </cell>
          <cell r="D4277" t="str">
            <v>GS 81110                F</v>
          </cell>
        </row>
        <row r="4278">
          <cell r="C4278">
            <v>208586</v>
          </cell>
          <cell r="D4278" t="str">
            <v>WS 81111                F</v>
          </cell>
        </row>
        <row r="4279">
          <cell r="C4279">
            <v>208586.01</v>
          </cell>
          <cell r="D4279" t="str">
            <v>GS 81111                F</v>
          </cell>
        </row>
        <row r="4280">
          <cell r="C4280">
            <v>309586</v>
          </cell>
          <cell r="D4280" t="str">
            <v>NCG 81111</v>
          </cell>
        </row>
        <row r="4281">
          <cell r="C4281">
            <v>511586</v>
          </cell>
          <cell r="D4281" t="str">
            <v>RO 6X8</v>
          </cell>
        </row>
        <row r="4282">
          <cell r="C4282">
            <v>208586</v>
          </cell>
          <cell r="D4282" t="str">
            <v>WS 81111                F</v>
          </cell>
        </row>
        <row r="4283">
          <cell r="C4283">
            <v>208586.01</v>
          </cell>
          <cell r="D4283" t="str">
            <v>GS 81111                F</v>
          </cell>
        </row>
        <row r="4284">
          <cell r="C4284">
            <v>309586</v>
          </cell>
          <cell r="D4284" t="str">
            <v>NCG 81111</v>
          </cell>
        </row>
        <row r="4285">
          <cell r="C4285">
            <v>511586</v>
          </cell>
          <cell r="D4285" t="str">
            <v>RO 6X8</v>
          </cell>
        </row>
        <row r="4286">
          <cell r="C4286">
            <v>208587</v>
          </cell>
          <cell r="D4286" t="str">
            <v>WS 81112                F</v>
          </cell>
        </row>
        <row r="4287">
          <cell r="C4287">
            <v>208587.01</v>
          </cell>
          <cell r="D4287" t="str">
            <v>GS 81112                F</v>
          </cell>
        </row>
        <row r="4288">
          <cell r="C4288">
            <v>309587</v>
          </cell>
          <cell r="D4288" t="str">
            <v>NCG 81112</v>
          </cell>
        </row>
        <row r="4289">
          <cell r="C4289">
            <v>511475</v>
          </cell>
          <cell r="D4289" t="str">
            <v>RO 11X11 BPM</v>
          </cell>
        </row>
        <row r="4290">
          <cell r="C4290">
            <v>208587</v>
          </cell>
          <cell r="D4290" t="str">
            <v>WS 81112                F</v>
          </cell>
        </row>
        <row r="4291">
          <cell r="C4291">
            <v>208587.01</v>
          </cell>
          <cell r="D4291" t="str">
            <v>GS 81112                F</v>
          </cell>
        </row>
        <row r="4292">
          <cell r="C4292">
            <v>309587</v>
          </cell>
          <cell r="D4292" t="str">
            <v>NCG 81112</v>
          </cell>
        </row>
        <row r="4293">
          <cell r="C4293">
            <v>511475</v>
          </cell>
          <cell r="D4293" t="str">
            <v>RO 11X11 BPM</v>
          </cell>
        </row>
        <row r="4294">
          <cell r="C4294">
            <v>208588</v>
          </cell>
          <cell r="D4294" t="str">
            <v>WS 81113                F</v>
          </cell>
        </row>
        <row r="4295">
          <cell r="C4295">
            <v>208588.01</v>
          </cell>
          <cell r="D4295" t="str">
            <v>GS 81113                F</v>
          </cell>
        </row>
        <row r="4296">
          <cell r="C4296">
            <v>309588</v>
          </cell>
          <cell r="D4296" t="str">
            <v>NCG 81113</v>
          </cell>
        </row>
        <row r="4297">
          <cell r="C4297">
            <v>208588</v>
          </cell>
          <cell r="D4297" t="str">
            <v>WS 81113                F</v>
          </cell>
        </row>
        <row r="4298">
          <cell r="C4298">
            <v>208588.01</v>
          </cell>
          <cell r="D4298" t="str">
            <v>GS 81113                F</v>
          </cell>
        </row>
        <row r="4299">
          <cell r="C4299">
            <v>208589</v>
          </cell>
          <cell r="D4299" t="str">
            <v>WS 81114                F</v>
          </cell>
        </row>
        <row r="4300">
          <cell r="C4300">
            <v>208589.01</v>
          </cell>
          <cell r="D4300" t="str">
            <v>GS 81114                F</v>
          </cell>
        </row>
        <row r="4301">
          <cell r="C4301">
            <v>309589</v>
          </cell>
          <cell r="D4301" t="str">
            <v>NCG 81114</v>
          </cell>
        </row>
        <row r="4302">
          <cell r="C4302">
            <v>511475</v>
          </cell>
          <cell r="D4302" t="str">
            <v>RO 11X11 BPM</v>
          </cell>
        </row>
        <row r="4303">
          <cell r="C4303">
            <v>208589</v>
          </cell>
          <cell r="D4303" t="str">
            <v>WS 81114                F</v>
          </cell>
        </row>
        <row r="4304">
          <cell r="C4304">
            <v>208589.01</v>
          </cell>
          <cell r="D4304" t="str">
            <v>GS 81114                F</v>
          </cell>
        </row>
        <row r="4305">
          <cell r="C4305">
            <v>208590</v>
          </cell>
          <cell r="D4305" t="str">
            <v>WS 81206                F</v>
          </cell>
        </row>
        <row r="4306">
          <cell r="C4306">
            <v>208590.01</v>
          </cell>
          <cell r="D4306" t="str">
            <v>GS 81206                F</v>
          </cell>
        </row>
        <row r="4307">
          <cell r="C4307">
            <v>309590</v>
          </cell>
          <cell r="D4307" t="str">
            <v>NCG 81206</v>
          </cell>
        </row>
        <row r="4308">
          <cell r="C4308">
            <v>208590</v>
          </cell>
          <cell r="D4308" t="str">
            <v>WS 81206                F</v>
          </cell>
        </row>
        <row r="4309">
          <cell r="C4309">
            <v>208590.01</v>
          </cell>
          <cell r="D4309" t="str">
            <v>GS 81206                F</v>
          </cell>
        </row>
        <row r="4310">
          <cell r="C4310">
            <v>208591</v>
          </cell>
          <cell r="D4310" t="str">
            <v>WS 81207                F</v>
          </cell>
        </row>
        <row r="4311">
          <cell r="C4311">
            <v>208591.01</v>
          </cell>
          <cell r="D4311" t="str">
            <v>GS 81207                F</v>
          </cell>
        </row>
        <row r="4312">
          <cell r="C4312">
            <v>309591</v>
          </cell>
          <cell r="D4312" t="str">
            <v>NCG 81207</v>
          </cell>
        </row>
        <row r="4313">
          <cell r="C4313">
            <v>208591</v>
          </cell>
          <cell r="D4313" t="str">
            <v>WS 81207                F</v>
          </cell>
        </row>
        <row r="4314">
          <cell r="C4314">
            <v>208591.01</v>
          </cell>
          <cell r="D4314" t="str">
            <v>GS 81207                F</v>
          </cell>
        </row>
        <row r="4315">
          <cell r="C4315">
            <v>208592</v>
          </cell>
          <cell r="D4315" t="str">
            <v>WS 81208                F</v>
          </cell>
        </row>
        <row r="4316">
          <cell r="C4316">
            <v>208592.01</v>
          </cell>
          <cell r="D4316" t="str">
            <v>GS 81208                F</v>
          </cell>
        </row>
        <row r="4317">
          <cell r="C4317">
            <v>309592</v>
          </cell>
          <cell r="D4317" t="str">
            <v>NCG 81208</v>
          </cell>
        </row>
        <row r="4318">
          <cell r="C4318">
            <v>208592</v>
          </cell>
          <cell r="D4318" t="str">
            <v>WS 81208                F</v>
          </cell>
        </row>
        <row r="4319">
          <cell r="C4319">
            <v>208592.01</v>
          </cell>
          <cell r="D4319" t="str">
            <v>GS 81208                F</v>
          </cell>
        </row>
        <row r="4320">
          <cell r="C4320">
            <v>208593</v>
          </cell>
          <cell r="D4320" t="str">
            <v>WS 81209                F</v>
          </cell>
        </row>
        <row r="4321">
          <cell r="C4321">
            <v>208593.01</v>
          </cell>
          <cell r="D4321" t="str">
            <v>GS 81209                F</v>
          </cell>
        </row>
        <row r="4322">
          <cell r="C4322">
            <v>309593</v>
          </cell>
          <cell r="D4322" t="str">
            <v>NCG 81209</v>
          </cell>
        </row>
        <row r="4323">
          <cell r="C4323">
            <v>208593</v>
          </cell>
          <cell r="D4323" t="str">
            <v>WS 81209                F</v>
          </cell>
        </row>
        <row r="4324">
          <cell r="C4324">
            <v>208593.01</v>
          </cell>
          <cell r="D4324" t="str">
            <v>GS 81209                F</v>
          </cell>
        </row>
        <row r="4325">
          <cell r="C4325">
            <v>208594</v>
          </cell>
          <cell r="D4325" t="str">
            <v>WS 81210                F</v>
          </cell>
        </row>
        <row r="4326">
          <cell r="C4326">
            <v>208594.01</v>
          </cell>
          <cell r="D4326" t="str">
            <v>GS 81210                F</v>
          </cell>
        </row>
        <row r="4327">
          <cell r="C4327">
            <v>309594</v>
          </cell>
          <cell r="D4327" t="str">
            <v>NCG 81210</v>
          </cell>
        </row>
        <row r="4328">
          <cell r="C4328">
            <v>208594</v>
          </cell>
          <cell r="D4328" t="str">
            <v>WS 81210                F</v>
          </cell>
        </row>
        <row r="4329">
          <cell r="C4329">
            <v>208594.01</v>
          </cell>
          <cell r="D4329" t="str">
            <v>GS 81210                F</v>
          </cell>
        </row>
        <row r="4330">
          <cell r="C4330">
            <v>208595</v>
          </cell>
          <cell r="D4330" t="str">
            <v>WS 81211                F</v>
          </cell>
        </row>
        <row r="4331">
          <cell r="C4331">
            <v>208595.01</v>
          </cell>
          <cell r="D4331" t="str">
            <v>GS 81211                F</v>
          </cell>
        </row>
        <row r="4332">
          <cell r="C4332">
            <v>309595</v>
          </cell>
          <cell r="D4332" t="str">
            <v>NCG 81211</v>
          </cell>
        </row>
        <row r="4333">
          <cell r="C4333">
            <v>208595</v>
          </cell>
          <cell r="D4333" t="str">
            <v>WS 81211                F</v>
          </cell>
        </row>
        <row r="4334">
          <cell r="C4334">
            <v>208595.01</v>
          </cell>
          <cell r="D4334" t="str">
            <v>GS 81211                F</v>
          </cell>
        </row>
        <row r="4335">
          <cell r="C4335">
            <v>208596</v>
          </cell>
          <cell r="D4335" t="str">
            <v>WS 81212                F</v>
          </cell>
        </row>
        <row r="4336">
          <cell r="C4336">
            <v>208596.01</v>
          </cell>
          <cell r="D4336" t="str">
            <v>GS 81212                F</v>
          </cell>
        </row>
        <row r="4337">
          <cell r="C4337">
            <v>309596</v>
          </cell>
          <cell r="D4337" t="str">
            <v>NCG 81212</v>
          </cell>
        </row>
        <row r="4338">
          <cell r="C4338">
            <v>511475</v>
          </cell>
          <cell r="D4338" t="str">
            <v>RO 11X11 BPM</v>
          </cell>
        </row>
        <row r="4339">
          <cell r="C4339">
            <v>208596</v>
          </cell>
          <cell r="D4339" t="str">
            <v>WS 81212                F</v>
          </cell>
        </row>
        <row r="4340">
          <cell r="C4340">
            <v>208596.01</v>
          </cell>
          <cell r="D4340" t="str">
            <v>GS 81212                F</v>
          </cell>
        </row>
        <row r="4341">
          <cell r="C4341">
            <v>309596</v>
          </cell>
          <cell r="D4341" t="str">
            <v>NCG 81212</v>
          </cell>
        </row>
        <row r="4342">
          <cell r="C4342">
            <v>511475</v>
          </cell>
          <cell r="D4342" t="str">
            <v>RO 11X11 BPM</v>
          </cell>
        </row>
        <row r="4343">
          <cell r="C4343">
            <v>208597</v>
          </cell>
          <cell r="D4343" t="str">
            <v>WS 81213                F</v>
          </cell>
        </row>
        <row r="4344">
          <cell r="C4344">
            <v>208597.01</v>
          </cell>
          <cell r="D4344" t="str">
            <v>GS 81213                F</v>
          </cell>
        </row>
        <row r="4345">
          <cell r="C4345">
            <v>309597</v>
          </cell>
          <cell r="D4345" t="str">
            <v>NCG 81213</v>
          </cell>
        </row>
        <row r="4346">
          <cell r="C4346">
            <v>208597</v>
          </cell>
          <cell r="D4346" t="str">
            <v>WS 81213                F</v>
          </cell>
        </row>
        <row r="4347">
          <cell r="C4347">
            <v>208597.01</v>
          </cell>
          <cell r="D4347" t="str">
            <v>GS 81213                F</v>
          </cell>
        </row>
        <row r="4348">
          <cell r="C4348">
            <v>208598</v>
          </cell>
          <cell r="D4348" t="str">
            <v>WS 81214                F</v>
          </cell>
        </row>
        <row r="4349">
          <cell r="C4349">
            <v>208598.01</v>
          </cell>
          <cell r="D4349" t="str">
            <v>GS 81214                F</v>
          </cell>
        </row>
        <row r="4350">
          <cell r="C4350">
            <v>309598</v>
          </cell>
          <cell r="D4350" t="str">
            <v>NCG 81214</v>
          </cell>
        </row>
        <row r="4351">
          <cell r="C4351">
            <v>511475</v>
          </cell>
          <cell r="D4351" t="str">
            <v>RO 11X11 BPM</v>
          </cell>
        </row>
        <row r="4352">
          <cell r="C4352">
            <v>208598</v>
          </cell>
          <cell r="D4352" t="str">
            <v>WS 81214                F</v>
          </cell>
        </row>
        <row r="4353">
          <cell r="C4353">
            <v>208598.01</v>
          </cell>
          <cell r="D4353" t="str">
            <v>GS 81214                F</v>
          </cell>
        </row>
        <row r="4354">
          <cell r="C4354">
            <v>309598</v>
          </cell>
          <cell r="D4354" t="str">
            <v>NCG 81214</v>
          </cell>
        </row>
        <row r="4355">
          <cell r="C4355">
            <v>511475</v>
          </cell>
          <cell r="D4355" t="str">
            <v>RO 11X11 BPM</v>
          </cell>
        </row>
        <row r="4356">
          <cell r="C4356">
            <v>208599</v>
          </cell>
          <cell r="D4356" t="str">
            <v>WS 81218                F</v>
          </cell>
        </row>
        <row r="4357">
          <cell r="C4357">
            <v>208599.01</v>
          </cell>
          <cell r="D4357" t="str">
            <v>GS 81218                F</v>
          </cell>
        </row>
        <row r="4358">
          <cell r="C4358">
            <v>208599</v>
          </cell>
          <cell r="D4358" t="str">
            <v>WS 81218                F</v>
          </cell>
        </row>
        <row r="4359">
          <cell r="C4359">
            <v>208599.01</v>
          </cell>
          <cell r="D4359" t="str">
            <v>GS 81218                F</v>
          </cell>
        </row>
        <row r="4360">
          <cell r="C4360">
            <v>300600</v>
          </cell>
          <cell r="D4360" t="str">
            <v>K.NCG 19X25X20</v>
          </cell>
        </row>
        <row r="4361">
          <cell r="C4361">
            <v>511819.01</v>
          </cell>
          <cell r="D4361" t="str">
            <v>RO 3X15.8</v>
          </cell>
        </row>
        <row r="4362">
          <cell r="C4362">
            <v>104602.01</v>
          </cell>
          <cell r="D4362" t="str">
            <v>N.IR 204                F</v>
          </cell>
        </row>
        <row r="4363">
          <cell r="C4363">
            <v>208602.01</v>
          </cell>
          <cell r="D4363" t="str">
            <v>N.OR 204                F</v>
          </cell>
        </row>
        <row r="4364">
          <cell r="C4364">
            <v>309602.01</v>
          </cell>
          <cell r="D4364" t="str">
            <v>N.MCG 204</v>
          </cell>
        </row>
        <row r="4365">
          <cell r="C4365">
            <v>511493</v>
          </cell>
          <cell r="D4365" t="str">
            <v>RO 6.5X6.5</v>
          </cell>
        </row>
        <row r="4366">
          <cell r="C4366">
            <v>104602.02</v>
          </cell>
          <cell r="D4366" t="str">
            <v>N.IR 304                F</v>
          </cell>
        </row>
        <row r="4367">
          <cell r="C4367">
            <v>208602.02</v>
          </cell>
          <cell r="D4367" t="str">
            <v>N.OR 304                F</v>
          </cell>
        </row>
        <row r="4368">
          <cell r="C4368">
            <v>309602.02</v>
          </cell>
          <cell r="D4368" t="str">
            <v>N.MCG 304</v>
          </cell>
        </row>
        <row r="4369">
          <cell r="C4369">
            <v>511439</v>
          </cell>
          <cell r="D4369" t="str">
            <v>RO 8X8</v>
          </cell>
        </row>
        <row r="4370">
          <cell r="C4370">
            <v>104602.03</v>
          </cell>
          <cell r="D4370" t="str">
            <v>NJ.IR 204               F</v>
          </cell>
        </row>
        <row r="4371">
          <cell r="C4371">
            <v>208602.05</v>
          </cell>
          <cell r="D4371" t="str">
            <v>NU.OR 204               F</v>
          </cell>
        </row>
        <row r="4372">
          <cell r="C4372">
            <v>309602.05</v>
          </cell>
          <cell r="D4372" t="str">
            <v>NU/NJ.MCG 204</v>
          </cell>
        </row>
        <row r="4373">
          <cell r="C4373">
            <v>511493</v>
          </cell>
          <cell r="D4373" t="str">
            <v>RO 6.5X6.5</v>
          </cell>
        </row>
        <row r="4374">
          <cell r="C4374">
            <v>913021</v>
          </cell>
          <cell r="D4374" t="str">
            <v>Box 55X20X55</v>
          </cell>
        </row>
        <row r="4375">
          <cell r="C4375">
            <v>104602.04</v>
          </cell>
          <cell r="D4375" t="str">
            <v>NJ.IR 304               F</v>
          </cell>
        </row>
        <row r="4376">
          <cell r="C4376">
            <v>208602.06</v>
          </cell>
          <cell r="D4376" t="str">
            <v>NU.OR 304               F</v>
          </cell>
        </row>
        <row r="4377">
          <cell r="C4377">
            <v>309602.06</v>
          </cell>
          <cell r="D4377" t="str">
            <v>NU/NJ.MCG 304</v>
          </cell>
        </row>
        <row r="4378">
          <cell r="C4378">
            <v>511439</v>
          </cell>
          <cell r="D4378" t="str">
            <v>RO 8X8</v>
          </cell>
        </row>
        <row r="4379">
          <cell r="C4379">
            <v>104602.05</v>
          </cell>
          <cell r="D4379" t="str">
            <v>NU.IR 204               F</v>
          </cell>
        </row>
        <row r="4380">
          <cell r="C4380">
            <v>208602.05</v>
          </cell>
          <cell r="D4380" t="str">
            <v>NU.OR 204               F</v>
          </cell>
        </row>
        <row r="4381">
          <cell r="C4381">
            <v>309602.05</v>
          </cell>
          <cell r="D4381" t="str">
            <v>NU/NJ.MCG 204</v>
          </cell>
        </row>
        <row r="4382">
          <cell r="C4382">
            <v>511493</v>
          </cell>
          <cell r="D4382" t="str">
            <v>RO 6.5X6.5</v>
          </cell>
        </row>
        <row r="4383">
          <cell r="C4383">
            <v>104602.06</v>
          </cell>
          <cell r="D4383" t="str">
            <v>NU.IR 304               F</v>
          </cell>
        </row>
        <row r="4384">
          <cell r="C4384">
            <v>208602.06</v>
          </cell>
          <cell r="D4384" t="str">
            <v>NU.OR 304               F</v>
          </cell>
        </row>
        <row r="4385">
          <cell r="C4385">
            <v>309602.06</v>
          </cell>
          <cell r="D4385" t="str">
            <v>NU/NJ.MCG 304</v>
          </cell>
        </row>
        <row r="4386">
          <cell r="C4386">
            <v>511439</v>
          </cell>
          <cell r="D4386" t="str">
            <v>RO 8X8</v>
          </cell>
        </row>
        <row r="4387">
          <cell r="C4387">
            <v>104602.08</v>
          </cell>
          <cell r="D4387" t="str">
            <v>NJ.IR 2304              F</v>
          </cell>
        </row>
        <row r="4388">
          <cell r="C4388">
            <v>208602.1</v>
          </cell>
          <cell r="D4388" t="str">
            <v>NU/NJ.OR 2304           F</v>
          </cell>
        </row>
        <row r="4389">
          <cell r="C4389">
            <v>309602.09999999998</v>
          </cell>
          <cell r="D4389" t="str">
            <v>NU.MCG 2304</v>
          </cell>
        </row>
        <row r="4390">
          <cell r="C4390">
            <v>511428</v>
          </cell>
          <cell r="D4390" t="str">
            <v>RO 8X12</v>
          </cell>
        </row>
        <row r="4391">
          <cell r="C4391">
            <v>104602.1</v>
          </cell>
          <cell r="D4391" t="str">
            <v>NU.IR 2304              F</v>
          </cell>
        </row>
        <row r="4392">
          <cell r="C4392">
            <v>208602.1</v>
          </cell>
          <cell r="D4392" t="str">
            <v>NU/NJ.OR 2304           F</v>
          </cell>
        </row>
        <row r="4393">
          <cell r="C4393">
            <v>309602.09999999998</v>
          </cell>
          <cell r="D4393" t="str">
            <v>NU.MCG 2304</v>
          </cell>
        </row>
        <row r="4394">
          <cell r="C4394">
            <v>511428</v>
          </cell>
          <cell r="D4394" t="str">
            <v>RO 8X12</v>
          </cell>
        </row>
        <row r="4395">
          <cell r="C4395">
            <v>208602.1</v>
          </cell>
          <cell r="D4395" t="str">
            <v>NU/NJ.OR 2304           F</v>
          </cell>
        </row>
        <row r="4396">
          <cell r="C4396">
            <v>309602.09999999998</v>
          </cell>
          <cell r="D4396" t="str">
            <v>NU.MCG 2304</v>
          </cell>
        </row>
        <row r="4397">
          <cell r="C4397">
            <v>511428</v>
          </cell>
          <cell r="D4397" t="str">
            <v>RO 8X12</v>
          </cell>
        </row>
        <row r="4398">
          <cell r="C4398">
            <v>104603.01</v>
          </cell>
          <cell r="D4398" t="str">
            <v>N.IR 205                F</v>
          </cell>
        </row>
        <row r="4399">
          <cell r="C4399">
            <v>208603.01</v>
          </cell>
          <cell r="D4399" t="str">
            <v>N.OR 205                F</v>
          </cell>
        </row>
        <row r="4400">
          <cell r="C4400">
            <v>309603.01</v>
          </cell>
          <cell r="D4400" t="str">
            <v>N.MCG 205</v>
          </cell>
        </row>
        <row r="4401">
          <cell r="C4401">
            <v>511493</v>
          </cell>
          <cell r="D4401" t="str">
            <v>RO 6.5X6.5</v>
          </cell>
        </row>
        <row r="4402">
          <cell r="C4402">
            <v>104603.02</v>
          </cell>
          <cell r="D4402" t="str">
            <v>N.IR 305                F</v>
          </cell>
        </row>
        <row r="4403">
          <cell r="C4403">
            <v>208603.02</v>
          </cell>
          <cell r="D4403" t="str">
            <v>N.OR 305                F</v>
          </cell>
        </row>
        <row r="4404">
          <cell r="C4404">
            <v>309603.02</v>
          </cell>
          <cell r="D4404" t="str">
            <v>N.MCG 305</v>
          </cell>
        </row>
        <row r="4405">
          <cell r="C4405">
            <v>511992</v>
          </cell>
          <cell r="D4405" t="str">
            <v>RO 9X9</v>
          </cell>
        </row>
        <row r="4406">
          <cell r="C4406">
            <v>104603.03</v>
          </cell>
          <cell r="D4406" t="str">
            <v>NJ.IR 205</v>
          </cell>
        </row>
        <row r="4407">
          <cell r="C4407">
            <v>208603.05</v>
          </cell>
          <cell r="D4407" t="str">
            <v>NU.OR 205               F</v>
          </cell>
        </row>
        <row r="4408">
          <cell r="C4408">
            <v>309603.05</v>
          </cell>
          <cell r="D4408" t="str">
            <v>NU/NJ.MCG 205</v>
          </cell>
        </row>
        <row r="4409">
          <cell r="C4409">
            <v>511493</v>
          </cell>
          <cell r="D4409" t="str">
            <v>RO 6.5X6.5</v>
          </cell>
        </row>
        <row r="4410">
          <cell r="C4410">
            <v>104603.04</v>
          </cell>
          <cell r="D4410" t="str">
            <v>NJ.IR 305               F</v>
          </cell>
        </row>
        <row r="4411">
          <cell r="C4411">
            <v>208603.06</v>
          </cell>
          <cell r="D4411" t="str">
            <v>NU.OR 305               F</v>
          </cell>
        </row>
        <row r="4412">
          <cell r="C4412">
            <v>309490</v>
          </cell>
          <cell r="D4412" t="str">
            <v>NU.MCG 305</v>
          </cell>
        </row>
        <row r="4413">
          <cell r="C4413">
            <v>511992</v>
          </cell>
          <cell r="D4413" t="str">
            <v>RO 9X9</v>
          </cell>
        </row>
        <row r="4414">
          <cell r="C4414">
            <v>913022</v>
          </cell>
          <cell r="D4414" t="str">
            <v>Box 65X25X65</v>
          </cell>
        </row>
        <row r="4415">
          <cell r="C4415">
            <v>104603.05</v>
          </cell>
          <cell r="D4415" t="str">
            <v>NU.IR 205               F</v>
          </cell>
        </row>
        <row r="4416">
          <cell r="C4416">
            <v>208603.05</v>
          </cell>
          <cell r="D4416" t="str">
            <v>NU.OR 205               F</v>
          </cell>
        </row>
        <row r="4417">
          <cell r="C4417">
            <v>309603.05</v>
          </cell>
          <cell r="D4417" t="str">
            <v>NU/NJ.MCG 205</v>
          </cell>
        </row>
        <row r="4418">
          <cell r="C4418">
            <v>511493</v>
          </cell>
          <cell r="D4418" t="str">
            <v>RO 6.5X6.5</v>
          </cell>
        </row>
        <row r="4419">
          <cell r="C4419">
            <v>104603.06</v>
          </cell>
          <cell r="D4419" t="str">
            <v>NU.IR 305               F</v>
          </cell>
        </row>
        <row r="4420">
          <cell r="C4420">
            <v>208603.06</v>
          </cell>
          <cell r="D4420" t="str">
            <v>NU.OR 305               F</v>
          </cell>
        </row>
        <row r="4421">
          <cell r="C4421">
            <v>309603.06</v>
          </cell>
          <cell r="D4421" t="str">
            <v>NU/NJ.MCG 305</v>
          </cell>
        </row>
        <row r="4422">
          <cell r="C4422">
            <v>511992</v>
          </cell>
          <cell r="D4422" t="str">
            <v>RO 9X9</v>
          </cell>
        </row>
        <row r="4423">
          <cell r="C4423">
            <v>100603.07</v>
          </cell>
          <cell r="D4423" t="str">
            <v>NJ.IR 2205</v>
          </cell>
        </row>
        <row r="4424">
          <cell r="C4424">
            <v>200603.07</v>
          </cell>
          <cell r="D4424" t="str">
            <v>NJ.OR 2205</v>
          </cell>
        </row>
        <row r="4425">
          <cell r="C4425">
            <v>300603.07</v>
          </cell>
          <cell r="D4425" t="str">
            <v>NJ.MCG 2205</v>
          </cell>
        </row>
        <row r="4426">
          <cell r="C4426">
            <v>511438</v>
          </cell>
          <cell r="D4426" t="str">
            <v>RO 6.5X9(BPM)</v>
          </cell>
        </row>
        <row r="4427">
          <cell r="C4427">
            <v>104603.08</v>
          </cell>
          <cell r="D4427" t="str">
            <v>NJ.IR 2305              F</v>
          </cell>
        </row>
        <row r="4428">
          <cell r="C4428">
            <v>208603.1</v>
          </cell>
          <cell r="D4428" t="str">
            <v>NU.OR 2305              F</v>
          </cell>
        </row>
        <row r="4429">
          <cell r="C4429">
            <v>309603.09999999998</v>
          </cell>
          <cell r="D4429" t="str">
            <v>NU/NJ.MCG 2305</v>
          </cell>
        </row>
        <row r="4430">
          <cell r="C4430">
            <v>511605.09</v>
          </cell>
          <cell r="D4430" t="str">
            <v>RO 9X14</v>
          </cell>
        </row>
        <row r="4431">
          <cell r="C4431">
            <v>913022</v>
          </cell>
          <cell r="D4431" t="str">
            <v>Box 65X25X65</v>
          </cell>
        </row>
        <row r="4432">
          <cell r="C4432">
            <v>104603.04</v>
          </cell>
          <cell r="D4432" t="str">
            <v>NJ.IR 305               F</v>
          </cell>
        </row>
        <row r="4433">
          <cell r="C4433">
            <v>104603.1</v>
          </cell>
          <cell r="D4433" t="str">
            <v>NU.IR 2305              F</v>
          </cell>
        </row>
        <row r="4434">
          <cell r="C4434">
            <v>208603.1</v>
          </cell>
          <cell r="D4434" t="str">
            <v>NU.OR 2305              F</v>
          </cell>
        </row>
        <row r="4435">
          <cell r="C4435">
            <v>309603.09999999998</v>
          </cell>
          <cell r="D4435" t="str">
            <v>NU/NJ.MCG 2305</v>
          </cell>
        </row>
        <row r="4436">
          <cell r="C4436">
            <v>511605.09</v>
          </cell>
          <cell r="D4436" t="str">
            <v>RO 9X14</v>
          </cell>
        </row>
        <row r="4437">
          <cell r="C4437">
            <v>913022</v>
          </cell>
          <cell r="D4437" t="str">
            <v>Box 65X25X65</v>
          </cell>
        </row>
        <row r="4438">
          <cell r="C4438">
            <v>208603.06</v>
          </cell>
          <cell r="D4438" t="str">
            <v>NU.OR 305               F</v>
          </cell>
        </row>
        <row r="4439">
          <cell r="C4439">
            <v>309490</v>
          </cell>
          <cell r="D4439" t="str">
            <v>NU.MCG 305</v>
          </cell>
        </row>
        <row r="4440">
          <cell r="C4440">
            <v>511992</v>
          </cell>
          <cell r="D4440" t="str">
            <v>RO 9X9</v>
          </cell>
        </row>
        <row r="4441">
          <cell r="C4441">
            <v>104603.14</v>
          </cell>
          <cell r="D4441" t="str">
            <v>NUP.IR 305</v>
          </cell>
        </row>
        <row r="4442">
          <cell r="C4442">
            <v>208603.06</v>
          </cell>
          <cell r="D4442" t="str">
            <v>NU.OR 305               F</v>
          </cell>
        </row>
        <row r="4443">
          <cell r="C4443">
            <v>309490</v>
          </cell>
          <cell r="D4443" t="str">
            <v>NU.MCG 305</v>
          </cell>
        </row>
        <row r="4444">
          <cell r="C4444">
            <v>511992</v>
          </cell>
          <cell r="D4444" t="str">
            <v>RO 9X9</v>
          </cell>
        </row>
        <row r="4445">
          <cell r="C4445">
            <v>604603.14</v>
          </cell>
          <cell r="D4445" t="str">
            <v>NUP.W 305</v>
          </cell>
        </row>
        <row r="4446">
          <cell r="C4446">
            <v>104603.17</v>
          </cell>
          <cell r="D4446" t="str">
            <v>NJ.IR 2205</v>
          </cell>
        </row>
        <row r="4447">
          <cell r="C4447">
            <v>208603.17</v>
          </cell>
          <cell r="D4447" t="str">
            <v>NJ.OR 2205</v>
          </cell>
        </row>
        <row r="4448">
          <cell r="C4448">
            <v>300603.07</v>
          </cell>
          <cell r="D4448" t="str">
            <v>NJ.MCG 2205</v>
          </cell>
        </row>
        <row r="4449">
          <cell r="C4449">
            <v>511438</v>
          </cell>
          <cell r="D4449" t="str">
            <v>RO 6.5X9(BPM)</v>
          </cell>
        </row>
        <row r="4450">
          <cell r="C4450">
            <v>100603.18</v>
          </cell>
          <cell r="D4450" t="str">
            <v>NUP.W 205</v>
          </cell>
        </row>
        <row r="4451">
          <cell r="C4451">
            <v>100603.19</v>
          </cell>
          <cell r="D4451" t="str">
            <v>NUP.IR 205</v>
          </cell>
        </row>
        <row r="4452">
          <cell r="C4452">
            <v>208603.05</v>
          </cell>
          <cell r="D4452" t="str">
            <v>NU.OR 205               F</v>
          </cell>
        </row>
        <row r="4453">
          <cell r="C4453">
            <v>309603.05</v>
          </cell>
          <cell r="D4453" t="str">
            <v>NU/NJ.MCG 205</v>
          </cell>
        </row>
        <row r="4454">
          <cell r="C4454">
            <v>511493</v>
          </cell>
          <cell r="D4454" t="str">
            <v>RO 6.5X6.5</v>
          </cell>
        </row>
        <row r="4455">
          <cell r="C4455">
            <v>104603.27</v>
          </cell>
          <cell r="D4455" t="str">
            <v>NUP.IR 2205</v>
          </cell>
        </row>
        <row r="4456">
          <cell r="C4456">
            <v>104603.28</v>
          </cell>
          <cell r="D4456" t="str">
            <v>NUP.W 2205</v>
          </cell>
        </row>
        <row r="4457">
          <cell r="C4457">
            <v>208603.17</v>
          </cell>
          <cell r="D4457" t="str">
            <v>NJ.OR 2205</v>
          </cell>
        </row>
        <row r="4458">
          <cell r="C4458">
            <v>300603.07</v>
          </cell>
          <cell r="D4458" t="str">
            <v>NJ.MCG 2205</v>
          </cell>
        </row>
        <row r="4459">
          <cell r="C4459">
            <v>511438</v>
          </cell>
          <cell r="D4459" t="str">
            <v>RO 6.5X9(BPM)</v>
          </cell>
        </row>
        <row r="4460">
          <cell r="C4460">
            <v>100603.3</v>
          </cell>
          <cell r="D4460" t="str">
            <v>NUP.IR 207 ECP</v>
          </cell>
        </row>
        <row r="4461">
          <cell r="C4461">
            <v>100603.31</v>
          </cell>
          <cell r="D4461" t="str">
            <v>NUP.W 207 ECP</v>
          </cell>
        </row>
        <row r="4462">
          <cell r="C4462">
            <v>200603.3</v>
          </cell>
          <cell r="D4462" t="str">
            <v>NUP.OR 207 ECP</v>
          </cell>
        </row>
        <row r="4463">
          <cell r="C4463">
            <v>300603.3</v>
          </cell>
          <cell r="D4463" t="str">
            <v>NUP.NCG 207 ECP</v>
          </cell>
        </row>
        <row r="4464">
          <cell r="C4464">
            <v>511612.06</v>
          </cell>
          <cell r="D4464" t="str">
            <v>RO 10X11</v>
          </cell>
        </row>
        <row r="4465">
          <cell r="C4465">
            <v>104604.01</v>
          </cell>
          <cell r="D4465" t="str">
            <v>N.IR 206                F</v>
          </cell>
        </row>
        <row r="4466">
          <cell r="C4466">
            <v>208604.01</v>
          </cell>
          <cell r="D4466" t="str">
            <v>N.OR 206                F</v>
          </cell>
        </row>
        <row r="4467">
          <cell r="C4467">
            <v>309604.01</v>
          </cell>
          <cell r="D4467" t="str">
            <v>N.MCG 206</v>
          </cell>
        </row>
        <row r="4468">
          <cell r="C4468">
            <v>511604.05</v>
          </cell>
          <cell r="D4468" t="str">
            <v>RO 7.5X7.5 BPM</v>
          </cell>
        </row>
        <row r="4469">
          <cell r="C4469">
            <v>104604.02</v>
          </cell>
          <cell r="D4469" t="str">
            <v>N.IR 306                F</v>
          </cell>
        </row>
        <row r="4470">
          <cell r="C4470">
            <v>208604.02</v>
          </cell>
          <cell r="D4470" t="str">
            <v>N.OR 306                F</v>
          </cell>
        </row>
        <row r="4471">
          <cell r="C4471">
            <v>309604.02</v>
          </cell>
          <cell r="D4471" t="str">
            <v>N.MCG 306</v>
          </cell>
        </row>
        <row r="4472">
          <cell r="C4472">
            <v>511604.06</v>
          </cell>
          <cell r="D4472" t="str">
            <v>RO 10X10 BPM</v>
          </cell>
        </row>
        <row r="4473">
          <cell r="C4473">
            <v>104604.03</v>
          </cell>
          <cell r="D4473" t="str">
            <v>NJ.IR 206</v>
          </cell>
        </row>
        <row r="4474">
          <cell r="C4474">
            <v>208604.05</v>
          </cell>
          <cell r="D4474" t="str">
            <v>NU.OR 206               F</v>
          </cell>
        </row>
        <row r="4475">
          <cell r="C4475">
            <v>309604.05</v>
          </cell>
          <cell r="D4475" t="str">
            <v>NU/NJ.MCG 206</v>
          </cell>
        </row>
        <row r="4476">
          <cell r="C4476">
            <v>511604.05</v>
          </cell>
          <cell r="D4476" t="str">
            <v>RO 7.5X7.5 BPM</v>
          </cell>
        </row>
        <row r="4477">
          <cell r="C4477">
            <v>104604.04</v>
          </cell>
          <cell r="D4477" t="str">
            <v>NJ.IR 306               F</v>
          </cell>
        </row>
        <row r="4478">
          <cell r="C4478">
            <v>208604.06</v>
          </cell>
          <cell r="D4478" t="str">
            <v>NU.OR 306               F</v>
          </cell>
        </row>
        <row r="4479">
          <cell r="C4479">
            <v>309604.06</v>
          </cell>
          <cell r="D4479" t="str">
            <v>NU/NJ.MCG 306</v>
          </cell>
        </row>
        <row r="4480">
          <cell r="C4480">
            <v>511604.06</v>
          </cell>
          <cell r="D4480" t="str">
            <v>RO 10X10 BPM</v>
          </cell>
        </row>
        <row r="4481">
          <cell r="C4481">
            <v>104604.05</v>
          </cell>
          <cell r="D4481" t="str">
            <v>NU.IR 206               F</v>
          </cell>
        </row>
        <row r="4482">
          <cell r="C4482">
            <v>208604.05</v>
          </cell>
          <cell r="D4482" t="str">
            <v>NU.OR 206               F</v>
          </cell>
        </row>
        <row r="4483">
          <cell r="C4483">
            <v>309604.05</v>
          </cell>
          <cell r="D4483" t="str">
            <v>NU/NJ.MCG 206</v>
          </cell>
        </row>
        <row r="4484">
          <cell r="C4484">
            <v>511604.05</v>
          </cell>
          <cell r="D4484" t="str">
            <v>RO 7.5X7.5 BPM</v>
          </cell>
        </row>
        <row r="4485">
          <cell r="C4485">
            <v>104604.06</v>
          </cell>
          <cell r="D4485" t="str">
            <v>NU.IR 306               F</v>
          </cell>
        </row>
        <row r="4486">
          <cell r="C4486">
            <v>208604.06</v>
          </cell>
          <cell r="D4486" t="str">
            <v>NU.OR 306               F</v>
          </cell>
        </row>
        <row r="4487">
          <cell r="C4487">
            <v>309604.06</v>
          </cell>
          <cell r="D4487" t="str">
            <v>NU/NJ.MCG 306</v>
          </cell>
        </row>
        <row r="4488">
          <cell r="C4488">
            <v>511604.06</v>
          </cell>
          <cell r="D4488" t="str">
            <v>RO 10X10 BPM</v>
          </cell>
        </row>
        <row r="4489">
          <cell r="C4489">
            <v>913023</v>
          </cell>
          <cell r="D4489" t="str">
            <v>Box 75X25X75</v>
          </cell>
        </row>
        <row r="4490">
          <cell r="C4490">
            <v>104604.07</v>
          </cell>
          <cell r="D4490" t="str">
            <v>NJ.IR 2206              F</v>
          </cell>
        </row>
        <row r="4491">
          <cell r="C4491">
            <v>208604.07</v>
          </cell>
          <cell r="D4491" t="str">
            <v>NJ.OR 2206              F</v>
          </cell>
        </row>
        <row r="4492">
          <cell r="C4492">
            <v>309604.07</v>
          </cell>
          <cell r="D4492" t="str">
            <v>NU/NJ.MCG 2206</v>
          </cell>
        </row>
        <row r="4493">
          <cell r="C4493">
            <v>511604.07</v>
          </cell>
          <cell r="D4493" t="str">
            <v>RO 7.5X11 BPM</v>
          </cell>
        </row>
        <row r="4494">
          <cell r="C4494">
            <v>913022</v>
          </cell>
          <cell r="D4494" t="str">
            <v>Box 65X25X65</v>
          </cell>
        </row>
        <row r="4495">
          <cell r="C4495">
            <v>104604.08</v>
          </cell>
          <cell r="D4495" t="str">
            <v>NJ.IR 2306              F</v>
          </cell>
        </row>
        <row r="4496">
          <cell r="C4496">
            <v>208604.1</v>
          </cell>
          <cell r="D4496" t="str">
            <v>NU.OR 2306              F</v>
          </cell>
        </row>
        <row r="4497">
          <cell r="C4497">
            <v>309604.09999999998</v>
          </cell>
          <cell r="D4497" t="str">
            <v>NU/NJ.MCG 2306</v>
          </cell>
        </row>
        <row r="4498">
          <cell r="C4498">
            <v>511604.08</v>
          </cell>
          <cell r="D4498" t="str">
            <v>RO 11X20</v>
          </cell>
        </row>
        <row r="4499">
          <cell r="C4499">
            <v>913002</v>
          </cell>
          <cell r="D4499" t="str">
            <v>Box 75x30x75</v>
          </cell>
        </row>
        <row r="4500">
          <cell r="C4500">
            <v>104604.09</v>
          </cell>
          <cell r="D4500" t="str">
            <v>NU.IR 2206              F</v>
          </cell>
        </row>
        <row r="4501">
          <cell r="C4501">
            <v>208604.07</v>
          </cell>
          <cell r="D4501" t="str">
            <v>NJ.OR 2206              F</v>
          </cell>
        </row>
        <row r="4502">
          <cell r="C4502">
            <v>309604.07</v>
          </cell>
          <cell r="D4502" t="str">
            <v>NU/NJ.MCG 2206</v>
          </cell>
        </row>
        <row r="4503">
          <cell r="C4503">
            <v>511604.07</v>
          </cell>
          <cell r="D4503" t="str">
            <v>RO 7.5X11 BPM</v>
          </cell>
        </row>
        <row r="4504">
          <cell r="C4504">
            <v>913022</v>
          </cell>
          <cell r="D4504" t="str">
            <v>Box 65X25X65</v>
          </cell>
        </row>
        <row r="4505">
          <cell r="C4505">
            <v>104604.1</v>
          </cell>
          <cell r="D4505" t="str">
            <v>NU.IR 2306</v>
          </cell>
        </row>
        <row r="4506">
          <cell r="C4506">
            <v>208604.1</v>
          </cell>
          <cell r="D4506" t="str">
            <v>NU.OR 2306              F</v>
          </cell>
        </row>
        <row r="4507">
          <cell r="C4507">
            <v>309604.09999999998</v>
          </cell>
          <cell r="D4507" t="str">
            <v>NU/NJ.MCG 2306</v>
          </cell>
        </row>
        <row r="4508">
          <cell r="C4508">
            <v>511604.08</v>
          </cell>
          <cell r="D4508" t="str">
            <v>RO 11X20</v>
          </cell>
        </row>
        <row r="4509">
          <cell r="C4509">
            <v>104604.11</v>
          </cell>
          <cell r="D4509" t="str">
            <v>NJ.IR 406              F</v>
          </cell>
        </row>
        <row r="4510">
          <cell r="C4510">
            <v>208604.11</v>
          </cell>
          <cell r="D4510" t="str">
            <v>NJ.OR 406               F</v>
          </cell>
        </row>
        <row r="4511">
          <cell r="C4511">
            <v>309604.11</v>
          </cell>
          <cell r="D4511" t="str">
            <v>NJ.MCG 406</v>
          </cell>
        </row>
        <row r="4512">
          <cell r="C4512">
            <v>511998</v>
          </cell>
          <cell r="D4512" t="str">
            <v>RO 14X14</v>
          </cell>
        </row>
        <row r="4513">
          <cell r="C4513">
            <v>104604.12</v>
          </cell>
          <cell r="D4513" t="str">
            <v>NUP.IR 2206             F</v>
          </cell>
        </row>
        <row r="4514">
          <cell r="C4514">
            <v>104604.22</v>
          </cell>
          <cell r="D4514" t="str">
            <v>NUP.WASHER 2206         F</v>
          </cell>
        </row>
        <row r="4515">
          <cell r="C4515">
            <v>208604.07</v>
          </cell>
          <cell r="D4515" t="str">
            <v>NJ.OR 2206              F</v>
          </cell>
        </row>
        <row r="4516">
          <cell r="C4516">
            <v>309604.07</v>
          </cell>
          <cell r="D4516" t="str">
            <v>NU/NJ.MCG 2206</v>
          </cell>
        </row>
        <row r="4517">
          <cell r="C4517">
            <v>511604.07</v>
          </cell>
          <cell r="D4517" t="str">
            <v>RO 7.5X11 BPM</v>
          </cell>
        </row>
        <row r="4518">
          <cell r="C4518">
            <v>104605.01</v>
          </cell>
          <cell r="D4518" t="str">
            <v>N.IR 207                F</v>
          </cell>
        </row>
        <row r="4519">
          <cell r="C4519">
            <v>208605.01</v>
          </cell>
          <cell r="D4519" t="str">
            <v>N.OR 207                F</v>
          </cell>
        </row>
        <row r="4520">
          <cell r="C4520">
            <v>309605.01</v>
          </cell>
          <cell r="D4520" t="str">
            <v>N.MCG 207</v>
          </cell>
        </row>
        <row r="4521">
          <cell r="C4521">
            <v>511992</v>
          </cell>
          <cell r="D4521" t="str">
            <v>RO 9X9</v>
          </cell>
        </row>
        <row r="4522">
          <cell r="C4522">
            <v>913023</v>
          </cell>
          <cell r="D4522" t="str">
            <v>Box 75X25X75</v>
          </cell>
        </row>
        <row r="4523">
          <cell r="C4523">
            <v>104605.02</v>
          </cell>
          <cell r="D4523" t="str">
            <v>N.IR 307                F</v>
          </cell>
        </row>
        <row r="4524">
          <cell r="C4524">
            <v>208605.02</v>
          </cell>
          <cell r="D4524" t="str">
            <v>N.OR 307                F</v>
          </cell>
        </row>
        <row r="4525">
          <cell r="C4525">
            <v>309605.02</v>
          </cell>
          <cell r="D4525" t="str">
            <v>N.MCG 307</v>
          </cell>
        </row>
        <row r="4526">
          <cell r="C4526">
            <v>511475</v>
          </cell>
          <cell r="D4526" t="str">
            <v>RO 11X11 BPM</v>
          </cell>
        </row>
        <row r="4527">
          <cell r="C4527">
            <v>104605.03</v>
          </cell>
          <cell r="D4527" t="str">
            <v>NJ.IR 207               F</v>
          </cell>
        </row>
        <row r="4528">
          <cell r="C4528">
            <v>208605.05</v>
          </cell>
          <cell r="D4528" t="str">
            <v>NU.OR 207               F</v>
          </cell>
        </row>
        <row r="4529">
          <cell r="C4529">
            <v>309605.05</v>
          </cell>
          <cell r="D4529" t="str">
            <v>NU/NJ.MCG 207</v>
          </cell>
        </row>
        <row r="4530">
          <cell r="C4530">
            <v>511992</v>
          </cell>
          <cell r="D4530" t="str">
            <v>RO 9X9</v>
          </cell>
        </row>
        <row r="4531">
          <cell r="C4531">
            <v>913023</v>
          </cell>
          <cell r="D4531" t="str">
            <v>Box 75X25X75</v>
          </cell>
        </row>
        <row r="4532">
          <cell r="C4532">
            <v>104605.04</v>
          </cell>
          <cell r="D4532" t="str">
            <v>NJ.IR 307               F</v>
          </cell>
        </row>
        <row r="4533">
          <cell r="C4533">
            <v>208605.06</v>
          </cell>
          <cell r="D4533" t="str">
            <v>NU.OR 307               F</v>
          </cell>
        </row>
        <row r="4534">
          <cell r="C4534">
            <v>309605.06</v>
          </cell>
          <cell r="D4534" t="str">
            <v>NU.MCG 307</v>
          </cell>
        </row>
        <row r="4535">
          <cell r="C4535">
            <v>511475</v>
          </cell>
          <cell r="D4535" t="str">
            <v>RO 11X11 BPM</v>
          </cell>
        </row>
        <row r="4536">
          <cell r="C4536">
            <v>913024</v>
          </cell>
          <cell r="D4536" t="str">
            <v>Box 85X25X85</v>
          </cell>
        </row>
        <row r="4537">
          <cell r="C4537">
            <v>104605.05</v>
          </cell>
          <cell r="D4537" t="str">
            <v>NU.IR 207               F</v>
          </cell>
        </row>
        <row r="4538">
          <cell r="C4538">
            <v>208605.05</v>
          </cell>
          <cell r="D4538" t="str">
            <v>NU.OR 207               F</v>
          </cell>
        </row>
        <row r="4539">
          <cell r="C4539">
            <v>309605.05</v>
          </cell>
          <cell r="D4539" t="str">
            <v>NU/NJ.MCG 207</v>
          </cell>
        </row>
        <row r="4540">
          <cell r="C4540">
            <v>511992</v>
          </cell>
          <cell r="D4540" t="str">
            <v>RO 9X9</v>
          </cell>
        </row>
        <row r="4541">
          <cell r="C4541">
            <v>913024</v>
          </cell>
          <cell r="D4541" t="str">
            <v>Box 85X25X85</v>
          </cell>
        </row>
        <row r="4542">
          <cell r="C4542">
            <v>104605.06</v>
          </cell>
          <cell r="D4542" t="str">
            <v>NU.IR 307               F</v>
          </cell>
        </row>
        <row r="4543">
          <cell r="C4543">
            <v>208605.06</v>
          </cell>
          <cell r="D4543" t="str">
            <v>NU.OR 307               F</v>
          </cell>
        </row>
        <row r="4544">
          <cell r="C4544">
            <v>309605.06</v>
          </cell>
          <cell r="D4544" t="str">
            <v>NU.MCG 307</v>
          </cell>
        </row>
        <row r="4545">
          <cell r="C4545">
            <v>511475</v>
          </cell>
          <cell r="D4545" t="str">
            <v>RO 11X11 BPM</v>
          </cell>
        </row>
        <row r="4546">
          <cell r="C4546">
            <v>913024</v>
          </cell>
          <cell r="D4546" t="str">
            <v>Box 85X25X85</v>
          </cell>
        </row>
        <row r="4547">
          <cell r="C4547">
            <v>104605.07</v>
          </cell>
          <cell r="D4547" t="str">
            <v>NJ.IR 2207              F</v>
          </cell>
        </row>
        <row r="4548">
          <cell r="C4548">
            <v>208605.09</v>
          </cell>
          <cell r="D4548" t="str">
            <v>NU.OR 2207              F</v>
          </cell>
        </row>
        <row r="4549">
          <cell r="C4549">
            <v>309605.09000000003</v>
          </cell>
          <cell r="D4549" t="str">
            <v>NU.MCG 2207</v>
          </cell>
        </row>
        <row r="4550">
          <cell r="C4550">
            <v>511605.09</v>
          </cell>
          <cell r="D4550" t="str">
            <v>RO 9X14</v>
          </cell>
        </row>
        <row r="4551">
          <cell r="C4551">
            <v>913002</v>
          </cell>
          <cell r="D4551" t="str">
            <v>Box 75x30x75</v>
          </cell>
        </row>
        <row r="4552">
          <cell r="C4552">
            <v>104605.08</v>
          </cell>
          <cell r="D4552" t="str">
            <v>NJ.IR 2307              F</v>
          </cell>
        </row>
        <row r="4553">
          <cell r="C4553">
            <v>208605.1</v>
          </cell>
          <cell r="D4553" t="str">
            <v>NU.OR 2307              F</v>
          </cell>
        </row>
        <row r="4554">
          <cell r="C4554">
            <v>309605.09999999998</v>
          </cell>
          <cell r="D4554" t="str">
            <v>NU.MCG 2307</v>
          </cell>
        </row>
        <row r="4555">
          <cell r="C4555">
            <v>511604.08</v>
          </cell>
          <cell r="D4555" t="str">
            <v>RO 11X20</v>
          </cell>
        </row>
        <row r="4556">
          <cell r="C4556">
            <v>913007</v>
          </cell>
          <cell r="D4556" t="str">
            <v>Box 78x45x78</v>
          </cell>
        </row>
        <row r="4557">
          <cell r="C4557">
            <v>104605.09</v>
          </cell>
          <cell r="D4557" t="str">
            <v>NU.IR 2207              F</v>
          </cell>
        </row>
        <row r="4558">
          <cell r="C4558">
            <v>208605.09</v>
          </cell>
          <cell r="D4558" t="str">
            <v>NU.OR 2207              F</v>
          </cell>
        </row>
        <row r="4559">
          <cell r="C4559">
            <v>309605.09000000003</v>
          </cell>
          <cell r="D4559" t="str">
            <v>NU.MCG 2207</v>
          </cell>
        </row>
        <row r="4560">
          <cell r="C4560">
            <v>511605.09</v>
          </cell>
          <cell r="D4560" t="str">
            <v>RO 9X14</v>
          </cell>
        </row>
        <row r="4561">
          <cell r="C4561">
            <v>913002</v>
          </cell>
          <cell r="D4561" t="str">
            <v>Box 75x30x75</v>
          </cell>
        </row>
        <row r="4562">
          <cell r="C4562">
            <v>104605.1</v>
          </cell>
          <cell r="D4562" t="str">
            <v>NU.IR 2307              F</v>
          </cell>
        </row>
        <row r="4563">
          <cell r="C4563">
            <v>208605.1</v>
          </cell>
          <cell r="D4563" t="str">
            <v>NU.OR 2307              F</v>
          </cell>
        </row>
        <row r="4564">
          <cell r="C4564">
            <v>309605.09999999998</v>
          </cell>
          <cell r="D4564" t="str">
            <v>NU.MCG 2307</v>
          </cell>
        </row>
        <row r="4565">
          <cell r="C4565">
            <v>511604.08</v>
          </cell>
          <cell r="D4565" t="str">
            <v>RO 11X20</v>
          </cell>
        </row>
        <row r="4566">
          <cell r="C4566">
            <v>104605.11</v>
          </cell>
          <cell r="D4566" t="str">
            <v>NJ.IR 408               F</v>
          </cell>
        </row>
        <row r="4567">
          <cell r="C4567">
            <v>208605.11</v>
          </cell>
          <cell r="D4567" t="str">
            <v>NJ.OR 408               F</v>
          </cell>
        </row>
        <row r="4568">
          <cell r="C4568">
            <v>309605.11</v>
          </cell>
          <cell r="D4568" t="str">
            <v>NJ.MCG 408</v>
          </cell>
        </row>
        <row r="4569">
          <cell r="C4569">
            <v>511609.06</v>
          </cell>
          <cell r="D4569" t="str">
            <v>RO 17X17</v>
          </cell>
        </row>
        <row r="4570">
          <cell r="C4570">
            <v>104606.01</v>
          </cell>
          <cell r="D4570" t="str">
            <v>N.IR 208                F</v>
          </cell>
        </row>
        <row r="4571">
          <cell r="C4571">
            <v>208606.01</v>
          </cell>
          <cell r="D4571" t="str">
            <v>N.OR 208                F</v>
          </cell>
        </row>
        <row r="4572">
          <cell r="C4572">
            <v>309606.01</v>
          </cell>
          <cell r="D4572" t="str">
            <v>N.MCG 208</v>
          </cell>
        </row>
        <row r="4573">
          <cell r="C4573">
            <v>511604.06</v>
          </cell>
          <cell r="D4573" t="str">
            <v>RO 10X10 BPM</v>
          </cell>
        </row>
        <row r="4574">
          <cell r="C4574">
            <v>104606.02</v>
          </cell>
          <cell r="D4574" t="str">
            <v>N.IR 308                F</v>
          </cell>
        </row>
        <row r="4575">
          <cell r="C4575">
            <v>208606.02</v>
          </cell>
          <cell r="D4575" t="str">
            <v>N.OR 308                F</v>
          </cell>
        </row>
        <row r="4576">
          <cell r="C4576">
            <v>309606.02</v>
          </cell>
          <cell r="D4576" t="str">
            <v>N.MCG 308</v>
          </cell>
        </row>
        <row r="4577">
          <cell r="C4577">
            <v>511606.02</v>
          </cell>
          <cell r="D4577" t="str">
            <v>RO 12X13 BPM</v>
          </cell>
        </row>
        <row r="4578">
          <cell r="C4578">
            <v>913025</v>
          </cell>
          <cell r="D4578" t="str">
            <v>Box 90X30X90</v>
          </cell>
        </row>
        <row r="4579">
          <cell r="C4579">
            <v>104606.03</v>
          </cell>
          <cell r="D4579" t="str">
            <v>NJ.IR 208               F</v>
          </cell>
        </row>
        <row r="4580">
          <cell r="C4580">
            <v>208606.05</v>
          </cell>
          <cell r="D4580" t="str">
            <v>NU.OR 208               F</v>
          </cell>
        </row>
        <row r="4581">
          <cell r="C4581">
            <v>309606.05</v>
          </cell>
          <cell r="D4581" t="str">
            <v>NU.MCG 208</v>
          </cell>
        </row>
        <row r="4582">
          <cell r="C4582">
            <v>511604.06</v>
          </cell>
          <cell r="D4582" t="str">
            <v>RO 10X10 BPM</v>
          </cell>
        </row>
        <row r="4583">
          <cell r="C4583">
            <v>104606.04</v>
          </cell>
          <cell r="D4583" t="str">
            <v>NJ.IR 308               F</v>
          </cell>
        </row>
        <row r="4584">
          <cell r="C4584">
            <v>208606.06</v>
          </cell>
          <cell r="D4584" t="str">
            <v>NU.OR 308               F</v>
          </cell>
        </row>
        <row r="4585">
          <cell r="C4585">
            <v>309606.06</v>
          </cell>
          <cell r="D4585" t="str">
            <v>NU/NJ.MCG 308</v>
          </cell>
        </row>
        <row r="4586">
          <cell r="C4586">
            <v>511613.06</v>
          </cell>
          <cell r="D4586" t="str">
            <v>RO 12X14 BPM</v>
          </cell>
        </row>
        <row r="4587">
          <cell r="C4587">
            <v>104606.05</v>
          </cell>
          <cell r="D4587" t="str">
            <v>NU.IR 208               F</v>
          </cell>
        </row>
        <row r="4588">
          <cell r="C4588">
            <v>208606.05</v>
          </cell>
          <cell r="D4588" t="str">
            <v>NU.OR 208               F</v>
          </cell>
        </row>
        <row r="4589">
          <cell r="C4589">
            <v>309606.05</v>
          </cell>
          <cell r="D4589" t="str">
            <v>NU.MCG 208</v>
          </cell>
        </row>
        <row r="4590">
          <cell r="C4590">
            <v>511604.06</v>
          </cell>
          <cell r="D4590" t="str">
            <v>RO 10X10 BPM</v>
          </cell>
        </row>
        <row r="4591">
          <cell r="C4591">
            <v>104606.06</v>
          </cell>
          <cell r="D4591" t="str">
            <v>NU.IR 308               F</v>
          </cell>
        </row>
        <row r="4592">
          <cell r="C4592">
            <v>208606.06</v>
          </cell>
          <cell r="D4592" t="str">
            <v>NU.OR 308               F</v>
          </cell>
        </row>
        <row r="4593">
          <cell r="C4593">
            <v>309606.06</v>
          </cell>
          <cell r="D4593" t="str">
            <v>NU/NJ.MCG 308</v>
          </cell>
        </row>
        <row r="4594">
          <cell r="C4594">
            <v>511613.06</v>
          </cell>
          <cell r="D4594" t="str">
            <v>RO 12X14 BPM</v>
          </cell>
        </row>
        <row r="4595">
          <cell r="C4595">
            <v>104606.07</v>
          </cell>
          <cell r="D4595" t="str">
            <v>NJ.IR 2208              F</v>
          </cell>
        </row>
        <row r="4596">
          <cell r="C4596">
            <v>208606.09</v>
          </cell>
          <cell r="D4596" t="str">
            <v>NU.OR 2208              F</v>
          </cell>
        </row>
        <row r="4597">
          <cell r="C4597">
            <v>309606.09000000003</v>
          </cell>
          <cell r="D4597" t="str">
            <v>NU.MCG 2208</v>
          </cell>
        </row>
        <row r="4598">
          <cell r="C4598">
            <v>511607.07</v>
          </cell>
          <cell r="D4598" t="str">
            <v>RO 10X15 BPM</v>
          </cell>
        </row>
        <row r="4599">
          <cell r="C4599">
            <v>104606.08</v>
          </cell>
          <cell r="D4599" t="str">
            <v>NJ.IR 2308              F</v>
          </cell>
        </row>
        <row r="4600">
          <cell r="C4600">
            <v>208606.1</v>
          </cell>
          <cell r="D4600" t="str">
            <v>NU.OR 2308              F</v>
          </cell>
        </row>
        <row r="4601">
          <cell r="C4601">
            <v>309606.09999999998</v>
          </cell>
          <cell r="D4601" t="str">
            <v>NU.MCG 2308</v>
          </cell>
        </row>
        <row r="4602">
          <cell r="C4602">
            <v>511606.1</v>
          </cell>
          <cell r="D4602" t="str">
            <v>RO 12X20</v>
          </cell>
        </row>
        <row r="4603">
          <cell r="C4603">
            <v>104606.09</v>
          </cell>
          <cell r="D4603" t="str">
            <v>NU.IR 2208              F</v>
          </cell>
        </row>
        <row r="4604">
          <cell r="C4604">
            <v>208606.09</v>
          </cell>
          <cell r="D4604" t="str">
            <v>NU.OR 2208              F</v>
          </cell>
        </row>
        <row r="4605">
          <cell r="C4605">
            <v>309606.09000000003</v>
          </cell>
          <cell r="D4605" t="str">
            <v>NU.MCG 2208</v>
          </cell>
        </row>
        <row r="4606">
          <cell r="C4606">
            <v>511607.07</v>
          </cell>
          <cell r="D4606" t="str">
            <v>RO 10X15 BPM</v>
          </cell>
        </row>
        <row r="4607">
          <cell r="C4607">
            <v>104606.1</v>
          </cell>
          <cell r="D4607" t="str">
            <v>NU.IR 2308              F</v>
          </cell>
        </row>
        <row r="4608">
          <cell r="C4608">
            <v>208606.1</v>
          </cell>
          <cell r="D4608" t="str">
            <v>NU.OR 2308              F</v>
          </cell>
        </row>
        <row r="4609">
          <cell r="C4609">
            <v>309606.09999999998</v>
          </cell>
          <cell r="D4609" t="str">
            <v>NU.MCG 2308</v>
          </cell>
        </row>
        <row r="4610">
          <cell r="C4610">
            <v>511606.1</v>
          </cell>
          <cell r="D4610" t="str">
            <v>RO 12X20</v>
          </cell>
        </row>
        <row r="4611">
          <cell r="C4611">
            <v>104607.01</v>
          </cell>
          <cell r="D4611" t="str">
            <v>N.IR 209                F</v>
          </cell>
        </row>
        <row r="4612">
          <cell r="C4612">
            <v>208607.01</v>
          </cell>
          <cell r="D4612" t="str">
            <v>N.OR 209                F</v>
          </cell>
        </row>
        <row r="4613">
          <cell r="C4613">
            <v>309607.01</v>
          </cell>
          <cell r="D4613" t="str">
            <v>N.MCG 209</v>
          </cell>
        </row>
        <row r="4614">
          <cell r="C4614">
            <v>511604.06</v>
          </cell>
          <cell r="D4614" t="str">
            <v>RO 10X10 BPM</v>
          </cell>
        </row>
        <row r="4615">
          <cell r="C4615">
            <v>104607.02</v>
          </cell>
          <cell r="D4615" t="str">
            <v>N.IR 309                F</v>
          </cell>
        </row>
        <row r="4616">
          <cell r="C4616">
            <v>208607.02</v>
          </cell>
          <cell r="D4616" t="str">
            <v>N.OR 309                F</v>
          </cell>
        </row>
        <row r="4617">
          <cell r="C4617">
            <v>309607.02</v>
          </cell>
          <cell r="D4617" t="str">
            <v>N.MCG 309</v>
          </cell>
        </row>
        <row r="4618">
          <cell r="C4618">
            <v>511614.06</v>
          </cell>
          <cell r="D4618" t="str">
            <v>RO 15X16</v>
          </cell>
        </row>
        <row r="4619">
          <cell r="C4619">
            <v>104607.03</v>
          </cell>
          <cell r="D4619" t="str">
            <v>NJ.IR 209               F</v>
          </cell>
        </row>
        <row r="4620">
          <cell r="C4620">
            <v>208607.05</v>
          </cell>
          <cell r="D4620" t="str">
            <v>NU.OR 209               F</v>
          </cell>
        </row>
        <row r="4621">
          <cell r="C4621">
            <v>309607.05</v>
          </cell>
          <cell r="D4621" t="str">
            <v>NU/NJ.MCG 209</v>
          </cell>
        </row>
        <row r="4622">
          <cell r="C4622">
            <v>511604.06</v>
          </cell>
          <cell r="D4622" t="str">
            <v>RO 10X10 BPM</v>
          </cell>
        </row>
        <row r="4623">
          <cell r="C4623">
            <v>913024</v>
          </cell>
          <cell r="D4623" t="str">
            <v>Box 85X25X85</v>
          </cell>
        </row>
        <row r="4624">
          <cell r="C4624">
            <v>104607.03999999999</v>
          </cell>
          <cell r="D4624" t="str">
            <v>NJ.IR 309               F</v>
          </cell>
        </row>
        <row r="4625">
          <cell r="C4625">
            <v>208489</v>
          </cell>
          <cell r="D4625" t="str">
            <v>NU.OR 309</v>
          </cell>
        </row>
        <row r="4626">
          <cell r="C4626">
            <v>309489</v>
          </cell>
          <cell r="D4626" t="str">
            <v>NU.MCG 309</v>
          </cell>
        </row>
        <row r="4627">
          <cell r="C4627">
            <v>511998</v>
          </cell>
          <cell r="D4627" t="str">
            <v>RO 14X14</v>
          </cell>
        </row>
        <row r="4628">
          <cell r="C4628">
            <v>104607.05</v>
          </cell>
          <cell r="D4628" t="str">
            <v>NU.IR 209               F</v>
          </cell>
        </row>
        <row r="4629">
          <cell r="C4629">
            <v>208607.05</v>
          </cell>
          <cell r="D4629" t="str">
            <v>NU.OR 209               F</v>
          </cell>
        </row>
        <row r="4630">
          <cell r="C4630">
            <v>309607.05</v>
          </cell>
          <cell r="D4630" t="str">
            <v>NU/NJ.MCG 209</v>
          </cell>
        </row>
        <row r="4631">
          <cell r="C4631">
            <v>511604.06</v>
          </cell>
          <cell r="D4631" t="str">
            <v>RO 10X10 BPM</v>
          </cell>
        </row>
        <row r="4632">
          <cell r="C4632">
            <v>913024</v>
          </cell>
          <cell r="D4632" t="str">
            <v>Box 85X25X85</v>
          </cell>
        </row>
        <row r="4633">
          <cell r="C4633">
            <v>104607.03999999999</v>
          </cell>
          <cell r="D4633" t="str">
            <v>NJ.IR 309               F</v>
          </cell>
        </row>
        <row r="4634">
          <cell r="C4634">
            <v>208489</v>
          </cell>
          <cell r="D4634" t="str">
            <v>NU.OR 309</v>
          </cell>
        </row>
        <row r="4635">
          <cell r="C4635">
            <v>309489</v>
          </cell>
          <cell r="D4635" t="str">
            <v>NU.MCG 309</v>
          </cell>
        </row>
        <row r="4636">
          <cell r="C4636">
            <v>511998</v>
          </cell>
          <cell r="D4636" t="str">
            <v>RO 14X14</v>
          </cell>
        </row>
        <row r="4637">
          <cell r="C4637">
            <v>104607.07</v>
          </cell>
          <cell r="D4637" t="str">
            <v>NJ.IR 2209</v>
          </cell>
        </row>
        <row r="4638">
          <cell r="C4638">
            <v>208607.07</v>
          </cell>
          <cell r="D4638" t="str">
            <v>NJ.OR 2209              F</v>
          </cell>
        </row>
        <row r="4639">
          <cell r="C4639">
            <v>309607.07</v>
          </cell>
          <cell r="D4639" t="str">
            <v>NU/NJ.MCG 2209</v>
          </cell>
        </row>
        <row r="4640">
          <cell r="C4640">
            <v>511607.07</v>
          </cell>
          <cell r="D4640" t="str">
            <v>RO 10X15 BPM</v>
          </cell>
        </row>
        <row r="4641">
          <cell r="C4641">
            <v>913027</v>
          </cell>
          <cell r="D4641" t="str">
            <v>Box 105X30X105</v>
          </cell>
        </row>
        <row r="4642">
          <cell r="C4642">
            <v>104607.09</v>
          </cell>
          <cell r="D4642" t="str">
            <v>NU.IR 2209              F</v>
          </cell>
        </row>
        <row r="4643">
          <cell r="C4643">
            <v>208607.07</v>
          </cell>
          <cell r="D4643" t="str">
            <v>NJ.OR 2209              F</v>
          </cell>
        </row>
        <row r="4644">
          <cell r="C4644">
            <v>309607.07</v>
          </cell>
          <cell r="D4644" t="str">
            <v>NU/NJ.MCG 2209</v>
          </cell>
        </row>
        <row r="4645">
          <cell r="C4645">
            <v>511607.07</v>
          </cell>
          <cell r="D4645" t="str">
            <v>RO 10X15 BPM</v>
          </cell>
        </row>
        <row r="4646">
          <cell r="C4646">
            <v>913027</v>
          </cell>
          <cell r="D4646" t="str">
            <v>Box 105X30X105</v>
          </cell>
        </row>
        <row r="4647">
          <cell r="C4647">
            <v>104607.1</v>
          </cell>
          <cell r="D4647" t="str">
            <v>NU.IR 2309              F</v>
          </cell>
        </row>
        <row r="4648">
          <cell r="C4648">
            <v>104608.01</v>
          </cell>
          <cell r="D4648" t="str">
            <v>N.IR 210                F</v>
          </cell>
        </row>
        <row r="4649">
          <cell r="C4649">
            <v>208608.01</v>
          </cell>
          <cell r="D4649" t="str">
            <v>N.OR 210                F</v>
          </cell>
        </row>
        <row r="4650">
          <cell r="C4650">
            <v>309608.01</v>
          </cell>
          <cell r="D4650" t="str">
            <v>N.MCG 210</v>
          </cell>
        </row>
        <row r="4651">
          <cell r="C4651">
            <v>511608.01</v>
          </cell>
          <cell r="D4651" t="str">
            <v>RO 10X12.150</v>
          </cell>
        </row>
        <row r="4652">
          <cell r="C4652">
            <v>104608.02</v>
          </cell>
          <cell r="D4652" t="str">
            <v>N.IR 310                F</v>
          </cell>
        </row>
        <row r="4653">
          <cell r="C4653">
            <v>208608.02</v>
          </cell>
          <cell r="D4653" t="str">
            <v>N.OR 310                F</v>
          </cell>
        </row>
        <row r="4654">
          <cell r="C4654">
            <v>309608.02</v>
          </cell>
          <cell r="D4654" t="str">
            <v>N.MCG 310</v>
          </cell>
        </row>
        <row r="4655">
          <cell r="C4655">
            <v>511474</v>
          </cell>
          <cell r="D4655" t="str">
            <v>RO 15X15 BPM</v>
          </cell>
        </row>
        <row r="4656">
          <cell r="C4656">
            <v>104608.03</v>
          </cell>
          <cell r="D4656" t="str">
            <v>NJ.IR 210               F</v>
          </cell>
        </row>
        <row r="4657">
          <cell r="C4657">
            <v>208608.05</v>
          </cell>
          <cell r="D4657" t="str">
            <v>NU.OR 210               F</v>
          </cell>
        </row>
        <row r="4658">
          <cell r="C4658">
            <v>309608.05</v>
          </cell>
          <cell r="D4658" t="str">
            <v>NU.MCG 210</v>
          </cell>
        </row>
        <row r="4659">
          <cell r="C4659">
            <v>511608.01</v>
          </cell>
          <cell r="D4659" t="str">
            <v>RO 10X12.150</v>
          </cell>
        </row>
        <row r="4660">
          <cell r="C4660">
            <v>104608.04</v>
          </cell>
          <cell r="D4660" t="str">
            <v>NJ.IR 310               F</v>
          </cell>
        </row>
        <row r="4661">
          <cell r="C4661">
            <v>208608.06</v>
          </cell>
          <cell r="D4661" t="str">
            <v>NU.OR 310               F</v>
          </cell>
        </row>
        <row r="4662">
          <cell r="C4662">
            <v>309608.06</v>
          </cell>
          <cell r="D4662" t="str">
            <v>NU.MCG 310</v>
          </cell>
        </row>
        <row r="4663">
          <cell r="C4663">
            <v>511474</v>
          </cell>
          <cell r="D4663" t="str">
            <v>RO 15X15 BPM</v>
          </cell>
        </row>
        <row r="4664">
          <cell r="C4664">
            <v>104608.05</v>
          </cell>
          <cell r="D4664" t="str">
            <v>NU.IR 210               F</v>
          </cell>
        </row>
        <row r="4665">
          <cell r="C4665">
            <v>208608.05</v>
          </cell>
          <cell r="D4665" t="str">
            <v>NU.OR 210               F</v>
          </cell>
        </row>
        <row r="4666">
          <cell r="C4666">
            <v>309608.05</v>
          </cell>
          <cell r="D4666" t="str">
            <v>NU.MCG 210</v>
          </cell>
        </row>
        <row r="4667">
          <cell r="C4667">
            <v>511608.01</v>
          </cell>
          <cell r="D4667" t="str">
            <v>RO 10X12.150</v>
          </cell>
        </row>
        <row r="4668">
          <cell r="C4668">
            <v>104608.06</v>
          </cell>
          <cell r="D4668" t="str">
            <v>NU.IR 310               F</v>
          </cell>
        </row>
        <row r="4669">
          <cell r="C4669">
            <v>208608.06</v>
          </cell>
          <cell r="D4669" t="str">
            <v>NU.OR 310               F</v>
          </cell>
        </row>
        <row r="4670">
          <cell r="C4670">
            <v>309608.06</v>
          </cell>
          <cell r="D4670" t="str">
            <v>NU.MCG 310</v>
          </cell>
        </row>
        <row r="4671">
          <cell r="C4671">
            <v>511474</v>
          </cell>
          <cell r="D4671" t="str">
            <v>RO 15X15 BPM</v>
          </cell>
        </row>
        <row r="4672">
          <cell r="C4672">
            <v>104608.07</v>
          </cell>
          <cell r="D4672" t="str">
            <v>NJ.IR 2210              F</v>
          </cell>
        </row>
        <row r="4673">
          <cell r="C4673">
            <v>208608.09</v>
          </cell>
          <cell r="D4673" t="str">
            <v>NU.OR 2210              F</v>
          </cell>
        </row>
        <row r="4674">
          <cell r="C4674">
            <v>309608.09000000003</v>
          </cell>
          <cell r="D4674" t="str">
            <v>NU.MCG 2210</v>
          </cell>
        </row>
        <row r="4675">
          <cell r="C4675">
            <v>511607.07</v>
          </cell>
          <cell r="D4675" t="str">
            <v>RO 10X15 BPM</v>
          </cell>
        </row>
        <row r="4676">
          <cell r="C4676">
            <v>104608.08</v>
          </cell>
          <cell r="D4676" t="str">
            <v>NJ.IR 2310              F</v>
          </cell>
        </row>
        <row r="4677">
          <cell r="C4677">
            <v>208608.1</v>
          </cell>
          <cell r="D4677" t="str">
            <v>NU.OR 2310              F</v>
          </cell>
        </row>
        <row r="4678">
          <cell r="C4678">
            <v>104608.09</v>
          </cell>
          <cell r="D4678" t="str">
            <v>NU.IR 2210              F</v>
          </cell>
        </row>
        <row r="4679">
          <cell r="C4679">
            <v>208608.09</v>
          </cell>
          <cell r="D4679" t="str">
            <v>NU.OR 2210              F</v>
          </cell>
        </row>
        <row r="4680">
          <cell r="C4680">
            <v>309608.09000000003</v>
          </cell>
          <cell r="D4680" t="str">
            <v>NU.MCG 2210</v>
          </cell>
        </row>
        <row r="4681">
          <cell r="C4681">
            <v>511607.07</v>
          </cell>
          <cell r="D4681" t="str">
            <v>RO 10X15 BPM</v>
          </cell>
        </row>
        <row r="4682">
          <cell r="C4682">
            <v>104608.1</v>
          </cell>
          <cell r="D4682" t="str">
            <v>NU.IR 2310              F</v>
          </cell>
        </row>
        <row r="4683">
          <cell r="C4683">
            <v>208608.1</v>
          </cell>
          <cell r="D4683" t="str">
            <v>NU.OR 2310              F</v>
          </cell>
        </row>
        <row r="4684">
          <cell r="C4684">
            <v>100608.11</v>
          </cell>
          <cell r="D4684" t="str">
            <v>NJ.IR 310 (12)</v>
          </cell>
        </row>
        <row r="4685">
          <cell r="C4685">
            <v>200608.11</v>
          </cell>
          <cell r="D4685" t="str">
            <v>NJ.OR 310(12)</v>
          </cell>
        </row>
        <row r="4686">
          <cell r="C4686">
            <v>300608.11</v>
          </cell>
          <cell r="D4686" t="str">
            <v>NJ.MCG 310 (12)</v>
          </cell>
        </row>
        <row r="4687">
          <cell r="C4687">
            <v>511474</v>
          </cell>
          <cell r="D4687" t="str">
            <v>RO 15X15 BPM</v>
          </cell>
        </row>
        <row r="4688">
          <cell r="C4688">
            <v>914005</v>
          </cell>
          <cell r="D4688" t="str">
            <v>BOX 115X115X141 3PLY</v>
          </cell>
        </row>
        <row r="4689">
          <cell r="C4689">
            <v>100608.12</v>
          </cell>
          <cell r="D4689" t="str">
            <v>NUP.IR 310(12)</v>
          </cell>
        </row>
        <row r="4690">
          <cell r="C4690">
            <v>110608.12</v>
          </cell>
          <cell r="D4690" t="str">
            <v>NUP.W 310 (12)</v>
          </cell>
        </row>
        <row r="4691">
          <cell r="C4691">
            <v>200608.11</v>
          </cell>
          <cell r="D4691" t="str">
            <v>NJ.OR 310(12)</v>
          </cell>
        </row>
        <row r="4692">
          <cell r="C4692">
            <v>300608.11</v>
          </cell>
          <cell r="D4692" t="str">
            <v>NJ.MCG 310 (12)</v>
          </cell>
        </row>
        <row r="4693">
          <cell r="C4693">
            <v>511474</v>
          </cell>
          <cell r="D4693" t="str">
            <v>RO 15X15 BPM</v>
          </cell>
        </row>
        <row r="4694">
          <cell r="C4694">
            <v>914005</v>
          </cell>
          <cell r="D4694" t="str">
            <v>BOX 115X115X141 3PLY</v>
          </cell>
        </row>
        <row r="4695">
          <cell r="C4695">
            <v>100608.11</v>
          </cell>
          <cell r="D4695" t="str">
            <v>NJ.IR 310 (12)</v>
          </cell>
        </row>
        <row r="4696">
          <cell r="C4696">
            <v>200608.11</v>
          </cell>
          <cell r="D4696" t="str">
            <v>NJ.OR 310(12)</v>
          </cell>
        </row>
        <row r="4697">
          <cell r="C4697">
            <v>300608.11</v>
          </cell>
          <cell r="D4697" t="str">
            <v>NJ.MCG 310 (12)</v>
          </cell>
        </row>
        <row r="4698">
          <cell r="C4698">
            <v>511474</v>
          </cell>
          <cell r="D4698" t="str">
            <v>RO 15X15 BPM</v>
          </cell>
        </row>
        <row r="4699">
          <cell r="C4699">
            <v>104609.01</v>
          </cell>
          <cell r="D4699" t="str">
            <v>N.IR 211                F</v>
          </cell>
        </row>
        <row r="4700">
          <cell r="C4700">
            <v>208609.01</v>
          </cell>
          <cell r="D4700" t="str">
            <v>N.OR 211                F</v>
          </cell>
        </row>
        <row r="4701">
          <cell r="C4701">
            <v>309609.01</v>
          </cell>
          <cell r="D4701" t="str">
            <v>N.MCG 211</v>
          </cell>
        </row>
        <row r="4702">
          <cell r="C4702">
            <v>511475</v>
          </cell>
          <cell r="D4702" t="str">
            <v>RO 11X11 BPM</v>
          </cell>
        </row>
        <row r="4703">
          <cell r="C4703">
            <v>104609.02</v>
          </cell>
          <cell r="D4703" t="str">
            <v>N.IR 311                F</v>
          </cell>
        </row>
        <row r="4704">
          <cell r="C4704">
            <v>208609.02</v>
          </cell>
          <cell r="D4704" t="str">
            <v>N.OR 311                F</v>
          </cell>
        </row>
        <row r="4705">
          <cell r="C4705">
            <v>309609.02</v>
          </cell>
          <cell r="D4705" t="str">
            <v>N.MCG 311</v>
          </cell>
        </row>
        <row r="4706">
          <cell r="C4706">
            <v>511609.06</v>
          </cell>
          <cell r="D4706" t="str">
            <v>RO 17X17</v>
          </cell>
        </row>
        <row r="4707">
          <cell r="C4707">
            <v>104609.03</v>
          </cell>
          <cell r="D4707" t="str">
            <v>NJ.IR 211               F</v>
          </cell>
        </row>
        <row r="4708">
          <cell r="C4708">
            <v>208609.05</v>
          </cell>
          <cell r="D4708" t="str">
            <v>NU.OR 211               F</v>
          </cell>
        </row>
        <row r="4709">
          <cell r="C4709">
            <v>309609.05</v>
          </cell>
          <cell r="D4709" t="str">
            <v>NU.MCG 211</v>
          </cell>
        </row>
        <row r="4710">
          <cell r="C4710">
            <v>511475</v>
          </cell>
          <cell r="D4710" t="str">
            <v>RO 11X11 BPM</v>
          </cell>
        </row>
        <row r="4711">
          <cell r="C4711">
            <v>104609.04</v>
          </cell>
          <cell r="D4711" t="str">
            <v>NJ.IR 311               F</v>
          </cell>
        </row>
        <row r="4712">
          <cell r="C4712">
            <v>208609.06</v>
          </cell>
          <cell r="D4712" t="str">
            <v>NU.OR 311               F</v>
          </cell>
        </row>
        <row r="4713">
          <cell r="C4713">
            <v>309609.06</v>
          </cell>
          <cell r="D4713" t="str">
            <v>NU.MCG 311</v>
          </cell>
        </row>
        <row r="4714">
          <cell r="C4714">
            <v>511609.06</v>
          </cell>
          <cell r="D4714" t="str">
            <v>RO 17X17</v>
          </cell>
        </row>
        <row r="4715">
          <cell r="C4715">
            <v>104609.05</v>
          </cell>
          <cell r="D4715" t="str">
            <v>.NU.IR 211</v>
          </cell>
        </row>
        <row r="4716">
          <cell r="C4716">
            <v>208609.05</v>
          </cell>
          <cell r="D4716" t="str">
            <v>NU.OR 211               F</v>
          </cell>
        </row>
        <row r="4717">
          <cell r="C4717">
            <v>309609.05</v>
          </cell>
          <cell r="D4717" t="str">
            <v>NU.MCG 211</v>
          </cell>
        </row>
        <row r="4718">
          <cell r="C4718">
            <v>511475</v>
          </cell>
          <cell r="D4718" t="str">
            <v>RO 11X11 BPM</v>
          </cell>
        </row>
        <row r="4719">
          <cell r="C4719">
            <v>104609.06</v>
          </cell>
          <cell r="D4719" t="str">
            <v>NU.IR 311               F</v>
          </cell>
        </row>
        <row r="4720">
          <cell r="C4720">
            <v>208609.06</v>
          </cell>
          <cell r="D4720" t="str">
            <v>NU.OR 311               F</v>
          </cell>
        </row>
        <row r="4721">
          <cell r="C4721">
            <v>309609.06</v>
          </cell>
          <cell r="D4721" t="str">
            <v>NU.MCG 311</v>
          </cell>
        </row>
        <row r="4722">
          <cell r="C4722">
            <v>511609.06</v>
          </cell>
          <cell r="D4722" t="str">
            <v>RO 17X17</v>
          </cell>
        </row>
        <row r="4723">
          <cell r="C4723">
            <v>104609.07</v>
          </cell>
          <cell r="D4723" t="str">
            <v>NJ.IR 2211              F</v>
          </cell>
        </row>
        <row r="4724">
          <cell r="C4724">
            <v>208609.07</v>
          </cell>
          <cell r="D4724" t="str">
            <v>NU.OR 2211              F</v>
          </cell>
        </row>
        <row r="4725">
          <cell r="C4725">
            <v>309609.09000000003</v>
          </cell>
          <cell r="D4725" t="str">
            <v>NU.MCG 2211</v>
          </cell>
        </row>
        <row r="4726">
          <cell r="C4726">
            <v>511448</v>
          </cell>
          <cell r="D4726" t="str">
            <v>RO 11X15 BPM</v>
          </cell>
        </row>
        <row r="4727">
          <cell r="C4727">
            <v>104609.09</v>
          </cell>
          <cell r="D4727" t="str">
            <v>NU.IR 2211              F</v>
          </cell>
        </row>
        <row r="4728">
          <cell r="C4728">
            <v>208609.09</v>
          </cell>
          <cell r="D4728" t="str">
            <v>NU.OR 2211              F</v>
          </cell>
        </row>
        <row r="4729">
          <cell r="C4729">
            <v>309609.09000000003</v>
          </cell>
          <cell r="D4729" t="str">
            <v>NU.MCG 2211</v>
          </cell>
        </row>
        <row r="4730">
          <cell r="C4730">
            <v>511448</v>
          </cell>
          <cell r="D4730" t="str">
            <v>RO 11X15 BPM</v>
          </cell>
        </row>
        <row r="4731">
          <cell r="C4731">
            <v>104609.1</v>
          </cell>
          <cell r="D4731" t="str">
            <v>NU.IR 2311              F</v>
          </cell>
        </row>
        <row r="4732">
          <cell r="C4732">
            <v>208609.1</v>
          </cell>
          <cell r="D4732" t="str">
            <v>NU.OR 2311              F</v>
          </cell>
        </row>
        <row r="4733">
          <cell r="C4733">
            <v>104609.02</v>
          </cell>
          <cell r="D4733" t="str">
            <v>N.IR 311                F</v>
          </cell>
        </row>
        <row r="4734">
          <cell r="C4734">
            <v>200609.2</v>
          </cell>
          <cell r="D4734" t="str">
            <v>NF.OR 311</v>
          </cell>
        </row>
        <row r="4735">
          <cell r="C4735">
            <v>309609.02</v>
          </cell>
          <cell r="D4735" t="str">
            <v>N.MCG 311</v>
          </cell>
        </row>
        <row r="4736">
          <cell r="C4736">
            <v>511609.06</v>
          </cell>
          <cell r="D4736" t="str">
            <v>RO 17X17</v>
          </cell>
        </row>
        <row r="4737">
          <cell r="C4737">
            <v>104610.01</v>
          </cell>
          <cell r="D4737" t="str">
            <v>N.IR 212                F</v>
          </cell>
        </row>
        <row r="4738">
          <cell r="C4738">
            <v>208610.01</v>
          </cell>
          <cell r="D4738" t="str">
            <v>N.OR 212                F</v>
          </cell>
        </row>
        <row r="4739">
          <cell r="C4739">
            <v>309610.01</v>
          </cell>
          <cell r="D4739" t="str">
            <v>N.MCG 212</v>
          </cell>
        </row>
        <row r="4740">
          <cell r="C4740">
            <v>511610.01</v>
          </cell>
          <cell r="D4740" t="str">
            <v>RO 12X12</v>
          </cell>
        </row>
        <row r="4741">
          <cell r="C4741">
            <v>104610.02</v>
          </cell>
          <cell r="D4741" t="str">
            <v>N.IR 312                F</v>
          </cell>
        </row>
        <row r="4742">
          <cell r="C4742">
            <v>208610.02</v>
          </cell>
          <cell r="D4742" t="str">
            <v>N.OR 312                F</v>
          </cell>
        </row>
        <row r="4743">
          <cell r="C4743">
            <v>309610.02</v>
          </cell>
          <cell r="D4743" t="str">
            <v>N.MCG 312</v>
          </cell>
        </row>
        <row r="4744">
          <cell r="C4744">
            <v>511610.02</v>
          </cell>
          <cell r="D4744" t="str">
            <v>RO 18X18</v>
          </cell>
        </row>
        <row r="4745">
          <cell r="C4745">
            <v>104610.03</v>
          </cell>
          <cell r="D4745" t="str">
            <v>NJ.IR 212               F</v>
          </cell>
        </row>
        <row r="4746">
          <cell r="C4746">
            <v>208610.05</v>
          </cell>
          <cell r="D4746" t="str">
            <v>NU.OR 212               F</v>
          </cell>
        </row>
        <row r="4747">
          <cell r="C4747">
            <v>309610.05</v>
          </cell>
          <cell r="D4747" t="str">
            <v>NU.MCG 212</v>
          </cell>
        </row>
        <row r="4748">
          <cell r="C4748">
            <v>511610.01</v>
          </cell>
          <cell r="D4748" t="str">
            <v>RO 12X12</v>
          </cell>
        </row>
        <row r="4749">
          <cell r="C4749">
            <v>104610.04</v>
          </cell>
          <cell r="D4749" t="str">
            <v>NJ.IR 312               F</v>
          </cell>
        </row>
        <row r="4750">
          <cell r="C4750">
            <v>208610.06</v>
          </cell>
          <cell r="D4750" t="str">
            <v>NU.OR 312               F</v>
          </cell>
        </row>
        <row r="4751">
          <cell r="C4751">
            <v>309610.06</v>
          </cell>
          <cell r="D4751" t="str">
            <v>NU.MCG 312</v>
          </cell>
        </row>
        <row r="4752">
          <cell r="C4752">
            <v>511610.02</v>
          </cell>
          <cell r="D4752" t="str">
            <v>RO 18X18</v>
          </cell>
        </row>
        <row r="4753">
          <cell r="C4753">
            <v>104610.05</v>
          </cell>
          <cell r="D4753" t="str">
            <v>NU.IR 212               F</v>
          </cell>
        </row>
        <row r="4754">
          <cell r="C4754">
            <v>208610.05</v>
          </cell>
          <cell r="D4754" t="str">
            <v>NU.OR 212               F</v>
          </cell>
        </row>
        <row r="4755">
          <cell r="C4755">
            <v>309610.05</v>
          </cell>
          <cell r="D4755" t="str">
            <v>NU.MCG 212</v>
          </cell>
        </row>
        <row r="4756">
          <cell r="C4756">
            <v>511610.01</v>
          </cell>
          <cell r="D4756" t="str">
            <v>RO 12X12</v>
          </cell>
        </row>
        <row r="4757">
          <cell r="C4757">
            <v>104610.06</v>
          </cell>
          <cell r="D4757" t="str">
            <v>NU.IR 312               F</v>
          </cell>
        </row>
        <row r="4758">
          <cell r="C4758">
            <v>208610.06</v>
          </cell>
          <cell r="D4758" t="str">
            <v>NU.OR 312               F</v>
          </cell>
        </row>
        <row r="4759">
          <cell r="C4759">
            <v>309610.06</v>
          </cell>
          <cell r="D4759" t="str">
            <v>NU.MCG 312</v>
          </cell>
        </row>
        <row r="4760">
          <cell r="C4760">
            <v>511610.02</v>
          </cell>
          <cell r="D4760" t="str">
            <v>RO 18X18</v>
          </cell>
        </row>
        <row r="4761">
          <cell r="C4761">
            <v>104610.07</v>
          </cell>
          <cell r="D4761" t="str">
            <v>NJ.IR 2212              F</v>
          </cell>
        </row>
        <row r="4762">
          <cell r="C4762">
            <v>208610.09</v>
          </cell>
          <cell r="D4762" t="str">
            <v>NU.OR 2212              F</v>
          </cell>
        </row>
        <row r="4763">
          <cell r="C4763">
            <v>309610.09000000003</v>
          </cell>
          <cell r="D4763" t="str">
            <v>NU.MCG 2212</v>
          </cell>
        </row>
        <row r="4764">
          <cell r="C4764">
            <v>511606.1</v>
          </cell>
          <cell r="D4764" t="str">
            <v>RO 12X20</v>
          </cell>
        </row>
        <row r="4765">
          <cell r="C4765">
            <v>104610.09</v>
          </cell>
          <cell r="D4765" t="str">
            <v>NU.IR 2212              F</v>
          </cell>
        </row>
        <row r="4766">
          <cell r="C4766">
            <v>208610.09</v>
          </cell>
          <cell r="D4766" t="str">
            <v>NU.OR 2212              F</v>
          </cell>
        </row>
        <row r="4767">
          <cell r="C4767">
            <v>309610.09000000003</v>
          </cell>
          <cell r="D4767" t="str">
            <v>NU.MCG 2212</v>
          </cell>
        </row>
        <row r="4768">
          <cell r="C4768">
            <v>511606.1</v>
          </cell>
          <cell r="D4768" t="str">
            <v>RO 12X20</v>
          </cell>
        </row>
        <row r="4769">
          <cell r="C4769">
            <v>104610.1</v>
          </cell>
          <cell r="D4769" t="str">
            <v>NU.IR 2312              F</v>
          </cell>
        </row>
        <row r="4770">
          <cell r="C4770">
            <v>208610.1</v>
          </cell>
          <cell r="D4770" t="str">
            <v>NU.OR 2312              F</v>
          </cell>
        </row>
        <row r="4771">
          <cell r="C4771">
            <v>208610.05</v>
          </cell>
          <cell r="D4771" t="str">
            <v>NU.OR 212               F</v>
          </cell>
        </row>
        <row r="4772">
          <cell r="C4772">
            <v>309610.05</v>
          </cell>
          <cell r="D4772" t="str">
            <v>NU.MCG 212</v>
          </cell>
        </row>
        <row r="4773">
          <cell r="C4773">
            <v>511610.01</v>
          </cell>
          <cell r="D4773" t="str">
            <v>RO 12X12</v>
          </cell>
        </row>
        <row r="4774">
          <cell r="C4774">
            <v>104611.01</v>
          </cell>
          <cell r="D4774" t="str">
            <v>N.IR 213                F</v>
          </cell>
        </row>
        <row r="4775">
          <cell r="C4775">
            <v>208611.01</v>
          </cell>
          <cell r="D4775" t="str">
            <v>N.OR 213                F</v>
          </cell>
        </row>
        <row r="4776">
          <cell r="C4776">
            <v>309611.01</v>
          </cell>
          <cell r="D4776" t="str">
            <v>N.MCG 213</v>
          </cell>
        </row>
        <row r="4777">
          <cell r="C4777">
            <v>511611.01</v>
          </cell>
          <cell r="D4777" t="str">
            <v>RO 13X13</v>
          </cell>
        </row>
        <row r="4778">
          <cell r="C4778">
            <v>5425611.0099999998</v>
          </cell>
          <cell r="D4778" t="str">
            <v>LOCKING DIA N 213</v>
          </cell>
        </row>
        <row r="4779">
          <cell r="C4779">
            <v>104611.02</v>
          </cell>
          <cell r="D4779" t="str">
            <v>N.IR 313                F</v>
          </cell>
        </row>
        <row r="4780">
          <cell r="C4780">
            <v>208611.02</v>
          </cell>
          <cell r="D4780" t="str">
            <v>N.OR 313                F</v>
          </cell>
        </row>
        <row r="4781">
          <cell r="C4781">
            <v>309611.02</v>
          </cell>
          <cell r="D4781" t="str">
            <v>N.MCG 313</v>
          </cell>
        </row>
        <row r="4782">
          <cell r="C4782">
            <v>511610.02</v>
          </cell>
          <cell r="D4782" t="str">
            <v>RO 18X18</v>
          </cell>
        </row>
        <row r="4783">
          <cell r="C4783">
            <v>104611.03</v>
          </cell>
          <cell r="D4783" t="str">
            <v>NJ.IR 213               F</v>
          </cell>
        </row>
        <row r="4784">
          <cell r="C4784">
            <v>208611.05</v>
          </cell>
          <cell r="D4784" t="str">
            <v>NU.OR 213               F</v>
          </cell>
        </row>
        <row r="4785">
          <cell r="C4785">
            <v>309611.05</v>
          </cell>
          <cell r="D4785" t="str">
            <v>NU.MCG 213</v>
          </cell>
        </row>
        <row r="4786">
          <cell r="C4786">
            <v>511611.01</v>
          </cell>
          <cell r="D4786" t="str">
            <v>RO 13X13</v>
          </cell>
        </row>
        <row r="4787">
          <cell r="C4787">
            <v>104611.04</v>
          </cell>
          <cell r="D4787" t="str">
            <v>NJ.IR 313               F</v>
          </cell>
        </row>
        <row r="4788">
          <cell r="C4788">
            <v>309611.06</v>
          </cell>
          <cell r="D4788" t="str">
            <v>NU.MCG 313</v>
          </cell>
        </row>
        <row r="4789">
          <cell r="C4789">
            <v>511610.02</v>
          </cell>
          <cell r="D4789" t="str">
            <v>RO 18X18</v>
          </cell>
        </row>
        <row r="4790">
          <cell r="C4790">
            <v>104611.05</v>
          </cell>
          <cell r="D4790" t="str">
            <v>NU.IR 213               F</v>
          </cell>
        </row>
        <row r="4791">
          <cell r="C4791">
            <v>208611.05</v>
          </cell>
          <cell r="D4791" t="str">
            <v>NU.OR 213               F</v>
          </cell>
        </row>
        <row r="4792">
          <cell r="C4792">
            <v>309611.05</v>
          </cell>
          <cell r="D4792" t="str">
            <v>NU.MCG 213</v>
          </cell>
        </row>
        <row r="4793">
          <cell r="C4793">
            <v>511611.01</v>
          </cell>
          <cell r="D4793" t="str">
            <v>RO 13X13</v>
          </cell>
        </row>
        <row r="4794">
          <cell r="C4794">
            <v>104611.06</v>
          </cell>
          <cell r="D4794" t="str">
            <v>NU.IR 313               F</v>
          </cell>
        </row>
        <row r="4795">
          <cell r="C4795">
            <v>208611.06</v>
          </cell>
          <cell r="D4795" t="str">
            <v>NU.OR 313               F</v>
          </cell>
        </row>
        <row r="4796">
          <cell r="C4796">
            <v>309611.06</v>
          </cell>
          <cell r="D4796" t="str">
            <v>NU.MCG 313</v>
          </cell>
        </row>
        <row r="4797">
          <cell r="C4797">
            <v>511610.02</v>
          </cell>
          <cell r="D4797" t="str">
            <v>RO 18X18</v>
          </cell>
        </row>
        <row r="4798">
          <cell r="C4798">
            <v>104611.07</v>
          </cell>
          <cell r="D4798" t="str">
            <v>NJ.IR 2213              F</v>
          </cell>
        </row>
        <row r="4799">
          <cell r="C4799">
            <v>208611.09</v>
          </cell>
          <cell r="D4799" t="str">
            <v>NU.OR 2213              F</v>
          </cell>
        </row>
        <row r="4800">
          <cell r="C4800">
            <v>309611.09000000003</v>
          </cell>
          <cell r="D4800" t="str">
            <v>NU.MCG 2213</v>
          </cell>
        </row>
        <row r="4801">
          <cell r="C4801">
            <v>511611.09</v>
          </cell>
          <cell r="D4801" t="str">
            <v>RO 13X20</v>
          </cell>
        </row>
        <row r="4802">
          <cell r="C4802">
            <v>104611.09</v>
          </cell>
          <cell r="D4802" t="str">
            <v>NU.IR 2213              F</v>
          </cell>
        </row>
        <row r="4803">
          <cell r="C4803">
            <v>208611.09</v>
          </cell>
          <cell r="D4803" t="str">
            <v>NU.OR 2213              F</v>
          </cell>
        </row>
        <row r="4804">
          <cell r="C4804">
            <v>309611.09000000003</v>
          </cell>
          <cell r="D4804" t="str">
            <v>NU.MCG 2213</v>
          </cell>
        </row>
        <row r="4805">
          <cell r="C4805">
            <v>511611.09</v>
          </cell>
          <cell r="D4805" t="str">
            <v>RO 13X20</v>
          </cell>
        </row>
        <row r="4806">
          <cell r="C4806">
            <v>208611.06</v>
          </cell>
          <cell r="D4806" t="str">
            <v>NU.OR 313               F</v>
          </cell>
        </row>
        <row r="4807">
          <cell r="C4807">
            <v>309611.06</v>
          </cell>
          <cell r="D4807" t="str">
            <v>NU.MCG 313</v>
          </cell>
        </row>
        <row r="4808">
          <cell r="C4808">
            <v>511610.02</v>
          </cell>
          <cell r="D4808" t="str">
            <v>RO 18X18</v>
          </cell>
        </row>
        <row r="4809">
          <cell r="C4809">
            <v>104612.06</v>
          </cell>
          <cell r="D4809" t="str">
            <v>NU.IR 305 ECP           F</v>
          </cell>
        </row>
        <row r="4810">
          <cell r="C4810">
            <v>208612.06</v>
          </cell>
          <cell r="D4810" t="str">
            <v>NU.OR 305 ECP           F</v>
          </cell>
        </row>
        <row r="4811">
          <cell r="C4811">
            <v>309612.06</v>
          </cell>
          <cell r="D4811" t="str">
            <v>NU.NCG 305 ECP</v>
          </cell>
        </row>
        <row r="4812">
          <cell r="C4812">
            <v>511612.06</v>
          </cell>
          <cell r="D4812" t="str">
            <v>RO 10X11</v>
          </cell>
        </row>
        <row r="4813">
          <cell r="C4813">
            <v>104605.06</v>
          </cell>
          <cell r="D4813" t="str">
            <v>NU.IR 307               F</v>
          </cell>
        </row>
        <row r="4814">
          <cell r="C4814">
            <v>208613.06</v>
          </cell>
          <cell r="D4814" t="str">
            <v>NU.OR 307 ECP           F</v>
          </cell>
        </row>
        <row r="4815">
          <cell r="C4815">
            <v>309613.06</v>
          </cell>
          <cell r="D4815" t="str">
            <v>NU.NCG 307 ECP</v>
          </cell>
        </row>
        <row r="4816">
          <cell r="C4816">
            <v>511613.06</v>
          </cell>
          <cell r="D4816" t="str">
            <v>RO 12X14 BPM</v>
          </cell>
        </row>
        <row r="4817">
          <cell r="C4817">
            <v>913024</v>
          </cell>
          <cell r="D4817" t="str">
            <v>Box 85X25X85</v>
          </cell>
        </row>
        <row r="4818">
          <cell r="C4818">
            <v>104614.06</v>
          </cell>
          <cell r="D4818" t="str">
            <v>NU.IR 309 ECP           F</v>
          </cell>
        </row>
        <row r="4819">
          <cell r="C4819">
            <v>208614.06</v>
          </cell>
          <cell r="D4819" t="str">
            <v>NU.OR 309 ECP           F</v>
          </cell>
        </row>
        <row r="4820">
          <cell r="C4820">
            <v>309614.06</v>
          </cell>
          <cell r="D4820" t="str">
            <v>NU.NCG 309 ECP</v>
          </cell>
        </row>
        <row r="4821">
          <cell r="C4821">
            <v>511614.06</v>
          </cell>
          <cell r="D4821" t="str">
            <v>RO 15X16</v>
          </cell>
        </row>
        <row r="4822">
          <cell r="C4822">
            <v>208614.06</v>
          </cell>
          <cell r="D4822" t="str">
            <v>NU.OR 309 ECP           F</v>
          </cell>
        </row>
        <row r="4823">
          <cell r="C4823">
            <v>309614.06</v>
          </cell>
          <cell r="D4823" t="str">
            <v>NU.NCG 309 ECP</v>
          </cell>
        </row>
        <row r="4824">
          <cell r="C4824">
            <v>511614.06</v>
          </cell>
          <cell r="D4824" t="str">
            <v>RO 15X16</v>
          </cell>
        </row>
        <row r="4825">
          <cell r="C4825">
            <v>104615.06</v>
          </cell>
          <cell r="D4825" t="str">
            <v>NU.IR 304  E</v>
          </cell>
        </row>
        <row r="4826">
          <cell r="C4826">
            <v>208615.06</v>
          </cell>
          <cell r="D4826" t="str">
            <v>NU.OR 304 E</v>
          </cell>
        </row>
        <row r="4827">
          <cell r="C4827">
            <v>309615.06</v>
          </cell>
          <cell r="D4827" t="str">
            <v>NU.NCG 304 E</v>
          </cell>
        </row>
        <row r="4828">
          <cell r="C4828">
            <v>511615.06</v>
          </cell>
          <cell r="D4828" t="str">
            <v>RO 9X10 BPM</v>
          </cell>
        </row>
        <row r="4829">
          <cell r="C4829">
            <v>104615.06</v>
          </cell>
          <cell r="D4829" t="str">
            <v>NU.IR 304  E</v>
          </cell>
        </row>
        <row r="4830">
          <cell r="C4830">
            <v>104615.06</v>
          </cell>
          <cell r="D4830" t="str">
            <v>NU.IR 304  E</v>
          </cell>
        </row>
        <row r="4831">
          <cell r="C4831">
            <v>208615.06</v>
          </cell>
          <cell r="D4831" t="str">
            <v>NU.OR 304 E</v>
          </cell>
        </row>
        <row r="4832">
          <cell r="C4832">
            <v>309615.06</v>
          </cell>
          <cell r="D4832" t="str">
            <v>NU.NCG 304 E</v>
          </cell>
        </row>
        <row r="4833">
          <cell r="C4833">
            <v>511615.06</v>
          </cell>
          <cell r="D4833" t="str">
            <v>RO 9X10 BPM</v>
          </cell>
        </row>
        <row r="4834">
          <cell r="C4834">
            <v>100616</v>
          </cell>
          <cell r="D4834" t="str">
            <v>NUP.IR 214</v>
          </cell>
        </row>
        <row r="4835">
          <cell r="C4835">
            <v>100616.1</v>
          </cell>
          <cell r="D4835" t="str">
            <v>NUP.W 214</v>
          </cell>
        </row>
        <row r="4836">
          <cell r="C4836">
            <v>200616</v>
          </cell>
          <cell r="D4836" t="str">
            <v>NUP.OR 214</v>
          </cell>
        </row>
        <row r="4837">
          <cell r="C4837">
            <v>300616</v>
          </cell>
          <cell r="D4837" t="str">
            <v>NCG.NUP 214</v>
          </cell>
        </row>
        <row r="4838">
          <cell r="C4838">
            <v>511614.06</v>
          </cell>
          <cell r="D4838" t="str">
            <v>RO 15X16</v>
          </cell>
        </row>
        <row r="4839">
          <cell r="C4839">
            <v>100616.2</v>
          </cell>
          <cell r="D4839" t="str">
            <v>NJ.IR 214</v>
          </cell>
        </row>
        <row r="4840">
          <cell r="C4840">
            <v>200616</v>
          </cell>
          <cell r="D4840" t="str">
            <v>NUP.OR 214</v>
          </cell>
        </row>
        <row r="4841">
          <cell r="C4841">
            <v>300616</v>
          </cell>
          <cell r="D4841" t="str">
            <v>NCG.NUP 214</v>
          </cell>
        </row>
        <row r="4842">
          <cell r="C4842">
            <v>511614.06</v>
          </cell>
          <cell r="D4842" t="str">
            <v>RO 15X16</v>
          </cell>
        </row>
        <row r="4843">
          <cell r="C4843">
            <v>100617</v>
          </cell>
          <cell r="D4843" t="str">
            <v>NUP.IR 307</v>
          </cell>
        </row>
        <row r="4844">
          <cell r="C4844">
            <v>100617</v>
          </cell>
          <cell r="D4844" t="str">
            <v>NUP.IR 307</v>
          </cell>
        </row>
        <row r="4845">
          <cell r="C4845">
            <v>100617.1</v>
          </cell>
          <cell r="D4845" t="str">
            <v>NUP.W 307</v>
          </cell>
        </row>
        <row r="4846">
          <cell r="C4846">
            <v>100617.1</v>
          </cell>
          <cell r="D4846" t="str">
            <v>NUP.W 307</v>
          </cell>
        </row>
        <row r="4847">
          <cell r="C4847">
            <v>208613.06</v>
          </cell>
          <cell r="D4847" t="str">
            <v>NU.OR 307 ECP           F</v>
          </cell>
        </row>
        <row r="4848">
          <cell r="C4848">
            <v>208613.06</v>
          </cell>
          <cell r="D4848" t="str">
            <v>NU.OR 307 ECP           F</v>
          </cell>
        </row>
        <row r="4849">
          <cell r="C4849">
            <v>309613.06</v>
          </cell>
          <cell r="D4849" t="str">
            <v>NU.NCG 307 ECP</v>
          </cell>
        </row>
        <row r="4850">
          <cell r="C4850">
            <v>309613.06</v>
          </cell>
          <cell r="D4850" t="str">
            <v>NU.NCG 307 ECP</v>
          </cell>
        </row>
        <row r="4851">
          <cell r="C4851">
            <v>511613.06</v>
          </cell>
          <cell r="D4851" t="str">
            <v>RO 12X14 BPM</v>
          </cell>
        </row>
        <row r="4852">
          <cell r="C4852">
            <v>511613.06</v>
          </cell>
          <cell r="D4852" t="str">
            <v>RO 12X14 BPM</v>
          </cell>
        </row>
        <row r="4853">
          <cell r="C4853">
            <v>100618</v>
          </cell>
          <cell r="D4853" t="str">
            <v>NUP.IR 2205 SPL.</v>
          </cell>
        </row>
        <row r="4854">
          <cell r="C4854">
            <v>200618</v>
          </cell>
          <cell r="D4854" t="str">
            <v>NUP.OR 2205 SPL.</v>
          </cell>
        </row>
        <row r="4855">
          <cell r="C4855">
            <v>300618</v>
          </cell>
          <cell r="D4855" t="str">
            <v>NUP.NCG 2205 SPL.</v>
          </cell>
        </row>
        <row r="4856">
          <cell r="C4856">
            <v>500618</v>
          </cell>
          <cell r="D4856" t="str">
            <v>RO 7.5X9 ZB</v>
          </cell>
        </row>
        <row r="4857">
          <cell r="C4857">
            <v>700618</v>
          </cell>
          <cell r="D4857" t="str">
            <v>NUP.W 2205 SPL.</v>
          </cell>
        </row>
        <row r="4858">
          <cell r="C4858">
            <v>100618.1</v>
          </cell>
          <cell r="D4858" t="str">
            <v>NF.IR 2207 SPL</v>
          </cell>
        </row>
        <row r="4859">
          <cell r="C4859">
            <v>200618.1</v>
          </cell>
          <cell r="D4859" t="str">
            <v>NF.OR 2207 SPL</v>
          </cell>
        </row>
        <row r="4860">
          <cell r="C4860">
            <v>300618.09999999998</v>
          </cell>
          <cell r="D4860" t="str">
            <v>NF.NCG 2207 SPL</v>
          </cell>
        </row>
        <row r="4861">
          <cell r="C4861">
            <v>500618.1</v>
          </cell>
          <cell r="D4861" t="str">
            <v>RO 9X14 ZB</v>
          </cell>
        </row>
        <row r="4862">
          <cell r="C4862">
            <v>100618.2</v>
          </cell>
          <cell r="D4862" t="str">
            <v>NJ.IR 205 SPL</v>
          </cell>
        </row>
        <row r="4863">
          <cell r="C4863">
            <v>200618.2</v>
          </cell>
          <cell r="D4863" t="str">
            <v>NJ.OR 205 SPL</v>
          </cell>
        </row>
        <row r="4864">
          <cell r="C4864">
            <v>300618</v>
          </cell>
          <cell r="D4864" t="str">
            <v>NUP.NCG 2205 SPL.</v>
          </cell>
        </row>
        <row r="4865">
          <cell r="C4865">
            <v>500618</v>
          </cell>
          <cell r="D4865" t="str">
            <v>RO 7.5X9 ZB</v>
          </cell>
        </row>
        <row r="4866">
          <cell r="C4866">
            <v>100618.3</v>
          </cell>
          <cell r="D4866" t="str">
            <v>NJ.IR 305 SPL</v>
          </cell>
        </row>
        <row r="4867">
          <cell r="C4867">
            <v>200618.3</v>
          </cell>
          <cell r="D4867" t="str">
            <v>NJ.OR 305 SPL</v>
          </cell>
        </row>
        <row r="4868">
          <cell r="C4868">
            <v>300618.3</v>
          </cell>
          <cell r="D4868" t="str">
            <v>NJ.NCG 305 SPL</v>
          </cell>
        </row>
        <row r="4869">
          <cell r="C4869">
            <v>500618.2</v>
          </cell>
          <cell r="D4869" t="str">
            <v>RO 10X11 ZB</v>
          </cell>
        </row>
        <row r="4870">
          <cell r="C4870">
            <v>100619</v>
          </cell>
          <cell r="D4870" t="str">
            <v>NUP.IR 208 E</v>
          </cell>
        </row>
        <row r="4871">
          <cell r="C4871">
            <v>200619</v>
          </cell>
          <cell r="D4871" t="str">
            <v>NUP.OR 208 E</v>
          </cell>
        </row>
        <row r="4872">
          <cell r="C4872">
            <v>300619</v>
          </cell>
          <cell r="D4872" t="str">
            <v>NUP.NCG 208 E</v>
          </cell>
        </row>
        <row r="4873">
          <cell r="C4873">
            <v>511475</v>
          </cell>
          <cell r="D4873" t="str">
            <v>RO 11X11 BPM</v>
          </cell>
        </row>
        <row r="4874">
          <cell r="C4874">
            <v>600619</v>
          </cell>
          <cell r="D4874" t="str">
            <v>NUP.W 208 E</v>
          </cell>
        </row>
        <row r="4875">
          <cell r="C4875">
            <v>100620</v>
          </cell>
          <cell r="D4875" t="str">
            <v>NJ.IR 2210 ECP</v>
          </cell>
        </row>
        <row r="4876">
          <cell r="C4876">
            <v>200620</v>
          </cell>
          <cell r="D4876" t="str">
            <v>NJ.OR 2210 ECP</v>
          </cell>
        </row>
        <row r="4877">
          <cell r="C4877">
            <v>300620</v>
          </cell>
          <cell r="D4877" t="str">
            <v>NJ.NCG 2210 ECP</v>
          </cell>
        </row>
        <row r="4878">
          <cell r="C4878">
            <v>511448</v>
          </cell>
          <cell r="D4878" t="str">
            <v>RO 11X15 BPM</v>
          </cell>
        </row>
        <row r="4879">
          <cell r="C4879">
            <v>100621</v>
          </cell>
          <cell r="D4879" t="str">
            <v>NUP.IR 206</v>
          </cell>
        </row>
        <row r="4880">
          <cell r="C4880">
            <v>100621.01</v>
          </cell>
          <cell r="D4880" t="str">
            <v>NUP.W 206</v>
          </cell>
        </row>
        <row r="4881">
          <cell r="C4881">
            <v>208604.05</v>
          </cell>
          <cell r="D4881" t="str">
            <v>NU.OR 206               F</v>
          </cell>
        </row>
        <row r="4882">
          <cell r="C4882">
            <v>309604.05</v>
          </cell>
          <cell r="D4882" t="str">
            <v>NU/NJ.MCG 206</v>
          </cell>
        </row>
        <row r="4883">
          <cell r="C4883">
            <v>511604.05</v>
          </cell>
          <cell r="D4883" t="str">
            <v>RO 7.5X7.5 BPM</v>
          </cell>
        </row>
        <row r="4884">
          <cell r="C4884">
            <v>104624.01</v>
          </cell>
          <cell r="D4884" t="str">
            <v>NAF.IR 153212</v>
          </cell>
        </row>
        <row r="4885">
          <cell r="C4885">
            <v>208624.01</v>
          </cell>
          <cell r="D4885" t="str">
            <v>NAF/RNAF.OR 203212</v>
          </cell>
        </row>
        <row r="4886">
          <cell r="C4886">
            <v>309624.01</v>
          </cell>
          <cell r="D4886" t="str">
            <v>NAF/RNAF.MCG 153212</v>
          </cell>
        </row>
        <row r="4887">
          <cell r="C4887">
            <v>511145</v>
          </cell>
          <cell r="D4887" t="str">
            <v>RO 3X9.8</v>
          </cell>
        </row>
        <row r="4888">
          <cell r="C4888">
            <v>208624.01</v>
          </cell>
          <cell r="D4888" t="str">
            <v>NAF/RNAF.OR 203212</v>
          </cell>
        </row>
        <row r="4889">
          <cell r="C4889">
            <v>309624.01</v>
          </cell>
          <cell r="D4889" t="str">
            <v>NAF/RNAF.MCG 153212</v>
          </cell>
        </row>
        <row r="4890">
          <cell r="C4890">
            <v>104624.01</v>
          </cell>
          <cell r="D4890" t="str">
            <v>NAF.IR 153212</v>
          </cell>
        </row>
        <row r="4891">
          <cell r="C4891">
            <v>104631.01</v>
          </cell>
          <cell r="D4891" t="str">
            <v>NAF.IR 203716(IR 202516)</v>
          </cell>
        </row>
        <row r="4892">
          <cell r="C4892">
            <v>8631.01</v>
          </cell>
          <cell r="D4892" t="str">
            <v/>
          </cell>
        </row>
        <row r="4893">
          <cell r="C4893">
            <v>9631.01</v>
          </cell>
          <cell r="D4893" t="str">
            <v/>
          </cell>
        </row>
        <row r="4894">
          <cell r="C4894">
            <v>8631.01</v>
          </cell>
          <cell r="D4894" t="str">
            <v/>
          </cell>
        </row>
        <row r="4895">
          <cell r="C4895">
            <v>9631.01</v>
          </cell>
          <cell r="D4895" t="str">
            <v/>
          </cell>
        </row>
        <row r="4896">
          <cell r="C4896">
            <v>104631.01</v>
          </cell>
          <cell r="D4896" t="str">
            <v>NAF.IR 203716(IR 202516)</v>
          </cell>
        </row>
        <row r="4897">
          <cell r="C4897">
            <v>104635.01</v>
          </cell>
          <cell r="D4897" t="str">
            <v>NAF.IR 254216(IR 253016)</v>
          </cell>
        </row>
        <row r="4898">
          <cell r="C4898">
            <v>8635.01</v>
          </cell>
          <cell r="D4898" t="str">
            <v/>
          </cell>
        </row>
        <row r="4899">
          <cell r="C4899">
            <v>9635.01</v>
          </cell>
          <cell r="D4899" t="str">
            <v/>
          </cell>
        </row>
        <row r="4900">
          <cell r="C4900">
            <v>8635.01</v>
          </cell>
          <cell r="D4900" t="str">
            <v/>
          </cell>
        </row>
        <row r="4901">
          <cell r="C4901">
            <v>9635.01</v>
          </cell>
          <cell r="D4901" t="str">
            <v/>
          </cell>
        </row>
        <row r="4902">
          <cell r="C4902">
            <v>104635.01</v>
          </cell>
          <cell r="D4902" t="str">
            <v>NAF.IR 254216(IR 253016)</v>
          </cell>
        </row>
        <row r="4903">
          <cell r="C4903">
            <v>104644.01</v>
          </cell>
          <cell r="D4903" t="str">
            <v>NAF.IR 355017(354017)</v>
          </cell>
        </row>
        <row r="4904">
          <cell r="C4904">
            <v>8644.01</v>
          </cell>
          <cell r="D4904" t="str">
            <v/>
          </cell>
        </row>
        <row r="4905">
          <cell r="C4905">
            <v>9644.01</v>
          </cell>
          <cell r="D4905" t="str">
            <v/>
          </cell>
        </row>
        <row r="4906">
          <cell r="C4906">
            <v>8644.01</v>
          </cell>
          <cell r="D4906" t="str">
            <v/>
          </cell>
        </row>
        <row r="4907">
          <cell r="C4907">
            <v>9644.01</v>
          </cell>
          <cell r="D4907" t="str">
            <v/>
          </cell>
        </row>
        <row r="4908">
          <cell r="C4908">
            <v>104644.01</v>
          </cell>
          <cell r="D4908" t="str">
            <v>NAF.IR 355017(354017)</v>
          </cell>
        </row>
        <row r="4909">
          <cell r="C4909">
            <v>104648.01</v>
          </cell>
          <cell r="D4909" t="str">
            <v>NAF.IR 405517(IR 404517)</v>
          </cell>
        </row>
        <row r="4910">
          <cell r="C4910">
            <v>8648.01</v>
          </cell>
          <cell r="D4910" t="str">
            <v/>
          </cell>
        </row>
        <row r="4911">
          <cell r="C4911">
            <v>9648.01</v>
          </cell>
          <cell r="D4911" t="str">
            <v/>
          </cell>
        </row>
        <row r="4912">
          <cell r="C4912">
            <v>8648.01</v>
          </cell>
          <cell r="D4912" t="str">
            <v/>
          </cell>
        </row>
        <row r="4913">
          <cell r="C4913">
            <v>9648.01</v>
          </cell>
          <cell r="D4913" t="str">
            <v/>
          </cell>
        </row>
        <row r="4914">
          <cell r="C4914">
            <v>104648.01</v>
          </cell>
          <cell r="D4914" t="str">
            <v>NAF.IR 405517(IR 404517)</v>
          </cell>
        </row>
        <row r="4915">
          <cell r="C4915">
            <v>104648.01</v>
          </cell>
          <cell r="D4915" t="str">
            <v>NAF.IR 405517(IR 404517)</v>
          </cell>
        </row>
        <row r="4916">
          <cell r="C4916">
            <v>104648.01</v>
          </cell>
          <cell r="D4916" t="str">
            <v>NAF.IR 405517(IR 404517)</v>
          </cell>
        </row>
        <row r="4917">
          <cell r="C4917">
            <v>104651.01</v>
          </cell>
          <cell r="D4917" t="str">
            <v>NAF.IR 406240(IR 404540)</v>
          </cell>
        </row>
        <row r="4918">
          <cell r="C4918">
            <v>8651.01</v>
          </cell>
          <cell r="D4918" t="str">
            <v/>
          </cell>
        </row>
        <row r="4919">
          <cell r="C4919">
            <v>9651.01</v>
          </cell>
          <cell r="D4919" t="str">
            <v/>
          </cell>
        </row>
        <row r="4920">
          <cell r="C4920">
            <v>8651.01</v>
          </cell>
          <cell r="D4920" t="str">
            <v/>
          </cell>
        </row>
        <row r="4921">
          <cell r="C4921">
            <v>9651.01</v>
          </cell>
          <cell r="D4921" t="str">
            <v/>
          </cell>
        </row>
        <row r="4922">
          <cell r="C4922">
            <v>104651.01</v>
          </cell>
          <cell r="D4922" t="str">
            <v>NAF.IR 406240(IR 404540)</v>
          </cell>
        </row>
        <row r="4923">
          <cell r="C4923">
            <v>104653.01</v>
          </cell>
          <cell r="D4923" t="str">
            <v>NAF.IR 506820(IR 505520)</v>
          </cell>
        </row>
        <row r="4924">
          <cell r="C4924">
            <v>8653.01</v>
          </cell>
          <cell r="D4924" t="str">
            <v/>
          </cell>
        </row>
        <row r="4925">
          <cell r="C4925">
            <v>9653.01</v>
          </cell>
          <cell r="D4925" t="str">
            <v/>
          </cell>
        </row>
        <row r="4926">
          <cell r="C4926">
            <v>8653.01</v>
          </cell>
          <cell r="D4926" t="str">
            <v/>
          </cell>
        </row>
        <row r="4927">
          <cell r="C4927">
            <v>9653.01</v>
          </cell>
          <cell r="D4927" t="str">
            <v/>
          </cell>
        </row>
        <row r="4928">
          <cell r="C4928">
            <v>104653.01</v>
          </cell>
          <cell r="D4928" t="str">
            <v>NAF.IR 506820(IR 505520)</v>
          </cell>
        </row>
        <row r="4929">
          <cell r="C4929">
            <v>104670.01</v>
          </cell>
          <cell r="D4929" t="str">
            <v>NA/RNA.IR 5902</v>
          </cell>
        </row>
        <row r="4930">
          <cell r="C4930">
            <v>208670.01</v>
          </cell>
          <cell r="D4930" t="str">
            <v>NA/RNA.OR 5902</v>
          </cell>
        </row>
        <row r="4931">
          <cell r="C4931">
            <v>309670.01</v>
          </cell>
          <cell r="D4931" t="str">
            <v>NA/RNA.MCG 5902</v>
          </cell>
        </row>
        <row r="4932">
          <cell r="C4932">
            <v>208670.01</v>
          </cell>
          <cell r="D4932" t="str">
            <v>NA/RNA.OR 5902</v>
          </cell>
        </row>
        <row r="4933">
          <cell r="C4933">
            <v>309670.01</v>
          </cell>
          <cell r="D4933" t="str">
            <v>NA/RNA.MCG 5902</v>
          </cell>
        </row>
        <row r="4934">
          <cell r="C4934">
            <v>104670.01</v>
          </cell>
          <cell r="D4934" t="str">
            <v>NA/RNA.IR 5902</v>
          </cell>
        </row>
        <row r="4935">
          <cell r="C4935">
            <v>104671.01</v>
          </cell>
          <cell r="D4935" t="str">
            <v>NA/RNA.IR 5903</v>
          </cell>
        </row>
        <row r="4936">
          <cell r="C4936">
            <v>208671.01</v>
          </cell>
          <cell r="D4936" t="str">
            <v>NA/RNA.OR 5903</v>
          </cell>
        </row>
        <row r="4937">
          <cell r="C4937">
            <v>309671.01</v>
          </cell>
          <cell r="D4937" t="str">
            <v>NA/RNA.MCG 5903</v>
          </cell>
        </row>
        <row r="4938">
          <cell r="C4938">
            <v>208671.01</v>
          </cell>
          <cell r="D4938" t="str">
            <v>NA/RNA.OR 5903</v>
          </cell>
        </row>
        <row r="4939">
          <cell r="C4939">
            <v>309671.01</v>
          </cell>
          <cell r="D4939" t="str">
            <v>NA/RNA.MCG 5903</v>
          </cell>
        </row>
        <row r="4940">
          <cell r="C4940">
            <v>104671.01</v>
          </cell>
          <cell r="D4940" t="str">
            <v>NA/RNA.IR 5903</v>
          </cell>
        </row>
        <row r="4941">
          <cell r="C4941">
            <v>104672.01</v>
          </cell>
          <cell r="D4941" t="str">
            <v>NA/RNA.IR 5904</v>
          </cell>
        </row>
        <row r="4942">
          <cell r="C4942">
            <v>208672.01</v>
          </cell>
          <cell r="D4942" t="str">
            <v>NA/RNA.OR 5904</v>
          </cell>
        </row>
        <row r="4943">
          <cell r="C4943">
            <v>309672.01</v>
          </cell>
          <cell r="D4943" t="str">
            <v>NA/RNA.MCG 5904</v>
          </cell>
        </row>
        <row r="4944">
          <cell r="C4944">
            <v>913001</v>
          </cell>
          <cell r="D4944" t="str">
            <v>Box 48x30x40</v>
          </cell>
        </row>
        <row r="4945">
          <cell r="C4945">
            <v>208672.01</v>
          </cell>
          <cell r="D4945" t="str">
            <v>NA/RNA.OR 5904</v>
          </cell>
        </row>
        <row r="4946">
          <cell r="C4946">
            <v>309672.01</v>
          </cell>
          <cell r="D4946" t="str">
            <v>NA/RNA.MCG 5904</v>
          </cell>
        </row>
        <row r="4947">
          <cell r="C4947">
            <v>913001</v>
          </cell>
          <cell r="D4947" t="str">
            <v>Box 48x30x40</v>
          </cell>
        </row>
        <row r="4948">
          <cell r="C4948">
            <v>104672.01</v>
          </cell>
          <cell r="D4948" t="str">
            <v>NA/RNA.IR 5904</v>
          </cell>
        </row>
        <row r="4949">
          <cell r="C4949">
            <v>104673.01</v>
          </cell>
          <cell r="D4949" t="str">
            <v>NA/RNA.IR 59/22</v>
          </cell>
        </row>
        <row r="4950">
          <cell r="C4950">
            <v>208673.01</v>
          </cell>
          <cell r="D4950" t="str">
            <v>NA/RNA.OR 59/22</v>
          </cell>
        </row>
        <row r="4951">
          <cell r="C4951">
            <v>309673.01</v>
          </cell>
          <cell r="D4951" t="str">
            <v>NA/RNA.MCG 59/22</v>
          </cell>
        </row>
        <row r="4952">
          <cell r="C4952">
            <v>208673.01</v>
          </cell>
          <cell r="D4952" t="str">
            <v>NA/RNA.OR 59/22</v>
          </cell>
        </row>
        <row r="4953">
          <cell r="C4953">
            <v>309673.01</v>
          </cell>
          <cell r="D4953" t="str">
            <v>NA/RNA.MCG 59/22</v>
          </cell>
        </row>
        <row r="4954">
          <cell r="C4954">
            <v>104673.01</v>
          </cell>
          <cell r="D4954" t="str">
            <v>NA/RNA.IR 59/22</v>
          </cell>
        </row>
        <row r="4955">
          <cell r="C4955">
            <v>104674.01</v>
          </cell>
          <cell r="D4955" t="str">
            <v>NA/RNA.IR 5905</v>
          </cell>
        </row>
        <row r="4956">
          <cell r="C4956">
            <v>208674.01</v>
          </cell>
          <cell r="D4956" t="str">
            <v>NA/RNA.OR 5905</v>
          </cell>
        </row>
        <row r="4957">
          <cell r="C4957">
            <v>309674.01</v>
          </cell>
          <cell r="D4957" t="str">
            <v>NA/RNA.MCG 5905</v>
          </cell>
        </row>
        <row r="4958">
          <cell r="C4958">
            <v>913006</v>
          </cell>
          <cell r="D4958" t="str">
            <v>Box 50x35x50</v>
          </cell>
        </row>
        <row r="4959">
          <cell r="C4959">
            <v>208674.01</v>
          </cell>
          <cell r="D4959" t="str">
            <v>NA/RNA.OR 5905</v>
          </cell>
        </row>
        <row r="4960">
          <cell r="C4960">
            <v>309674.01</v>
          </cell>
          <cell r="D4960" t="str">
            <v>NA/RNA.MCG 5905</v>
          </cell>
        </row>
        <row r="4961">
          <cell r="C4961">
            <v>913006</v>
          </cell>
          <cell r="D4961" t="str">
            <v>Box 50x35x50</v>
          </cell>
        </row>
        <row r="4962">
          <cell r="C4962">
            <v>104674.01</v>
          </cell>
          <cell r="D4962" t="str">
            <v>NA/RNA.IR 5905</v>
          </cell>
        </row>
        <row r="4963">
          <cell r="C4963">
            <v>104675.01</v>
          </cell>
          <cell r="D4963" t="str">
            <v>NA/RNA.IR 59/28</v>
          </cell>
        </row>
        <row r="4964">
          <cell r="C4964">
            <v>208675.01</v>
          </cell>
          <cell r="D4964" t="str">
            <v>NA/RNA.OR 59/28</v>
          </cell>
        </row>
        <row r="4965">
          <cell r="C4965">
            <v>309675.01</v>
          </cell>
          <cell r="D4965" t="str">
            <v>NA/RNA.MCG 59/28</v>
          </cell>
        </row>
        <row r="4966">
          <cell r="C4966">
            <v>208675.01</v>
          </cell>
          <cell r="D4966" t="str">
            <v>NA/RNA.OR 59/28</v>
          </cell>
        </row>
        <row r="4967">
          <cell r="C4967">
            <v>309675.01</v>
          </cell>
          <cell r="D4967" t="str">
            <v>NA/RNA.MCG 59/28</v>
          </cell>
        </row>
        <row r="4968">
          <cell r="C4968">
            <v>104675.01</v>
          </cell>
          <cell r="D4968" t="str">
            <v>NA/RNA.IR 59/28</v>
          </cell>
        </row>
        <row r="4969">
          <cell r="C4969">
            <v>104676.01</v>
          </cell>
          <cell r="D4969" t="str">
            <v>NA/RNA.IR 5906</v>
          </cell>
        </row>
        <row r="4970">
          <cell r="C4970">
            <v>208676.01</v>
          </cell>
          <cell r="D4970" t="str">
            <v>NA/RNA.OR 5906</v>
          </cell>
        </row>
        <row r="4971">
          <cell r="C4971">
            <v>309676.01</v>
          </cell>
          <cell r="D4971" t="str">
            <v>NA/RNA.MCG 5906</v>
          </cell>
        </row>
        <row r="4972">
          <cell r="C4972">
            <v>208676.01</v>
          </cell>
          <cell r="D4972" t="str">
            <v>NA/RNA.OR 5906</v>
          </cell>
        </row>
        <row r="4973">
          <cell r="C4973">
            <v>309676.01</v>
          </cell>
          <cell r="D4973" t="str">
            <v>NA/RNA.MCG 5906</v>
          </cell>
        </row>
        <row r="4974">
          <cell r="C4974">
            <v>104676.01</v>
          </cell>
          <cell r="D4974" t="str">
            <v>NA/RNA.IR 5906</v>
          </cell>
        </row>
        <row r="4975">
          <cell r="C4975">
            <v>104677.01</v>
          </cell>
          <cell r="D4975" t="str">
            <v>NA/RNA.IR 59/32</v>
          </cell>
        </row>
        <row r="4976">
          <cell r="C4976">
            <v>208677.01</v>
          </cell>
          <cell r="D4976" t="str">
            <v>NA/RNA.OR 59/32</v>
          </cell>
        </row>
        <row r="4977">
          <cell r="C4977">
            <v>309677.01</v>
          </cell>
          <cell r="D4977" t="str">
            <v>NA/RNA.MCG 5906</v>
          </cell>
        </row>
        <row r="4978">
          <cell r="C4978">
            <v>208677.01</v>
          </cell>
          <cell r="D4978" t="str">
            <v>NA/RNA.OR 59/32</v>
          </cell>
        </row>
        <row r="4979">
          <cell r="C4979">
            <v>309677.01</v>
          </cell>
          <cell r="D4979" t="str">
            <v>NA/RNA.MCG 5906</v>
          </cell>
        </row>
        <row r="4980">
          <cell r="C4980">
            <v>104677.01</v>
          </cell>
          <cell r="D4980" t="str">
            <v>NA/RNA.IR 59/32</v>
          </cell>
        </row>
        <row r="4981">
          <cell r="C4981">
            <v>104678.01</v>
          </cell>
          <cell r="D4981" t="str">
            <v>NA/RNA.IR 5907</v>
          </cell>
        </row>
        <row r="4982">
          <cell r="C4982">
            <v>208678.01</v>
          </cell>
          <cell r="D4982" t="str">
            <v>NA/RNA.OR 5907</v>
          </cell>
        </row>
        <row r="4983">
          <cell r="C4983">
            <v>309678.01</v>
          </cell>
          <cell r="D4983" t="str">
            <v>NA/RNA.MCG 5907</v>
          </cell>
        </row>
        <row r="4984">
          <cell r="C4984">
            <v>208678.01</v>
          </cell>
          <cell r="D4984" t="str">
            <v>NA/RNA.OR 5907</v>
          </cell>
        </row>
        <row r="4985">
          <cell r="C4985">
            <v>309678.01</v>
          </cell>
          <cell r="D4985" t="str">
            <v>NA/RNA.MCG 5907</v>
          </cell>
        </row>
        <row r="4986">
          <cell r="C4986">
            <v>104678.01</v>
          </cell>
          <cell r="D4986" t="str">
            <v>NA/RNA.IR 5907</v>
          </cell>
        </row>
        <row r="4987">
          <cell r="C4987">
            <v>104679.01</v>
          </cell>
          <cell r="D4987" t="str">
            <v>NA/RNA.IR 5908</v>
          </cell>
        </row>
        <row r="4988">
          <cell r="C4988">
            <v>208679.01</v>
          </cell>
          <cell r="D4988" t="str">
            <v>NA/RNA.OR 5908</v>
          </cell>
        </row>
        <row r="4989">
          <cell r="C4989">
            <v>309679.01</v>
          </cell>
          <cell r="D4989" t="str">
            <v>NA/RNA.MCG 5908</v>
          </cell>
        </row>
        <row r="4990">
          <cell r="C4990">
            <v>208679.01</v>
          </cell>
          <cell r="D4990" t="str">
            <v>NA/RNA.OR 5908</v>
          </cell>
        </row>
        <row r="4991">
          <cell r="C4991">
            <v>309679.01</v>
          </cell>
          <cell r="D4991" t="str">
            <v>NA/RNA.MCG 5908</v>
          </cell>
        </row>
        <row r="4992">
          <cell r="C4992">
            <v>104679.01</v>
          </cell>
          <cell r="D4992" t="str">
            <v>NA/RNA.IR 5908</v>
          </cell>
        </row>
        <row r="4993">
          <cell r="C4993">
            <v>104680.01</v>
          </cell>
          <cell r="D4993" t="str">
            <v>NA/RNA.IR 5909</v>
          </cell>
        </row>
        <row r="4994">
          <cell r="C4994">
            <v>208680.01</v>
          </cell>
          <cell r="D4994" t="str">
            <v>NA/RNA.OR 5909</v>
          </cell>
        </row>
        <row r="4995">
          <cell r="C4995">
            <v>309680.01</v>
          </cell>
          <cell r="D4995" t="str">
            <v>NA/RNA.MCG 5909</v>
          </cell>
        </row>
        <row r="4996">
          <cell r="C4996">
            <v>208680.01</v>
          </cell>
          <cell r="D4996" t="str">
            <v>NA/RNA.OR 5909</v>
          </cell>
        </row>
        <row r="4997">
          <cell r="C4997">
            <v>309680.01</v>
          </cell>
          <cell r="D4997" t="str">
            <v>NA/RNA.MCG 5909</v>
          </cell>
        </row>
        <row r="4998">
          <cell r="C4998">
            <v>104680.01</v>
          </cell>
          <cell r="D4998" t="str">
            <v>NA/RNA.IR 5909</v>
          </cell>
        </row>
        <row r="4999">
          <cell r="C4999">
            <v>104681.01</v>
          </cell>
          <cell r="D4999" t="str">
            <v>NA/RNA.IR 5910</v>
          </cell>
        </row>
        <row r="5000">
          <cell r="C5000">
            <v>208681.01</v>
          </cell>
          <cell r="D5000" t="str">
            <v>NA/RNA.OR 5910</v>
          </cell>
        </row>
        <row r="5001">
          <cell r="C5001">
            <v>309681.01</v>
          </cell>
          <cell r="D5001" t="str">
            <v>NA/RNA.MCG 5910</v>
          </cell>
        </row>
        <row r="5002">
          <cell r="C5002">
            <v>208681.01</v>
          </cell>
          <cell r="D5002" t="str">
            <v>NA/RNA.OR 5910</v>
          </cell>
        </row>
        <row r="5003">
          <cell r="C5003">
            <v>309681.01</v>
          </cell>
          <cell r="D5003" t="str">
            <v>NA/RNA.MCG 5910</v>
          </cell>
        </row>
        <row r="5004">
          <cell r="C5004">
            <v>104681.01</v>
          </cell>
          <cell r="D5004" t="str">
            <v>NA/RNA.IR 5910</v>
          </cell>
        </row>
        <row r="5005">
          <cell r="C5005">
            <v>104682.01</v>
          </cell>
          <cell r="D5005" t="str">
            <v>NA/RNA.IR 5911</v>
          </cell>
        </row>
        <row r="5006">
          <cell r="C5006">
            <v>208682.01</v>
          </cell>
          <cell r="D5006" t="str">
            <v>NA/RNA.OR 5911</v>
          </cell>
        </row>
        <row r="5007">
          <cell r="C5007">
            <v>309682.01</v>
          </cell>
          <cell r="D5007" t="str">
            <v>NA/RNA.MCG 5911</v>
          </cell>
        </row>
        <row r="5008">
          <cell r="C5008">
            <v>208682.01</v>
          </cell>
          <cell r="D5008" t="str">
            <v>NA/RNA.OR 5911</v>
          </cell>
        </row>
        <row r="5009">
          <cell r="C5009">
            <v>309682.01</v>
          </cell>
          <cell r="D5009" t="str">
            <v>NA/RNA.MCG 5911</v>
          </cell>
        </row>
        <row r="5010">
          <cell r="C5010">
            <v>104682.01</v>
          </cell>
          <cell r="D5010" t="str">
            <v>NA/RNA.IR 5911</v>
          </cell>
        </row>
        <row r="5011">
          <cell r="C5011">
            <v>104683.01</v>
          </cell>
          <cell r="D5011" t="str">
            <v>NA/RNA.IR 5912</v>
          </cell>
        </row>
        <row r="5012">
          <cell r="C5012">
            <v>208683.01</v>
          </cell>
          <cell r="D5012" t="str">
            <v>NA/RNA.OR 5912</v>
          </cell>
        </row>
        <row r="5013">
          <cell r="C5013">
            <v>309683.01</v>
          </cell>
          <cell r="D5013" t="str">
            <v>NA/RNA.MCG 5912</v>
          </cell>
        </row>
        <row r="5014">
          <cell r="C5014">
            <v>511683</v>
          </cell>
          <cell r="D5014" t="str">
            <v>RO 5.5X27.8</v>
          </cell>
        </row>
        <row r="5015">
          <cell r="C5015">
            <v>208683.01</v>
          </cell>
          <cell r="D5015" t="str">
            <v>NA/RNA.OR 5912</v>
          </cell>
        </row>
        <row r="5016">
          <cell r="C5016">
            <v>309683.01</v>
          </cell>
          <cell r="D5016" t="str">
            <v>NA/RNA.MCG 5912</v>
          </cell>
        </row>
        <row r="5017">
          <cell r="C5017">
            <v>511683</v>
          </cell>
          <cell r="D5017" t="str">
            <v>RO 5.5X27.8</v>
          </cell>
        </row>
        <row r="5018">
          <cell r="C5018">
            <v>913008</v>
          </cell>
          <cell r="D5018" t="str">
            <v>Box 95x50x95</v>
          </cell>
        </row>
        <row r="5019">
          <cell r="C5019">
            <v>104683.01</v>
          </cell>
          <cell r="D5019" t="str">
            <v>NA/RNA.IR 5912</v>
          </cell>
        </row>
        <row r="5020">
          <cell r="C5020">
            <v>104684.01</v>
          </cell>
          <cell r="D5020" t="str">
            <v>NA/RNA.IR 5913</v>
          </cell>
        </row>
        <row r="5021">
          <cell r="C5021">
            <v>208684.01</v>
          </cell>
          <cell r="D5021" t="str">
            <v>NA/RNA.OR 5913</v>
          </cell>
        </row>
        <row r="5022">
          <cell r="C5022">
            <v>309684.01</v>
          </cell>
          <cell r="D5022" t="str">
            <v>NA/RNA.MCG 5913</v>
          </cell>
        </row>
        <row r="5023">
          <cell r="C5023">
            <v>511683</v>
          </cell>
          <cell r="D5023" t="str">
            <v>RO 5.5X27.8</v>
          </cell>
        </row>
        <row r="5024">
          <cell r="C5024">
            <v>208684.01</v>
          </cell>
          <cell r="D5024" t="str">
            <v>NA/RNA.OR 5913</v>
          </cell>
        </row>
        <row r="5025">
          <cell r="C5025">
            <v>309684.01</v>
          </cell>
          <cell r="D5025" t="str">
            <v>NA/RNA.MCG 5913</v>
          </cell>
        </row>
        <row r="5026">
          <cell r="C5026">
            <v>511683</v>
          </cell>
          <cell r="D5026" t="str">
            <v>RO 5.5X27.8</v>
          </cell>
        </row>
        <row r="5027">
          <cell r="C5027">
            <v>104684.01</v>
          </cell>
          <cell r="D5027" t="str">
            <v>NA/RNA.IR 5913</v>
          </cell>
        </row>
        <row r="5028">
          <cell r="C5028">
            <v>104689</v>
          </cell>
          <cell r="D5028" t="str">
            <v>UC.IR 205  DR</v>
          </cell>
        </row>
        <row r="5029">
          <cell r="C5029">
            <v>208689</v>
          </cell>
          <cell r="D5029" t="str">
            <v>UC.OR 205 DR</v>
          </cell>
        </row>
        <row r="5030">
          <cell r="C5030">
            <v>309689</v>
          </cell>
          <cell r="D5030" t="str">
            <v>UC.NCG 205 DR</v>
          </cell>
        </row>
        <row r="5031">
          <cell r="C5031">
            <v>511993</v>
          </cell>
          <cell r="D5031" t="str">
            <v>BALL 5/16"(IS:2898-1976)</v>
          </cell>
        </row>
        <row r="5032">
          <cell r="C5032">
            <v>5221247</v>
          </cell>
          <cell r="D5032" t="str">
            <v>O G SHELL GADUS S2 V100 3</v>
          </cell>
        </row>
        <row r="5033">
          <cell r="C5033">
            <v>612689</v>
          </cell>
          <cell r="D5033" t="str">
            <v>G.SCREW M5X0.8X5MM</v>
          </cell>
        </row>
        <row r="5034">
          <cell r="C5034">
            <v>717689</v>
          </cell>
          <cell r="D5034" t="str">
            <v>UC.SEAL 205 DR</v>
          </cell>
        </row>
        <row r="5035">
          <cell r="C5035">
            <v>104692</v>
          </cell>
          <cell r="D5035" t="str">
            <v>UC.IR 208 DR</v>
          </cell>
        </row>
        <row r="5036">
          <cell r="C5036">
            <v>208692</v>
          </cell>
          <cell r="D5036" t="str">
            <v>UC.OR 208 DR</v>
          </cell>
        </row>
        <row r="5037">
          <cell r="C5037">
            <v>309924</v>
          </cell>
          <cell r="D5037" t="str">
            <v>NCG.GE 40 KRRB</v>
          </cell>
        </row>
        <row r="5038">
          <cell r="C5038">
            <v>511181</v>
          </cell>
          <cell r="D5038" t="str">
            <v>BALL 15/32"(IS:2898-1976)</v>
          </cell>
        </row>
        <row r="5039">
          <cell r="C5039">
            <v>5221247</v>
          </cell>
          <cell r="D5039" t="str">
            <v>O G SHELL GADUS S2 V100 3</v>
          </cell>
        </row>
        <row r="5040">
          <cell r="C5040">
            <v>612921</v>
          </cell>
          <cell r="D5040" t="str">
            <v>G.SCREW 30 (M08X1.25X08)</v>
          </cell>
        </row>
        <row r="5041">
          <cell r="C5041">
            <v>717692</v>
          </cell>
          <cell r="D5041" t="str">
            <v>UC.SEAL 208 DR</v>
          </cell>
        </row>
        <row r="5042">
          <cell r="C5042">
            <v>104699</v>
          </cell>
          <cell r="D5042" t="str">
            <v>NATR.IR 6</v>
          </cell>
        </row>
        <row r="5043">
          <cell r="C5043">
            <v>208699</v>
          </cell>
          <cell r="D5043" t="str">
            <v>NATR.OR 6</v>
          </cell>
        </row>
        <row r="5044">
          <cell r="C5044">
            <v>309699</v>
          </cell>
          <cell r="D5044" t="str">
            <v>NATR.NCG 6</v>
          </cell>
        </row>
        <row r="5045">
          <cell r="C5045">
            <v>511699</v>
          </cell>
          <cell r="D5045" t="str">
            <v>RO 1.5X5.8</v>
          </cell>
        </row>
        <row r="5046">
          <cell r="C5046">
            <v>104700</v>
          </cell>
          <cell r="D5046" t="str">
            <v>IR.IR 202520.5</v>
          </cell>
        </row>
        <row r="5047">
          <cell r="C5047">
            <v>104701</v>
          </cell>
          <cell r="D5047" t="str">
            <v>IR.IR 121512.5</v>
          </cell>
        </row>
        <row r="5048">
          <cell r="C5048">
            <v>104702</v>
          </cell>
          <cell r="D5048" t="str">
            <v>IR.IR 121516.5</v>
          </cell>
        </row>
        <row r="5049">
          <cell r="C5049">
            <v>4703</v>
          </cell>
          <cell r="D5049" t="str">
            <v/>
          </cell>
        </row>
        <row r="5050">
          <cell r="C5050">
            <v>104703.21</v>
          </cell>
          <cell r="D5050" t="str">
            <v>IR.IR 12X16X22.5</v>
          </cell>
        </row>
        <row r="5051">
          <cell r="C5051">
            <v>104703.21</v>
          </cell>
          <cell r="D5051" t="str">
            <v>IR.IR 12X16X22.5</v>
          </cell>
        </row>
        <row r="5052">
          <cell r="C5052">
            <v>104704</v>
          </cell>
          <cell r="D5052" t="str">
            <v>IR.IR 152020.5</v>
          </cell>
        </row>
        <row r="5053">
          <cell r="C5053">
            <v>104705</v>
          </cell>
          <cell r="D5053" t="str">
            <v>IR.IR 202512.5</v>
          </cell>
        </row>
        <row r="5054">
          <cell r="C5054">
            <v>104707</v>
          </cell>
          <cell r="D5054" t="str">
            <v>IR.IR 202525.5(HK 2525)</v>
          </cell>
        </row>
        <row r="5055">
          <cell r="C5055">
            <v>104708</v>
          </cell>
          <cell r="D5055" t="str">
            <v>IR.IR 253020.4</v>
          </cell>
        </row>
        <row r="5056">
          <cell r="C5056">
            <v>104709</v>
          </cell>
          <cell r="D5056" t="str">
            <v>IR.IR 81210</v>
          </cell>
        </row>
        <row r="5057">
          <cell r="C5057">
            <v>104710</v>
          </cell>
          <cell r="D5057" t="str">
            <v>IR.IR 81212.5</v>
          </cell>
        </row>
        <row r="5058">
          <cell r="C5058">
            <v>104710.01</v>
          </cell>
          <cell r="D5058" t="str">
            <v>IR.IR 81212.5  SPL</v>
          </cell>
        </row>
        <row r="5059">
          <cell r="C5059">
            <v>104711</v>
          </cell>
          <cell r="D5059" t="str">
            <v>IR.IR 10X16.3X10</v>
          </cell>
        </row>
        <row r="5060">
          <cell r="C5060">
            <v>104712</v>
          </cell>
          <cell r="D5060" t="str">
            <v>IR.IR 10X16.4X10</v>
          </cell>
        </row>
        <row r="5061">
          <cell r="C5061">
            <v>104713</v>
          </cell>
          <cell r="D5061" t="str">
            <v>IR.IR 10X16.5X10</v>
          </cell>
        </row>
        <row r="5062">
          <cell r="C5062">
            <v>104714</v>
          </cell>
          <cell r="D5062" t="str">
            <v>IR.IR 10X15.8X10</v>
          </cell>
        </row>
        <row r="5063">
          <cell r="C5063">
            <v>104715</v>
          </cell>
          <cell r="D5063" t="str">
            <v>IR.IR 10X16X10</v>
          </cell>
        </row>
        <row r="5064">
          <cell r="C5064">
            <v>104716</v>
          </cell>
          <cell r="D5064" t="str">
            <v>IR.IR 10X16.1X10</v>
          </cell>
        </row>
        <row r="5065">
          <cell r="C5065">
            <v>104717</v>
          </cell>
          <cell r="D5065" t="str">
            <v>IR.IR 30X35X12.5</v>
          </cell>
        </row>
        <row r="5066">
          <cell r="C5066">
            <v>104718</v>
          </cell>
          <cell r="D5066" t="str">
            <v>IR.IR 40X45X16.5</v>
          </cell>
        </row>
        <row r="5067">
          <cell r="C5067">
            <v>104719</v>
          </cell>
          <cell r="D5067" t="str">
            <v>IR.IR 10X16.2X10        F</v>
          </cell>
        </row>
        <row r="5068">
          <cell r="C5068">
            <v>104720</v>
          </cell>
          <cell r="D5068" t="str">
            <v>IR.IR 10X15.9X10</v>
          </cell>
        </row>
        <row r="5069">
          <cell r="C5069">
            <v>104721</v>
          </cell>
          <cell r="D5069" t="str">
            <v>IR.IR 10X15.7X10</v>
          </cell>
        </row>
        <row r="5070">
          <cell r="C5070">
            <v>104724</v>
          </cell>
          <cell r="D5070" t="str">
            <v>IR.IR 120X110X30        F</v>
          </cell>
        </row>
        <row r="5071">
          <cell r="C5071">
            <v>104724.01</v>
          </cell>
          <cell r="D5071" t="str">
            <v>IR.IR 100X110X30</v>
          </cell>
        </row>
        <row r="5072">
          <cell r="C5072">
            <v>104724.02</v>
          </cell>
          <cell r="D5072" t="str">
            <v>IR.IR 100X110X40</v>
          </cell>
        </row>
        <row r="5073">
          <cell r="C5073">
            <v>104725</v>
          </cell>
          <cell r="D5073" t="str">
            <v>IR.IR 25X30X12.5        F</v>
          </cell>
        </row>
        <row r="5074">
          <cell r="C5074">
            <v>104726</v>
          </cell>
          <cell r="D5074" t="str">
            <v>IR.IR 10X16.7X10        F</v>
          </cell>
        </row>
        <row r="5075">
          <cell r="C5075">
            <v>104727</v>
          </cell>
          <cell r="D5075" t="str">
            <v>IR.IR 10X16.8X10        F</v>
          </cell>
        </row>
        <row r="5076">
          <cell r="C5076">
            <v>104728</v>
          </cell>
          <cell r="D5076" t="str">
            <v>IR.IRT 2820(28X32X20.5) F</v>
          </cell>
        </row>
        <row r="5077">
          <cell r="C5077">
            <v>104729</v>
          </cell>
          <cell r="D5077" t="str">
            <v>IR.IRT 4020(40X45X20.5) F</v>
          </cell>
        </row>
        <row r="5078">
          <cell r="C5078">
            <v>100729.01</v>
          </cell>
          <cell r="D5078" t="str">
            <v>IR.IR 15X18X19.5</v>
          </cell>
        </row>
        <row r="5079">
          <cell r="C5079">
            <v>100729.02</v>
          </cell>
          <cell r="D5079" t="str">
            <v>IR.IR 10X13X12.5</v>
          </cell>
        </row>
        <row r="5080">
          <cell r="C5080">
            <v>100729.03</v>
          </cell>
          <cell r="D5080" t="str">
            <v>IR.IR 20X24X28.5</v>
          </cell>
        </row>
        <row r="5081">
          <cell r="C5081">
            <v>100729.1</v>
          </cell>
          <cell r="D5081" t="str">
            <v>IR.IRT 45X50X12.5</v>
          </cell>
        </row>
        <row r="5082">
          <cell r="C5082">
            <v>100729.2</v>
          </cell>
          <cell r="D5082" t="str">
            <v>IR.IR 7X16.990X10.9</v>
          </cell>
        </row>
        <row r="5083">
          <cell r="C5083">
            <v>100729.3</v>
          </cell>
          <cell r="D5083" t="str">
            <v>IR.IR 10.77x 19 x11</v>
          </cell>
        </row>
        <row r="5084">
          <cell r="C5084">
            <v>100729.32</v>
          </cell>
          <cell r="D5084" t="str">
            <v>IR.IR 12.74x 22 x15</v>
          </cell>
        </row>
        <row r="5085">
          <cell r="C5085">
            <v>100729.4</v>
          </cell>
          <cell r="D5085" t="str">
            <v>IRT.IR YT 2620</v>
          </cell>
        </row>
        <row r="5086">
          <cell r="C5086">
            <v>100729.5</v>
          </cell>
          <cell r="D5086" t="str">
            <v>IRT.IR YT 2220</v>
          </cell>
        </row>
        <row r="5087">
          <cell r="C5087">
            <v>104607.03999999999</v>
          </cell>
          <cell r="D5087" t="str">
            <v>NJ.IR 309               F</v>
          </cell>
        </row>
        <row r="5088">
          <cell r="C5088">
            <v>208489</v>
          </cell>
          <cell r="D5088" t="str">
            <v>NU.OR 309</v>
          </cell>
        </row>
        <row r="5089">
          <cell r="C5089">
            <v>309489</v>
          </cell>
          <cell r="D5089" t="str">
            <v>NU.MCG 309</v>
          </cell>
        </row>
        <row r="5090">
          <cell r="C5090">
            <v>511998</v>
          </cell>
          <cell r="D5090" t="str">
            <v>RO 14X14</v>
          </cell>
        </row>
        <row r="5091">
          <cell r="C5091">
            <v>1422731</v>
          </cell>
          <cell r="D5091" t="str">
            <v>6008  Material</v>
          </cell>
        </row>
        <row r="5092">
          <cell r="C5092">
            <v>1422732</v>
          </cell>
          <cell r="D5092" t="str">
            <v>6009  Material</v>
          </cell>
        </row>
        <row r="5093">
          <cell r="C5093">
            <v>104733.01</v>
          </cell>
          <cell r="D5093" t="str">
            <v>IR.IR 60X70X28</v>
          </cell>
        </row>
        <row r="5094">
          <cell r="C5094">
            <v>100733.04</v>
          </cell>
          <cell r="D5094" t="str">
            <v>IR.IR 607025</v>
          </cell>
        </row>
        <row r="5095">
          <cell r="C5095">
            <v>104734</v>
          </cell>
          <cell r="D5095" t="str">
            <v>IR 55X72X52</v>
          </cell>
        </row>
        <row r="5096">
          <cell r="C5096">
            <v>914003</v>
          </cell>
          <cell r="D5096" t="str">
            <v>BOX 75X55X75</v>
          </cell>
        </row>
        <row r="5097">
          <cell r="C5097">
            <v>104735</v>
          </cell>
          <cell r="D5097" t="str">
            <v>IR.IR 50X59X40</v>
          </cell>
        </row>
        <row r="5098">
          <cell r="C5098">
            <v>913015</v>
          </cell>
          <cell r="D5098" t="str">
            <v>Box 75X40X75</v>
          </cell>
        </row>
        <row r="5099">
          <cell r="C5099">
            <v>104736</v>
          </cell>
          <cell r="D5099" t="str">
            <v>IR.IR 9010030</v>
          </cell>
        </row>
        <row r="5100">
          <cell r="C5100">
            <v>104737</v>
          </cell>
          <cell r="D5100" t="str">
            <v>IR.IR 42X51.5X37</v>
          </cell>
        </row>
        <row r="5101">
          <cell r="C5101">
            <v>914002</v>
          </cell>
          <cell r="D5101" t="str">
            <v>BOX 55X40X55</v>
          </cell>
        </row>
        <row r="5102">
          <cell r="C5102">
            <v>104738</v>
          </cell>
          <cell r="D5102" t="str">
            <v>IR.IR 20X28.6X16</v>
          </cell>
        </row>
        <row r="5103">
          <cell r="C5103">
            <v>913010</v>
          </cell>
          <cell r="D5103" t="str">
            <v>Box 150x40x50</v>
          </cell>
        </row>
        <row r="5104">
          <cell r="C5104">
            <v>104739</v>
          </cell>
          <cell r="D5104" t="str">
            <v>IR.IR 32X42.5X29</v>
          </cell>
        </row>
        <row r="5105">
          <cell r="C5105">
            <v>100740</v>
          </cell>
          <cell r="D5105" t="str">
            <v>RRB.IR 3308</v>
          </cell>
        </row>
        <row r="5106">
          <cell r="C5106">
            <v>200740.01</v>
          </cell>
          <cell r="D5106" t="str">
            <v>RRB.OR 3308</v>
          </cell>
        </row>
        <row r="5107">
          <cell r="C5107">
            <v>100741</v>
          </cell>
          <cell r="D5107" t="str">
            <v>IR.IR 35X43.9X28</v>
          </cell>
        </row>
        <row r="5108">
          <cell r="C5108">
            <v>100742</v>
          </cell>
          <cell r="D5108" t="str">
            <v>IR.IR 32X41X28</v>
          </cell>
        </row>
        <row r="5109">
          <cell r="C5109">
            <v>913010</v>
          </cell>
          <cell r="D5109" t="str">
            <v>Box 150x40x50</v>
          </cell>
        </row>
        <row r="5110">
          <cell r="C5110">
            <v>100743</v>
          </cell>
          <cell r="D5110" t="str">
            <v>IR.IR 34.150X25X26</v>
          </cell>
        </row>
        <row r="5111">
          <cell r="C5111">
            <v>100744</v>
          </cell>
          <cell r="D5111" t="str">
            <v>IR.IR 50X60.3X32</v>
          </cell>
        </row>
        <row r="5112">
          <cell r="C5112">
            <v>100745</v>
          </cell>
          <cell r="D5112" t="str">
            <v>IR.IR 40X50X32</v>
          </cell>
        </row>
        <row r="5113">
          <cell r="C5113">
            <v>913006</v>
          </cell>
          <cell r="D5113" t="str">
            <v>Box 50x35x50</v>
          </cell>
        </row>
        <row r="5114">
          <cell r="C5114">
            <v>100746</v>
          </cell>
          <cell r="D5114" t="str">
            <v>IR.IR 65X78.4X58</v>
          </cell>
        </row>
        <row r="5115">
          <cell r="C5115">
            <v>100746.5</v>
          </cell>
          <cell r="D5115" t="str">
            <v>IR.IR 65X78X58</v>
          </cell>
        </row>
        <row r="5116">
          <cell r="C5116">
            <v>100748.2</v>
          </cell>
          <cell r="D5116" t="str">
            <v>IR.IR 32X41X28</v>
          </cell>
        </row>
        <row r="5117">
          <cell r="C5117">
            <v>500748.2</v>
          </cell>
          <cell r="D5117" t="str">
            <v>RO 5x9 ZB</v>
          </cell>
        </row>
        <row r="5118">
          <cell r="C5118">
            <v>600748.19999999995</v>
          </cell>
          <cell r="D5118" t="str">
            <v>Snap Ring (BR 47)</v>
          </cell>
        </row>
        <row r="5119">
          <cell r="C5119">
            <v>700748.2</v>
          </cell>
          <cell r="D5119" t="str">
            <v>Flange Ring  748.20</v>
          </cell>
        </row>
        <row r="5120">
          <cell r="C5120">
            <v>900748.2</v>
          </cell>
          <cell r="D5120" t="str">
            <v>Mounting Sleeve 748.20</v>
          </cell>
        </row>
        <row r="5121">
          <cell r="C5121">
            <v>100748.3</v>
          </cell>
          <cell r="D5121" t="str">
            <v>IR.IR 20X28.6X16</v>
          </cell>
        </row>
        <row r="5122">
          <cell r="C5122">
            <v>500748.3</v>
          </cell>
          <cell r="D5122" t="str">
            <v>RO 6X9 ZB</v>
          </cell>
        </row>
        <row r="5123">
          <cell r="C5123">
            <v>600748.30000000005</v>
          </cell>
          <cell r="D5123" t="str">
            <v>Snap Ring (BR 37)</v>
          </cell>
        </row>
        <row r="5124">
          <cell r="C5124">
            <v>700748.3</v>
          </cell>
          <cell r="D5124" t="str">
            <v>Flange Ring  748.30</v>
          </cell>
        </row>
        <row r="5125">
          <cell r="C5125">
            <v>900748.3</v>
          </cell>
          <cell r="D5125" t="str">
            <v>Mounting Sleeve 748.30</v>
          </cell>
        </row>
        <row r="5126">
          <cell r="C5126">
            <v>100748.4</v>
          </cell>
          <cell r="D5126" t="str">
            <v>IR.IR 55X72.5X52</v>
          </cell>
        </row>
        <row r="5127">
          <cell r="C5127">
            <v>500748.4</v>
          </cell>
          <cell r="D5127" t="str">
            <v>RO 12X18 ZB</v>
          </cell>
        </row>
        <row r="5128">
          <cell r="C5128">
            <v>600748.4</v>
          </cell>
          <cell r="D5128" t="str">
            <v>Snap Ring (BR 88)</v>
          </cell>
        </row>
        <row r="5129">
          <cell r="C5129">
            <v>700748.4</v>
          </cell>
          <cell r="D5129" t="str">
            <v>Flange Ring  748.40</v>
          </cell>
        </row>
        <row r="5130">
          <cell r="C5130">
            <v>900748.4</v>
          </cell>
          <cell r="D5130" t="str">
            <v>Mounting Sleeve 748.40</v>
          </cell>
        </row>
        <row r="5131">
          <cell r="C5131">
            <v>100750</v>
          </cell>
          <cell r="D5131" t="str">
            <v>IR.CRB 2531.96259</v>
          </cell>
        </row>
        <row r="5132">
          <cell r="C5132">
            <v>100750.1</v>
          </cell>
          <cell r="D5132" t="str">
            <v>IR.IR 40X56X78</v>
          </cell>
        </row>
        <row r="5133">
          <cell r="C5133">
            <v>104060</v>
          </cell>
          <cell r="D5133" t="str">
            <v>BR.IR 3622</v>
          </cell>
        </row>
        <row r="5134">
          <cell r="C5134">
            <v>208060</v>
          </cell>
          <cell r="D5134" t="str">
            <v>BR.OR 3622</v>
          </cell>
        </row>
        <row r="5135">
          <cell r="C5135">
            <v>309060</v>
          </cell>
          <cell r="D5135" t="str">
            <v>BR.NCG 3622</v>
          </cell>
        </row>
        <row r="5136">
          <cell r="C5136">
            <v>410069</v>
          </cell>
          <cell r="D5136" t="str">
            <v>BR.K 3600      WITH R</v>
          </cell>
        </row>
        <row r="5137">
          <cell r="C5137">
            <v>511060</v>
          </cell>
          <cell r="D5137" t="str">
            <v>RO 2.5X9.8</v>
          </cell>
        </row>
        <row r="5138">
          <cell r="C5138">
            <v>612042</v>
          </cell>
          <cell r="D5138" t="str">
            <v>BR.N 3222</v>
          </cell>
        </row>
        <row r="5139">
          <cell r="C5139">
            <v>913010</v>
          </cell>
          <cell r="D5139" t="str">
            <v>Box 150x40x50</v>
          </cell>
        </row>
        <row r="5140">
          <cell r="C5140">
            <v>104762</v>
          </cell>
          <cell r="D5140" t="str">
            <v>BR.IR 3620 SPL.</v>
          </cell>
        </row>
        <row r="5141">
          <cell r="C5141">
            <v>208762</v>
          </cell>
          <cell r="D5141" t="str">
            <v>BR.OR 3620 SPL.</v>
          </cell>
        </row>
        <row r="5142">
          <cell r="C5142">
            <v>309762</v>
          </cell>
          <cell r="D5142" t="str">
            <v>BR.NCG 3620 SPL.</v>
          </cell>
        </row>
        <row r="5143">
          <cell r="C5143">
            <v>410062</v>
          </cell>
          <cell r="D5143" t="str">
            <v>BR.K 3622          WITH R</v>
          </cell>
        </row>
        <row r="5144">
          <cell r="C5144">
            <v>511060</v>
          </cell>
          <cell r="D5144" t="str">
            <v>RO 2.5X9.8</v>
          </cell>
        </row>
        <row r="5145">
          <cell r="C5145">
            <v>612042</v>
          </cell>
          <cell r="D5145" t="str">
            <v>BR.N 3222</v>
          </cell>
        </row>
        <row r="5146">
          <cell r="C5146">
            <v>410062</v>
          </cell>
          <cell r="D5146" t="str">
            <v>BR.K 3622          WITH R</v>
          </cell>
        </row>
        <row r="5147">
          <cell r="C5147">
            <v>309762</v>
          </cell>
          <cell r="D5147" t="str">
            <v>BR.NCG 3620 SPL.</v>
          </cell>
        </row>
        <row r="5148">
          <cell r="C5148">
            <v>511060</v>
          </cell>
          <cell r="D5148" t="str">
            <v>RO 2.5X9.8</v>
          </cell>
        </row>
        <row r="5149">
          <cell r="C5149">
            <v>104094</v>
          </cell>
          <cell r="D5149" t="str">
            <v>BR.IR 2816(24)1317</v>
          </cell>
        </row>
        <row r="5150">
          <cell r="C5150">
            <v>208753</v>
          </cell>
          <cell r="D5150" t="str">
            <v>BR.OR 2816(24)1317</v>
          </cell>
        </row>
        <row r="5151">
          <cell r="C5151">
            <v>309090.01</v>
          </cell>
          <cell r="D5151" t="str">
            <v>BR.TCG 2815</v>
          </cell>
        </row>
        <row r="5152">
          <cell r="C5152">
            <v>410753</v>
          </cell>
          <cell r="D5152" t="str">
            <v>BR.K 2816(24)1317  WITH R</v>
          </cell>
        </row>
        <row r="5153">
          <cell r="C5153">
            <v>511090</v>
          </cell>
          <cell r="D5153" t="str">
            <v>RO 2X7.8</v>
          </cell>
        </row>
        <row r="5154">
          <cell r="C5154">
            <v>612001</v>
          </cell>
          <cell r="D5154" t="str">
            <v>BR.N 2822</v>
          </cell>
        </row>
        <row r="5155">
          <cell r="C5155">
            <v>309090.01</v>
          </cell>
          <cell r="D5155" t="str">
            <v>BR.TCG 2815</v>
          </cell>
        </row>
        <row r="5156">
          <cell r="C5156">
            <v>104060</v>
          </cell>
          <cell r="D5156" t="str">
            <v>BR.IR 3622</v>
          </cell>
        </row>
        <row r="5157">
          <cell r="C5157">
            <v>208137</v>
          </cell>
          <cell r="D5157" t="str">
            <v>BR.OR 3719(22)</v>
          </cell>
        </row>
        <row r="5158">
          <cell r="C5158">
            <v>309060</v>
          </cell>
          <cell r="D5158" t="str">
            <v>BR.NCG 3622</v>
          </cell>
        </row>
        <row r="5159">
          <cell r="C5159">
            <v>410754</v>
          </cell>
          <cell r="D5159" t="str">
            <v>BR.K 3719(06)      WITH R</v>
          </cell>
        </row>
        <row r="5160">
          <cell r="C5160">
            <v>511060</v>
          </cell>
          <cell r="D5160" t="str">
            <v>RO 2.5X9.8</v>
          </cell>
        </row>
        <row r="5161">
          <cell r="C5161">
            <v>612042</v>
          </cell>
          <cell r="D5161" t="str">
            <v>BR.N 3222</v>
          </cell>
        </row>
        <row r="5162">
          <cell r="C5162">
            <v>104755</v>
          </cell>
          <cell r="D5162" t="str">
            <v>BR.IR 4319</v>
          </cell>
        </row>
        <row r="5163">
          <cell r="C5163">
            <v>208755</v>
          </cell>
          <cell r="D5163" t="str">
            <v>BR.OR 4319</v>
          </cell>
        </row>
        <row r="5164">
          <cell r="C5164">
            <v>511461</v>
          </cell>
          <cell r="D5164" t="str">
            <v>RO 6X6</v>
          </cell>
        </row>
        <row r="5165">
          <cell r="C5165">
            <v>717755</v>
          </cell>
          <cell r="D5165" t="str">
            <v>Felt 3x5x112 mm.</v>
          </cell>
        </row>
        <row r="5166">
          <cell r="C5166">
            <v>913006</v>
          </cell>
          <cell r="D5166" t="str">
            <v>Box 50x35x50</v>
          </cell>
        </row>
        <row r="5167">
          <cell r="C5167">
            <v>104756</v>
          </cell>
          <cell r="D5167" t="str">
            <v>BR.IR 52[P]25</v>
          </cell>
        </row>
        <row r="5168">
          <cell r="C5168">
            <v>208756</v>
          </cell>
          <cell r="D5168" t="str">
            <v>BR.OR 52[P]25</v>
          </cell>
        </row>
        <row r="5169">
          <cell r="C5169">
            <v>309756</v>
          </cell>
          <cell r="D5169" t="str">
            <v>BR.TCG 52[P]25</v>
          </cell>
        </row>
        <row r="5170">
          <cell r="C5170">
            <v>511141</v>
          </cell>
          <cell r="D5170" t="str">
            <v>RO 3.5X12.8</v>
          </cell>
        </row>
        <row r="5171">
          <cell r="C5171">
            <v>818141</v>
          </cell>
          <cell r="D5171" t="str">
            <v>8.5 mm Pin(BR 52[P]25)</v>
          </cell>
        </row>
        <row r="5172">
          <cell r="C5172">
            <v>104001</v>
          </cell>
          <cell r="D5172" t="str">
            <v>BR.IR 2822</v>
          </cell>
        </row>
        <row r="5173">
          <cell r="C5173">
            <v>208757</v>
          </cell>
          <cell r="D5173" t="str">
            <v>BR.OR 30[P]16.5F</v>
          </cell>
        </row>
        <row r="5174">
          <cell r="C5174">
            <v>309001</v>
          </cell>
          <cell r="D5174" t="str">
            <v>BR.NCG 2822</v>
          </cell>
        </row>
        <row r="5175">
          <cell r="C5175">
            <v>511001</v>
          </cell>
          <cell r="D5175" t="str">
            <v>RO 2X9.8</v>
          </cell>
        </row>
        <row r="5176">
          <cell r="C5176">
            <v>612001</v>
          </cell>
          <cell r="D5176" t="str">
            <v>BR.N 2822</v>
          </cell>
        </row>
        <row r="5177">
          <cell r="C5177">
            <v>104758</v>
          </cell>
          <cell r="D5177" t="str">
            <v>BR.IR 32[P]17-25.4</v>
          </cell>
        </row>
        <row r="5178">
          <cell r="C5178">
            <v>208758</v>
          </cell>
          <cell r="D5178" t="str">
            <v>BR.OR 32[P]17</v>
          </cell>
        </row>
        <row r="5179">
          <cell r="C5179">
            <v>309758</v>
          </cell>
          <cell r="D5179" t="str">
            <v>BR.TCG 32[P]17</v>
          </cell>
        </row>
        <row r="5180">
          <cell r="C5180">
            <v>511120</v>
          </cell>
          <cell r="D5180" t="str">
            <v>RO 3X11.8</v>
          </cell>
        </row>
        <row r="5181">
          <cell r="C5181">
            <v>612042</v>
          </cell>
          <cell r="D5181" t="str">
            <v>BR.N 3222</v>
          </cell>
        </row>
        <row r="5182">
          <cell r="C5182">
            <v>208759</v>
          </cell>
          <cell r="D5182" t="str">
            <v>BR.OR 32[P]22 SPL.</v>
          </cell>
        </row>
        <row r="5183">
          <cell r="C5183">
            <v>309125.09999999998</v>
          </cell>
          <cell r="D5183" t="str">
            <v>BR.NCG 3218.5(06)LOCKTYPE</v>
          </cell>
        </row>
        <row r="5184">
          <cell r="C5184">
            <v>410125.02</v>
          </cell>
          <cell r="D5184" t="str">
            <v>BR.K 3218.5(06)     SKF G</v>
          </cell>
        </row>
        <row r="5185">
          <cell r="C5185">
            <v>511001</v>
          </cell>
          <cell r="D5185" t="str">
            <v>RO 2X9.8</v>
          </cell>
        </row>
        <row r="5186">
          <cell r="C5186">
            <v>612125</v>
          </cell>
          <cell r="D5186" t="str">
            <v>BR.N 3218.5(06)</v>
          </cell>
        </row>
        <row r="5187">
          <cell r="C5187">
            <v>913016</v>
          </cell>
          <cell r="D5187" t="str">
            <v>Box 250x40x50</v>
          </cell>
        </row>
        <row r="5188">
          <cell r="C5188">
            <v>208759.21</v>
          </cell>
          <cell r="D5188" t="str">
            <v>BR.OR 32[P]22 SPL MZ</v>
          </cell>
        </row>
        <row r="5189">
          <cell r="C5189">
            <v>309125.09999999998</v>
          </cell>
          <cell r="D5189" t="str">
            <v>BR.NCG 3218.5(06)LOCKTYPE</v>
          </cell>
        </row>
        <row r="5190">
          <cell r="C5190">
            <v>410048.21</v>
          </cell>
          <cell r="D5190" t="str">
            <v>BR.K 320024 WITH 5.5MM HO</v>
          </cell>
        </row>
        <row r="5191">
          <cell r="C5191">
            <v>612042</v>
          </cell>
          <cell r="D5191" t="str">
            <v>BR.N 3222</v>
          </cell>
        </row>
        <row r="5192">
          <cell r="C5192">
            <v>104760</v>
          </cell>
          <cell r="D5192" t="str">
            <v>BR.IR 34[P]19-25.4</v>
          </cell>
        </row>
        <row r="5193">
          <cell r="C5193">
            <v>208760</v>
          </cell>
          <cell r="D5193" t="str">
            <v>BR.OR 34[P]19-25.4</v>
          </cell>
        </row>
        <row r="5194">
          <cell r="C5194">
            <v>309760</v>
          </cell>
          <cell r="D5194" t="str">
            <v>BR.NCG 34[P]19-25.4</v>
          </cell>
        </row>
        <row r="5195">
          <cell r="C5195">
            <v>511001</v>
          </cell>
          <cell r="D5195" t="str">
            <v>RO 2X9.8</v>
          </cell>
        </row>
        <row r="5196">
          <cell r="C5196">
            <v>612042</v>
          </cell>
          <cell r="D5196" t="str">
            <v>BR.N 3222</v>
          </cell>
        </row>
        <row r="5197">
          <cell r="C5197">
            <v>913001</v>
          </cell>
          <cell r="D5197" t="str">
            <v>Box 48x30x40</v>
          </cell>
        </row>
        <row r="5198">
          <cell r="C5198">
            <v>104761</v>
          </cell>
          <cell r="D5198" t="str">
            <v>M.IR 76100(3216.2(06)</v>
          </cell>
        </row>
        <row r="5199">
          <cell r="C5199">
            <v>208040.4</v>
          </cell>
          <cell r="D5199" t="str">
            <v>BR.OR 3222 LMW</v>
          </cell>
        </row>
        <row r="5200">
          <cell r="C5200">
            <v>309046.03999999998</v>
          </cell>
          <cell r="D5200" t="str">
            <v>BR.NCG 322224(LOCK TYPE)</v>
          </cell>
        </row>
        <row r="5201">
          <cell r="C5201">
            <v>410761</v>
          </cell>
          <cell r="D5201" t="str">
            <v>BR.K 3216(06)      WITH R</v>
          </cell>
        </row>
        <row r="5202">
          <cell r="C5202">
            <v>511042</v>
          </cell>
          <cell r="D5202" t="str">
            <v>RO 2.5X10.8</v>
          </cell>
        </row>
        <row r="5203">
          <cell r="C5203">
            <v>612042</v>
          </cell>
          <cell r="D5203" t="str">
            <v>BR.N 3222</v>
          </cell>
        </row>
        <row r="5204">
          <cell r="C5204">
            <v>309761</v>
          </cell>
          <cell r="D5204" t="str">
            <v>BR.NCG 3216(06)</v>
          </cell>
        </row>
        <row r="5205">
          <cell r="C5205">
            <v>511042</v>
          </cell>
          <cell r="D5205" t="str">
            <v>RO 2.5X10.8</v>
          </cell>
        </row>
        <row r="5206">
          <cell r="C5206">
            <v>104762</v>
          </cell>
          <cell r="D5206" t="str">
            <v>BR.IR 3620 SPL.</v>
          </cell>
        </row>
        <row r="5207">
          <cell r="C5207">
            <v>208762</v>
          </cell>
          <cell r="D5207" t="str">
            <v>BR.OR 3620 SPL.</v>
          </cell>
        </row>
        <row r="5208">
          <cell r="C5208">
            <v>309762</v>
          </cell>
          <cell r="D5208" t="str">
            <v>BR.NCG 3620 SPL.</v>
          </cell>
        </row>
        <row r="5209">
          <cell r="C5209">
            <v>410762</v>
          </cell>
          <cell r="D5209" t="str">
            <v>BR.K 3620 SPL.     WITH R</v>
          </cell>
        </row>
        <row r="5210">
          <cell r="C5210">
            <v>511060</v>
          </cell>
          <cell r="D5210" t="str">
            <v>RO 2.5X9.8</v>
          </cell>
        </row>
        <row r="5211">
          <cell r="C5211">
            <v>612042</v>
          </cell>
          <cell r="D5211" t="str">
            <v>BR.N 3222</v>
          </cell>
        </row>
        <row r="5212">
          <cell r="C5212">
            <v>913010</v>
          </cell>
          <cell r="D5212" t="str">
            <v>Box 150x40x50</v>
          </cell>
        </row>
        <row r="5213">
          <cell r="C5213">
            <v>104762</v>
          </cell>
          <cell r="D5213" t="str">
            <v>BR.IR 3620 SPL.</v>
          </cell>
        </row>
        <row r="5214">
          <cell r="C5214">
            <v>309762</v>
          </cell>
          <cell r="D5214" t="str">
            <v>BR.NCG 3620 SPL.</v>
          </cell>
        </row>
        <row r="5215">
          <cell r="C5215">
            <v>410762</v>
          </cell>
          <cell r="D5215" t="str">
            <v>BR.K 3620 SPL.     WITH R</v>
          </cell>
        </row>
        <row r="5216">
          <cell r="C5216">
            <v>511060</v>
          </cell>
          <cell r="D5216" t="str">
            <v>RO 2.5X9.8</v>
          </cell>
        </row>
        <row r="5217">
          <cell r="C5217">
            <v>913010</v>
          </cell>
          <cell r="D5217" t="str">
            <v>Box 150x40x50</v>
          </cell>
        </row>
        <row r="5218">
          <cell r="C5218">
            <v>104763</v>
          </cell>
          <cell r="D5218" t="str">
            <v>M.IR 76311</v>
          </cell>
        </row>
        <row r="5219">
          <cell r="C5219">
            <v>208763</v>
          </cell>
          <cell r="D5219" t="str">
            <v>M.OR 76311</v>
          </cell>
        </row>
        <row r="5220">
          <cell r="C5220">
            <v>309001</v>
          </cell>
          <cell r="D5220" t="str">
            <v>BR.NCG 2822</v>
          </cell>
        </row>
        <row r="5221">
          <cell r="C5221">
            <v>511001</v>
          </cell>
          <cell r="D5221" t="str">
            <v>RO 2X9.8</v>
          </cell>
        </row>
        <row r="5222">
          <cell r="C5222">
            <v>104764</v>
          </cell>
          <cell r="D5222" t="str">
            <v>M.IR 76411</v>
          </cell>
        </row>
        <row r="5223">
          <cell r="C5223">
            <v>208764</v>
          </cell>
          <cell r="D5223" t="str">
            <v>M.OR 76411</v>
          </cell>
        </row>
        <row r="5224">
          <cell r="C5224">
            <v>309764</v>
          </cell>
          <cell r="D5224" t="str">
            <v>M.NCG 76411 (22x28x12)</v>
          </cell>
        </row>
        <row r="5225">
          <cell r="C5225">
            <v>511764</v>
          </cell>
          <cell r="D5225" t="str">
            <v>RO 3X9.4</v>
          </cell>
        </row>
        <row r="5226">
          <cell r="C5226">
            <v>104765</v>
          </cell>
          <cell r="D5226" t="str">
            <v>M.IR 76511</v>
          </cell>
        </row>
        <row r="5227">
          <cell r="C5227">
            <v>208765</v>
          </cell>
          <cell r="D5227" t="str">
            <v>M.OR 76511</v>
          </cell>
        </row>
        <row r="5228">
          <cell r="C5228">
            <v>309764</v>
          </cell>
          <cell r="D5228" t="str">
            <v>M.NCG 76411 (22x28x12)</v>
          </cell>
        </row>
        <row r="5229">
          <cell r="C5229">
            <v>511764</v>
          </cell>
          <cell r="D5229" t="str">
            <v>RO 3X9.4</v>
          </cell>
        </row>
        <row r="5230">
          <cell r="C5230">
            <v>104766</v>
          </cell>
          <cell r="D5230" t="str">
            <v>M.IR 76611</v>
          </cell>
        </row>
        <row r="5231">
          <cell r="C5231">
            <v>208766</v>
          </cell>
          <cell r="D5231" t="str">
            <v>M.OR 76611</v>
          </cell>
        </row>
        <row r="5232">
          <cell r="C5232">
            <v>309764</v>
          </cell>
          <cell r="D5232" t="str">
            <v>M.NCG 76411 (22x28x12)</v>
          </cell>
        </row>
        <row r="5233">
          <cell r="C5233">
            <v>511764</v>
          </cell>
          <cell r="D5233" t="str">
            <v>RO 3X9.4</v>
          </cell>
        </row>
        <row r="5234">
          <cell r="C5234">
            <v>104767</v>
          </cell>
          <cell r="D5234" t="str">
            <v>M.IR 76711</v>
          </cell>
        </row>
        <row r="5235">
          <cell r="C5235">
            <v>208767</v>
          </cell>
          <cell r="D5235" t="str">
            <v>M.OR 76711</v>
          </cell>
        </row>
        <row r="5236">
          <cell r="C5236">
            <v>309001</v>
          </cell>
          <cell r="D5236" t="str">
            <v>BR.NCG 2822</v>
          </cell>
        </row>
        <row r="5237">
          <cell r="C5237">
            <v>511001</v>
          </cell>
          <cell r="D5237" t="str">
            <v>RO 2X9.8</v>
          </cell>
        </row>
        <row r="5238">
          <cell r="C5238">
            <v>1422768</v>
          </cell>
          <cell r="D5238" t="str">
            <v>R 76877(2B18-3) materil</v>
          </cell>
        </row>
        <row r="5239">
          <cell r="C5239">
            <v>913016</v>
          </cell>
          <cell r="D5239" t="str">
            <v>Box 250x40x50</v>
          </cell>
        </row>
        <row r="5240">
          <cell r="C5240">
            <v>104762</v>
          </cell>
          <cell r="D5240" t="str">
            <v>BR.IR 3620 SPL.</v>
          </cell>
        </row>
        <row r="5241">
          <cell r="C5241">
            <v>208762</v>
          </cell>
          <cell r="D5241" t="str">
            <v>BR.OR 3620 SPL.</v>
          </cell>
        </row>
        <row r="5242">
          <cell r="C5242">
            <v>309762</v>
          </cell>
          <cell r="D5242" t="str">
            <v>BR.NCG 3620 SPL.</v>
          </cell>
        </row>
        <row r="5243">
          <cell r="C5243">
            <v>410069</v>
          </cell>
          <cell r="D5243" t="str">
            <v>BR.K 3600      WITH R</v>
          </cell>
        </row>
        <row r="5244">
          <cell r="C5244">
            <v>511060</v>
          </cell>
          <cell r="D5244" t="str">
            <v>RO 2.5X9.8</v>
          </cell>
        </row>
        <row r="5245">
          <cell r="C5245">
            <v>612042</v>
          </cell>
          <cell r="D5245" t="str">
            <v>BR.N 3222</v>
          </cell>
        </row>
        <row r="5246">
          <cell r="C5246">
            <v>104040</v>
          </cell>
          <cell r="D5246" t="str">
            <v>BR.IR 3222</v>
          </cell>
        </row>
        <row r="5247">
          <cell r="C5247">
            <v>208046</v>
          </cell>
          <cell r="D5247" t="str">
            <v>BR.OR 322224 SPL.</v>
          </cell>
        </row>
        <row r="5248">
          <cell r="C5248">
            <v>309040</v>
          </cell>
          <cell r="D5248" t="str">
            <v>BR.NCG 3222</v>
          </cell>
        </row>
        <row r="5249">
          <cell r="C5249">
            <v>410047.02</v>
          </cell>
          <cell r="D5249" t="str">
            <v>BR.K 322424         SKF G</v>
          </cell>
        </row>
        <row r="5250">
          <cell r="C5250">
            <v>511040</v>
          </cell>
          <cell r="D5250" t="str">
            <v>RO 2X11.8</v>
          </cell>
        </row>
        <row r="5251">
          <cell r="C5251">
            <v>612040.4</v>
          </cell>
          <cell r="D5251" t="str">
            <v>BR.N 3200 LMW</v>
          </cell>
        </row>
        <row r="5252">
          <cell r="C5252">
            <v>104046</v>
          </cell>
          <cell r="D5252" t="str">
            <v>BR.IR 322224 SPL.</v>
          </cell>
        </row>
        <row r="5253">
          <cell r="C5253">
            <v>208771</v>
          </cell>
          <cell r="D5253" t="str">
            <v>M.OR77100(BR 320024SPLS)</v>
          </cell>
        </row>
        <row r="5254">
          <cell r="C5254">
            <v>309046.03999999998</v>
          </cell>
          <cell r="D5254" t="str">
            <v>BR.NCG 322224(LOCK TYPE)</v>
          </cell>
        </row>
        <row r="5255">
          <cell r="C5255">
            <v>410771</v>
          </cell>
          <cell r="D5255" t="str">
            <v>M.K 77100(BR 320024SPLS)</v>
          </cell>
        </row>
        <row r="5256">
          <cell r="C5256">
            <v>511042</v>
          </cell>
          <cell r="D5256" t="str">
            <v>RO 2.5X10.8</v>
          </cell>
        </row>
        <row r="5257">
          <cell r="C5257">
            <v>5221208</v>
          </cell>
          <cell r="D5257" t="str">
            <v>O G NBU 12/300 KP</v>
          </cell>
        </row>
        <row r="5258">
          <cell r="C5258">
            <v>612771</v>
          </cell>
          <cell r="D5258" t="str">
            <v>M.N 77100(BR 320024 SPLS)</v>
          </cell>
        </row>
        <row r="5259">
          <cell r="C5259">
            <v>410771</v>
          </cell>
          <cell r="D5259" t="str">
            <v>M.K 77100(BR 320024SPLS)</v>
          </cell>
        </row>
        <row r="5260">
          <cell r="C5260">
            <v>104772</v>
          </cell>
          <cell r="D5260" t="str">
            <v>M.IR 77299(BR 5525)</v>
          </cell>
        </row>
        <row r="5261">
          <cell r="C5261">
            <v>208772</v>
          </cell>
          <cell r="D5261" t="str">
            <v>M.OR 77299(BR 5525)</v>
          </cell>
        </row>
        <row r="5262">
          <cell r="C5262">
            <v>511772</v>
          </cell>
          <cell r="D5262" t="str">
            <v>RO 7.00X7.00</v>
          </cell>
        </row>
        <row r="5263">
          <cell r="C5263">
            <v>717772</v>
          </cell>
          <cell r="D5263" t="str">
            <v>FELT 4.4X6.9X131</v>
          </cell>
        </row>
        <row r="5264">
          <cell r="C5264">
            <v>913002</v>
          </cell>
          <cell r="D5264" t="str">
            <v>Box 75x30x75</v>
          </cell>
        </row>
        <row r="5265">
          <cell r="C5265">
            <v>208772</v>
          </cell>
          <cell r="D5265" t="str">
            <v>M.OR 77299(BR 5525)</v>
          </cell>
        </row>
        <row r="5266">
          <cell r="C5266">
            <v>104772</v>
          </cell>
          <cell r="D5266" t="str">
            <v>M.IR 77299(BR 5525)</v>
          </cell>
        </row>
        <row r="5267">
          <cell r="C5267">
            <v>208772.5</v>
          </cell>
          <cell r="D5267" t="str">
            <v>BR.OR 5525 SPL</v>
          </cell>
        </row>
        <row r="5268">
          <cell r="C5268">
            <v>511772</v>
          </cell>
          <cell r="D5268" t="str">
            <v>RO 7.00X7.00</v>
          </cell>
        </row>
        <row r="5269">
          <cell r="C5269">
            <v>717772</v>
          </cell>
          <cell r="D5269" t="str">
            <v>FELT 4.4X6.9X131</v>
          </cell>
        </row>
        <row r="5270">
          <cell r="C5270">
            <v>208772.5</v>
          </cell>
          <cell r="D5270" t="str">
            <v>BR.OR 5525 SPL</v>
          </cell>
        </row>
        <row r="5271">
          <cell r="C5271">
            <v>104046</v>
          </cell>
          <cell r="D5271" t="str">
            <v>BR.IR 322224 SPL.</v>
          </cell>
        </row>
        <row r="5272">
          <cell r="C5272">
            <v>208040.4</v>
          </cell>
          <cell r="D5272" t="str">
            <v>BR.OR 3222 LMW</v>
          </cell>
        </row>
        <row r="5273">
          <cell r="C5273">
            <v>309046.03999999998</v>
          </cell>
          <cell r="D5273" t="str">
            <v>BR.NCG 322224(LOCK TYPE)</v>
          </cell>
        </row>
        <row r="5274">
          <cell r="C5274">
            <v>410042</v>
          </cell>
          <cell r="D5274" t="str">
            <v>BR.K 3222          WITH R</v>
          </cell>
        </row>
        <row r="5275">
          <cell r="C5275">
            <v>511042</v>
          </cell>
          <cell r="D5275" t="str">
            <v>RO 2.5X10.8</v>
          </cell>
        </row>
        <row r="5276">
          <cell r="C5276">
            <v>612040.4</v>
          </cell>
          <cell r="D5276" t="str">
            <v>BR.N 3200 LMW</v>
          </cell>
        </row>
        <row r="5277">
          <cell r="C5277">
            <v>913016</v>
          </cell>
          <cell r="D5277" t="str">
            <v>Box 250x40x50</v>
          </cell>
        </row>
        <row r="5278">
          <cell r="C5278">
            <v>104011</v>
          </cell>
          <cell r="D5278" t="str">
            <v>BR.IR 28161620</v>
          </cell>
        </row>
        <row r="5279">
          <cell r="C5279">
            <v>208011</v>
          </cell>
          <cell r="D5279" t="str">
            <v>BR.OR 28161620</v>
          </cell>
        </row>
        <row r="5280">
          <cell r="C5280">
            <v>309011</v>
          </cell>
          <cell r="D5280" t="str">
            <v>BR.NCG 28161620</v>
          </cell>
        </row>
        <row r="5281">
          <cell r="C5281">
            <v>511090</v>
          </cell>
          <cell r="D5281" t="str">
            <v>RO 2X7.8</v>
          </cell>
        </row>
        <row r="5282">
          <cell r="C5282">
            <v>612001</v>
          </cell>
          <cell r="D5282" t="str">
            <v>BR.N 2822</v>
          </cell>
        </row>
        <row r="5283">
          <cell r="C5283">
            <v>913010</v>
          </cell>
          <cell r="D5283" t="str">
            <v>Box 150x40x50</v>
          </cell>
        </row>
        <row r="5284">
          <cell r="C5284">
            <v>104046</v>
          </cell>
          <cell r="D5284" t="str">
            <v>BR.IR 322224 SPL.</v>
          </cell>
        </row>
        <row r="5285">
          <cell r="C5285">
            <v>208040.4</v>
          </cell>
          <cell r="D5285" t="str">
            <v>BR.OR 3222 LMW</v>
          </cell>
        </row>
        <row r="5286">
          <cell r="C5286">
            <v>309046.03999999998</v>
          </cell>
          <cell r="D5286" t="str">
            <v>BR.NCG 322224(LOCK TYPE)</v>
          </cell>
        </row>
        <row r="5287">
          <cell r="C5287">
            <v>410775</v>
          </cell>
          <cell r="D5287" t="str">
            <v>M.K 77500</v>
          </cell>
        </row>
        <row r="5288">
          <cell r="C5288">
            <v>511042</v>
          </cell>
          <cell r="D5288" t="str">
            <v>RO 2.5X10.8</v>
          </cell>
        </row>
        <row r="5289">
          <cell r="C5289">
            <v>612040.4</v>
          </cell>
          <cell r="D5289" t="str">
            <v>BR.N 3200 LMW</v>
          </cell>
        </row>
        <row r="5290">
          <cell r="C5290">
            <v>818252</v>
          </cell>
          <cell r="D5290" t="str">
            <v>NYLON RETUNER 23 mm.</v>
          </cell>
        </row>
        <row r="5291">
          <cell r="C5291">
            <v>913016</v>
          </cell>
          <cell r="D5291" t="str">
            <v>Box 250x40x50</v>
          </cell>
        </row>
        <row r="5292">
          <cell r="C5292">
            <v>410775</v>
          </cell>
          <cell r="D5292" t="str">
            <v>M.K 77500</v>
          </cell>
        </row>
        <row r="5293">
          <cell r="C5293">
            <v>104040</v>
          </cell>
          <cell r="D5293" t="str">
            <v>BR.IR 3222</v>
          </cell>
        </row>
        <row r="5294">
          <cell r="C5294">
            <v>208040.4</v>
          </cell>
          <cell r="D5294" t="str">
            <v>BR.OR 3222 LMW</v>
          </cell>
        </row>
        <row r="5295">
          <cell r="C5295">
            <v>309040.03000000003</v>
          </cell>
          <cell r="D5295" t="str">
            <v>BR.NCG 3222(22 ROLLERS)</v>
          </cell>
        </row>
        <row r="5296">
          <cell r="C5296">
            <v>410040.4</v>
          </cell>
          <cell r="D5296" t="str">
            <v>BR.K 3200 LMW</v>
          </cell>
        </row>
        <row r="5297">
          <cell r="C5297">
            <v>511040</v>
          </cell>
          <cell r="D5297" t="str">
            <v>RO 2X11.8</v>
          </cell>
        </row>
        <row r="5298">
          <cell r="C5298">
            <v>612040.4</v>
          </cell>
          <cell r="D5298" t="str">
            <v>BR.N 3200 LMW</v>
          </cell>
        </row>
        <row r="5299">
          <cell r="C5299">
            <v>913016</v>
          </cell>
          <cell r="D5299" t="str">
            <v>Box 250x40x50</v>
          </cell>
        </row>
        <row r="5300">
          <cell r="C5300">
            <v>309040.03000000003</v>
          </cell>
          <cell r="D5300" t="str">
            <v>BR.NCG 3222(22 ROLLERS)</v>
          </cell>
        </row>
        <row r="5301">
          <cell r="C5301">
            <v>511040</v>
          </cell>
          <cell r="D5301" t="str">
            <v>RO 2X11.8</v>
          </cell>
        </row>
        <row r="5302">
          <cell r="C5302">
            <v>104046</v>
          </cell>
          <cell r="D5302" t="str">
            <v>BR.IR 322224 SPL.</v>
          </cell>
        </row>
        <row r="5303">
          <cell r="C5303">
            <v>208040.4</v>
          </cell>
          <cell r="D5303" t="str">
            <v>BR.OR 3222 LMW</v>
          </cell>
        </row>
        <row r="5304">
          <cell r="C5304">
            <v>309046.03999999998</v>
          </cell>
          <cell r="D5304" t="str">
            <v>BR.NCG 322224(LOCK TYPE)</v>
          </cell>
        </row>
        <row r="5305">
          <cell r="C5305">
            <v>410775</v>
          </cell>
          <cell r="D5305" t="str">
            <v>M.K 77500</v>
          </cell>
        </row>
        <row r="5306">
          <cell r="C5306">
            <v>511042</v>
          </cell>
          <cell r="D5306" t="str">
            <v>RO 2.5X10.8</v>
          </cell>
        </row>
        <row r="5307">
          <cell r="C5307">
            <v>5221208.0199999996</v>
          </cell>
          <cell r="D5307" t="str">
            <v>O Centoplex BE41 103BH</v>
          </cell>
        </row>
        <row r="5308">
          <cell r="C5308">
            <v>612040.4</v>
          </cell>
          <cell r="D5308" t="str">
            <v>BR.N 3200 LMW</v>
          </cell>
        </row>
        <row r="5309">
          <cell r="C5309">
            <v>818252</v>
          </cell>
          <cell r="D5309" t="str">
            <v>NYLON RETUNER 23 mm.</v>
          </cell>
        </row>
        <row r="5310">
          <cell r="C5310">
            <v>913016</v>
          </cell>
          <cell r="D5310" t="str">
            <v>Box 250x40x50</v>
          </cell>
        </row>
        <row r="5311">
          <cell r="C5311">
            <v>104006</v>
          </cell>
          <cell r="D5311" t="str">
            <v>BR.IR 282223 SPL.</v>
          </cell>
        </row>
        <row r="5312">
          <cell r="C5312">
            <v>208001</v>
          </cell>
          <cell r="D5312" t="str">
            <v>BR.OR 2822</v>
          </cell>
        </row>
        <row r="5313">
          <cell r="C5313">
            <v>309006</v>
          </cell>
          <cell r="D5313" t="str">
            <v>BR.NCG 282223</v>
          </cell>
        </row>
        <row r="5314">
          <cell r="C5314">
            <v>410001</v>
          </cell>
          <cell r="D5314" t="str">
            <v>BR.K 2800          WITH R</v>
          </cell>
        </row>
        <row r="5315">
          <cell r="C5315">
            <v>511003</v>
          </cell>
          <cell r="D5315" t="str">
            <v>RO 2.3X9.8</v>
          </cell>
        </row>
        <row r="5316">
          <cell r="C5316">
            <v>612090</v>
          </cell>
          <cell r="D5316" t="str">
            <v>BR.N 2815(06)</v>
          </cell>
        </row>
        <row r="5317">
          <cell r="C5317">
            <v>913016</v>
          </cell>
          <cell r="D5317" t="str">
            <v>Box 250x40x50</v>
          </cell>
        </row>
        <row r="5318">
          <cell r="C5318">
            <v>104755</v>
          </cell>
          <cell r="D5318" t="str">
            <v>BR.IR 4319</v>
          </cell>
        </row>
        <row r="5319">
          <cell r="C5319">
            <v>208755</v>
          </cell>
          <cell r="D5319" t="str">
            <v>BR.OR 4319</v>
          </cell>
        </row>
        <row r="5320">
          <cell r="C5320">
            <v>410755</v>
          </cell>
          <cell r="D5320" t="str">
            <v>BR.K 4319          WITH R</v>
          </cell>
        </row>
        <row r="5321">
          <cell r="C5321">
            <v>511139</v>
          </cell>
          <cell r="D5321" t="str">
            <v>RO 6.35X6.35</v>
          </cell>
        </row>
        <row r="5322">
          <cell r="C5322">
            <v>104778</v>
          </cell>
          <cell r="D5322" t="str">
            <v>M.IR 77826(TEX Z 232)</v>
          </cell>
        </row>
        <row r="5323">
          <cell r="C5323">
            <v>208026</v>
          </cell>
          <cell r="D5323" t="str">
            <v>BR.OR 3000</v>
          </cell>
        </row>
        <row r="5324">
          <cell r="C5324">
            <v>309026</v>
          </cell>
          <cell r="D5324" t="str">
            <v>BR.NCG 3000</v>
          </cell>
        </row>
        <row r="5325">
          <cell r="C5325">
            <v>410778</v>
          </cell>
          <cell r="D5325" t="str">
            <v>M.K 77826(TEXZ 232)WITH R</v>
          </cell>
        </row>
        <row r="5326">
          <cell r="C5326">
            <v>511001</v>
          </cell>
          <cell r="D5326" t="str">
            <v>RO 2X9.8</v>
          </cell>
        </row>
        <row r="5327">
          <cell r="C5327">
            <v>612001</v>
          </cell>
          <cell r="D5327" t="str">
            <v>BR.N 2822</v>
          </cell>
        </row>
        <row r="5328">
          <cell r="C5328">
            <v>913016</v>
          </cell>
          <cell r="D5328" t="str">
            <v>Box 250x40x50</v>
          </cell>
        </row>
        <row r="5329">
          <cell r="C5329">
            <v>104779</v>
          </cell>
          <cell r="D5329" t="str">
            <v>M.IR 77900</v>
          </cell>
        </row>
        <row r="5330">
          <cell r="C5330">
            <v>208779</v>
          </cell>
          <cell r="D5330" t="str">
            <v>M.OR 77900</v>
          </cell>
        </row>
        <row r="5331">
          <cell r="C5331">
            <v>309111.01</v>
          </cell>
          <cell r="D5331" t="str">
            <v>BR.NCG 3216.3(06)</v>
          </cell>
        </row>
        <row r="5332">
          <cell r="C5332">
            <v>511145</v>
          </cell>
          <cell r="D5332" t="str">
            <v>RO 3X9.8</v>
          </cell>
        </row>
        <row r="5333">
          <cell r="C5333">
            <v>913016</v>
          </cell>
          <cell r="D5333" t="str">
            <v>Box 250x40x50</v>
          </cell>
        </row>
        <row r="5334">
          <cell r="C5334">
            <v>104046</v>
          </cell>
          <cell r="D5334" t="str">
            <v>BR.IR 322224 SPL.</v>
          </cell>
        </row>
        <row r="5335">
          <cell r="C5335">
            <v>208046</v>
          </cell>
          <cell r="D5335" t="str">
            <v>BR.OR 322224 SPL.</v>
          </cell>
        </row>
        <row r="5336">
          <cell r="C5336">
            <v>309046</v>
          </cell>
          <cell r="D5336" t="str">
            <v>BR.NCG 322224</v>
          </cell>
        </row>
        <row r="5337">
          <cell r="C5337">
            <v>410780</v>
          </cell>
          <cell r="D5337" t="str">
            <v>M.K 78022(EJET 200120)</v>
          </cell>
        </row>
        <row r="5338">
          <cell r="C5338">
            <v>511042</v>
          </cell>
          <cell r="D5338" t="str">
            <v>RO 2.5X10.8</v>
          </cell>
        </row>
        <row r="5339">
          <cell r="C5339">
            <v>612040.4</v>
          </cell>
          <cell r="D5339" t="str">
            <v>BR.N 3200 LMW</v>
          </cell>
        </row>
        <row r="5340">
          <cell r="C5340">
            <v>913016</v>
          </cell>
          <cell r="D5340" t="str">
            <v>Box 250x40x50</v>
          </cell>
        </row>
        <row r="5341">
          <cell r="C5341">
            <v>208049</v>
          </cell>
          <cell r="D5341" t="str">
            <v>BR.OR 32-01-06</v>
          </cell>
        </row>
        <row r="5342">
          <cell r="C5342">
            <v>309125</v>
          </cell>
          <cell r="D5342" t="str">
            <v>BR.NCG 3218.5(06)</v>
          </cell>
        </row>
        <row r="5343">
          <cell r="C5343">
            <v>410759.02</v>
          </cell>
          <cell r="D5343" t="str">
            <v>M.K 78188(B 32P22S) SKF G</v>
          </cell>
        </row>
        <row r="5344">
          <cell r="C5344">
            <v>511001</v>
          </cell>
          <cell r="D5344" t="str">
            <v>RO 2X9.8</v>
          </cell>
        </row>
        <row r="5345">
          <cell r="C5345">
            <v>612125</v>
          </cell>
          <cell r="D5345" t="str">
            <v>BR.N 3218.5(06)</v>
          </cell>
        </row>
        <row r="5346">
          <cell r="C5346">
            <v>818162</v>
          </cell>
          <cell r="D5346" t="str">
            <v>2.5 mm Pin(BR 32[P]18-26)</v>
          </cell>
        </row>
        <row r="5347">
          <cell r="C5347">
            <v>104046</v>
          </cell>
          <cell r="D5347" t="str">
            <v>BR.IR 322224 SPL.</v>
          </cell>
        </row>
        <row r="5348">
          <cell r="C5348">
            <v>208040.4</v>
          </cell>
          <cell r="D5348" t="str">
            <v>BR.OR 3222 LMW</v>
          </cell>
        </row>
        <row r="5349">
          <cell r="C5349">
            <v>309046.03999999998</v>
          </cell>
          <cell r="D5349" t="str">
            <v>BR.NCG 322224(LOCK TYPE)</v>
          </cell>
        </row>
        <row r="5350">
          <cell r="C5350">
            <v>410121.01</v>
          </cell>
          <cell r="D5350" t="str">
            <v>BR.K 3217L          W/O R</v>
          </cell>
        </row>
        <row r="5351">
          <cell r="C5351">
            <v>511042</v>
          </cell>
          <cell r="D5351" t="str">
            <v>RO 2.5X10.8</v>
          </cell>
        </row>
        <row r="5352">
          <cell r="C5352">
            <v>612042</v>
          </cell>
          <cell r="D5352" t="str">
            <v>BR.N 3222</v>
          </cell>
        </row>
        <row r="5353">
          <cell r="C5353">
            <v>913006</v>
          </cell>
          <cell r="D5353" t="str">
            <v>Box 50x35x50</v>
          </cell>
        </row>
        <row r="5354">
          <cell r="C5354">
            <v>104046</v>
          </cell>
          <cell r="D5354" t="str">
            <v>BR.IR 322224 SPL.</v>
          </cell>
        </row>
        <row r="5355">
          <cell r="C5355">
            <v>208040.4</v>
          </cell>
          <cell r="D5355" t="str">
            <v>BR.OR 3222 LMW</v>
          </cell>
        </row>
        <row r="5356">
          <cell r="C5356">
            <v>309046.03999999998</v>
          </cell>
          <cell r="D5356" t="str">
            <v>BR.NCG 322224(LOCK TYPE)</v>
          </cell>
        </row>
        <row r="5357">
          <cell r="C5357">
            <v>410041</v>
          </cell>
          <cell r="D5357" t="str">
            <v>BR.K 3220          WITH R</v>
          </cell>
        </row>
        <row r="5358">
          <cell r="C5358">
            <v>511042</v>
          </cell>
          <cell r="D5358" t="str">
            <v>RO 2.5X10.8</v>
          </cell>
        </row>
        <row r="5359">
          <cell r="C5359">
            <v>612040.4</v>
          </cell>
          <cell r="D5359" t="str">
            <v>BR.N 3200 LMW</v>
          </cell>
        </row>
        <row r="5360">
          <cell r="C5360">
            <v>913016</v>
          </cell>
          <cell r="D5360" t="str">
            <v>Box 250x40x50</v>
          </cell>
        </row>
        <row r="5361">
          <cell r="C5361">
            <v>104046</v>
          </cell>
          <cell r="D5361" t="str">
            <v>BR.IR 322224 SPL.</v>
          </cell>
        </row>
        <row r="5362">
          <cell r="C5362">
            <v>208040.4</v>
          </cell>
          <cell r="D5362" t="str">
            <v>BR.OR 3222 LMW</v>
          </cell>
        </row>
        <row r="5363">
          <cell r="C5363">
            <v>309046.03999999998</v>
          </cell>
          <cell r="D5363" t="str">
            <v>BR.NCG 322224(LOCK TYPE)</v>
          </cell>
        </row>
        <row r="5364">
          <cell r="C5364">
            <v>410043.01</v>
          </cell>
          <cell r="D5364" t="str">
            <v>BR.K 3224           W/O R</v>
          </cell>
        </row>
        <row r="5365">
          <cell r="C5365">
            <v>511042</v>
          </cell>
          <cell r="D5365" t="str">
            <v>RO 2.5X10.8</v>
          </cell>
        </row>
        <row r="5366">
          <cell r="C5366">
            <v>612040.4</v>
          </cell>
          <cell r="D5366" t="str">
            <v>BR.N 3200 LMW</v>
          </cell>
        </row>
        <row r="5367">
          <cell r="C5367">
            <v>104762</v>
          </cell>
          <cell r="D5367" t="str">
            <v>BR.IR 3620 SPL.</v>
          </cell>
        </row>
        <row r="5368">
          <cell r="C5368">
            <v>208762</v>
          </cell>
          <cell r="D5368" t="str">
            <v>BR.OR 3620 SPL.</v>
          </cell>
        </row>
        <row r="5369">
          <cell r="C5369">
            <v>309762</v>
          </cell>
          <cell r="D5369" t="str">
            <v>BR.NCG 3620 SPL.</v>
          </cell>
        </row>
        <row r="5370">
          <cell r="C5370">
            <v>410063</v>
          </cell>
          <cell r="D5370" t="str">
            <v>BR.K 3625         WITH</v>
          </cell>
        </row>
        <row r="5371">
          <cell r="C5371">
            <v>511060</v>
          </cell>
          <cell r="D5371" t="str">
            <v>RO 2.5X9.8</v>
          </cell>
        </row>
        <row r="5372">
          <cell r="C5372">
            <v>612042</v>
          </cell>
          <cell r="D5372" t="str">
            <v>BR.N 3222</v>
          </cell>
        </row>
        <row r="5373">
          <cell r="C5373">
            <v>104762</v>
          </cell>
          <cell r="D5373" t="str">
            <v>BR.IR 3620 SPL.</v>
          </cell>
        </row>
        <row r="5374">
          <cell r="C5374">
            <v>208762</v>
          </cell>
          <cell r="D5374" t="str">
            <v>BR.OR 3620 SPL.</v>
          </cell>
        </row>
        <row r="5375">
          <cell r="C5375">
            <v>309762</v>
          </cell>
          <cell r="D5375" t="str">
            <v>BR.NCG 3620 SPL.</v>
          </cell>
        </row>
        <row r="5376">
          <cell r="C5376">
            <v>410064</v>
          </cell>
          <cell r="D5376" t="str">
            <v>BR.K 3626          WITH</v>
          </cell>
        </row>
        <row r="5377">
          <cell r="C5377">
            <v>511060</v>
          </cell>
          <cell r="D5377" t="str">
            <v>RO 2.5X9.8</v>
          </cell>
        </row>
        <row r="5378">
          <cell r="C5378">
            <v>612042</v>
          </cell>
          <cell r="D5378" t="str">
            <v>BR.N 3222</v>
          </cell>
        </row>
        <row r="5379">
          <cell r="C5379">
            <v>208145</v>
          </cell>
          <cell r="D5379" t="str">
            <v>BR.OR 2130(20)</v>
          </cell>
        </row>
        <row r="5380">
          <cell r="C5380">
            <v>309145</v>
          </cell>
          <cell r="D5380" t="str">
            <v>BR.TCG 2130(20)</v>
          </cell>
        </row>
        <row r="5381">
          <cell r="C5381">
            <v>410149</v>
          </cell>
          <cell r="D5381" t="str">
            <v>BR.K 2130(22)      WITH R</v>
          </cell>
        </row>
        <row r="5382">
          <cell r="C5382">
            <v>511145</v>
          </cell>
          <cell r="D5382" t="str">
            <v>RO 3X9.8</v>
          </cell>
        </row>
        <row r="5383">
          <cell r="C5383">
            <v>612787</v>
          </cell>
          <cell r="D5383" t="str">
            <v>BR.N 78722 (BR 2130 22)</v>
          </cell>
        </row>
        <row r="5384">
          <cell r="C5384">
            <v>913016</v>
          </cell>
          <cell r="D5384" t="str">
            <v>Box 250x40x50</v>
          </cell>
        </row>
        <row r="5385">
          <cell r="C5385">
            <v>208779</v>
          </cell>
          <cell r="D5385" t="str">
            <v>M.OR 77900</v>
          </cell>
        </row>
        <row r="5386">
          <cell r="C5386">
            <v>309788</v>
          </cell>
          <cell r="D5386" t="str">
            <v>BR.NCG M 78800</v>
          </cell>
        </row>
        <row r="5387">
          <cell r="C5387">
            <v>511145</v>
          </cell>
          <cell r="D5387" t="str">
            <v>RO 3X9.8</v>
          </cell>
        </row>
        <row r="5388">
          <cell r="C5388">
            <v>913016</v>
          </cell>
          <cell r="D5388" t="str">
            <v>Box 250x40x50</v>
          </cell>
        </row>
        <row r="5389">
          <cell r="C5389">
            <v>309788</v>
          </cell>
          <cell r="D5389" t="str">
            <v>BR.NCG M 78800</v>
          </cell>
        </row>
        <row r="5390">
          <cell r="C5390">
            <v>511145</v>
          </cell>
          <cell r="D5390" t="str">
            <v>RO 3X9.8</v>
          </cell>
        </row>
        <row r="5391">
          <cell r="C5391">
            <v>913010</v>
          </cell>
          <cell r="D5391" t="str">
            <v>Box 150x40x50</v>
          </cell>
        </row>
        <row r="5392">
          <cell r="C5392">
            <v>104046</v>
          </cell>
          <cell r="D5392" t="str">
            <v>BR.IR 322224 SPL.</v>
          </cell>
        </row>
        <row r="5393">
          <cell r="C5393">
            <v>208040.4</v>
          </cell>
          <cell r="D5393" t="str">
            <v>BR.OR 3222 LMW</v>
          </cell>
        </row>
        <row r="5394">
          <cell r="C5394">
            <v>309046.03999999998</v>
          </cell>
          <cell r="D5394" t="str">
            <v>BR.NCG 322224(LOCK TYPE)</v>
          </cell>
        </row>
        <row r="5395">
          <cell r="C5395">
            <v>410789</v>
          </cell>
          <cell r="D5395" t="str">
            <v>M.K 789 ST</v>
          </cell>
        </row>
        <row r="5396">
          <cell r="C5396">
            <v>511042</v>
          </cell>
          <cell r="D5396" t="str">
            <v>RO 2.5X10.8</v>
          </cell>
        </row>
        <row r="5397">
          <cell r="C5397">
            <v>612040.4</v>
          </cell>
          <cell r="D5397" t="str">
            <v>BR.N 3200 LMW</v>
          </cell>
        </row>
        <row r="5398">
          <cell r="C5398">
            <v>200790</v>
          </cell>
          <cell r="D5398" t="str">
            <v>OR.43-7</v>
          </cell>
        </row>
        <row r="5399">
          <cell r="C5399">
            <v>511790</v>
          </cell>
          <cell r="D5399" t="str">
            <v>RO 6.5X9 ZB</v>
          </cell>
        </row>
        <row r="5400">
          <cell r="C5400">
            <v>717790</v>
          </cell>
          <cell r="D5400" t="str">
            <v>SLEEVE 43-7</v>
          </cell>
        </row>
        <row r="5401">
          <cell r="C5401">
            <v>913021</v>
          </cell>
          <cell r="D5401" t="str">
            <v>Box 55X20X55</v>
          </cell>
        </row>
        <row r="5402">
          <cell r="C5402">
            <v>100791</v>
          </cell>
          <cell r="D5402" t="str">
            <v>IR.45-3-00-3026</v>
          </cell>
        </row>
        <row r="5403">
          <cell r="C5403">
            <v>100791.01</v>
          </cell>
          <cell r="D5403" t="str">
            <v>WS.45-3-00-3026</v>
          </cell>
        </row>
        <row r="5404">
          <cell r="C5404">
            <v>200791</v>
          </cell>
          <cell r="D5404" t="str">
            <v>OR.45-3-00-3026</v>
          </cell>
        </row>
        <row r="5405">
          <cell r="C5405">
            <v>511791</v>
          </cell>
          <cell r="D5405" t="str">
            <v>RO 11X11 ZB</v>
          </cell>
        </row>
        <row r="5406">
          <cell r="C5406">
            <v>208799.01</v>
          </cell>
          <cell r="D5406" t="str">
            <v>NK.OR 6/10 TN</v>
          </cell>
        </row>
        <row r="5407">
          <cell r="C5407">
            <v>309799.01</v>
          </cell>
          <cell r="D5407" t="str">
            <v>NK.NCG 6/10 TN</v>
          </cell>
        </row>
        <row r="5408">
          <cell r="C5408">
            <v>511699</v>
          </cell>
          <cell r="D5408" t="str">
            <v>RO 1.5X5.8</v>
          </cell>
        </row>
        <row r="5409">
          <cell r="C5409">
            <v>717799.02</v>
          </cell>
          <cell r="D5409" t="str">
            <v>SEAL NK 6/10 TN</v>
          </cell>
        </row>
        <row r="5410">
          <cell r="C5410">
            <v>913016</v>
          </cell>
          <cell r="D5410" t="str">
            <v>Box 250x40x50</v>
          </cell>
        </row>
        <row r="5411">
          <cell r="C5411">
            <v>104800.01</v>
          </cell>
          <cell r="D5411" t="str">
            <v>NKI.IR 5/12(5812)</v>
          </cell>
        </row>
        <row r="5412">
          <cell r="C5412">
            <v>208800.01</v>
          </cell>
          <cell r="D5412" t="str">
            <v>NK.OR 8/12(NKI 5/12)</v>
          </cell>
        </row>
        <row r="5413">
          <cell r="C5413">
            <v>309800.01</v>
          </cell>
          <cell r="D5413" t="str">
            <v>NKI.MCG 5/12(NK 8/12)</v>
          </cell>
        </row>
        <row r="5414">
          <cell r="C5414">
            <v>511427</v>
          </cell>
          <cell r="D5414" t="str">
            <v>RO 1.5X7.8 BP</v>
          </cell>
        </row>
        <row r="5415">
          <cell r="C5415">
            <v>208800.01</v>
          </cell>
          <cell r="D5415" t="str">
            <v>NK.OR 8/12(NKI 5/12)</v>
          </cell>
        </row>
        <row r="5416">
          <cell r="C5416">
            <v>309800.01</v>
          </cell>
          <cell r="D5416" t="str">
            <v>NKI.MCG 5/12(NK 8/12)</v>
          </cell>
        </row>
        <row r="5417">
          <cell r="C5417">
            <v>511427</v>
          </cell>
          <cell r="D5417" t="str">
            <v>RO 1.5X7.8 BP</v>
          </cell>
        </row>
        <row r="5418">
          <cell r="C5418">
            <v>913016</v>
          </cell>
          <cell r="D5418" t="str">
            <v>Box 250x40x50</v>
          </cell>
        </row>
        <row r="5419">
          <cell r="C5419">
            <v>104800.01</v>
          </cell>
          <cell r="D5419" t="str">
            <v>NKI.IR 5/12(5812)</v>
          </cell>
        </row>
        <row r="5420">
          <cell r="C5420">
            <v>208801.01</v>
          </cell>
          <cell r="D5420" t="str">
            <v>NK.OR 8/16</v>
          </cell>
        </row>
        <row r="5421">
          <cell r="C5421">
            <v>309801.01</v>
          </cell>
          <cell r="D5421" t="str">
            <v>NK.MCG 8/16</v>
          </cell>
        </row>
        <row r="5422">
          <cell r="C5422">
            <v>104802.01</v>
          </cell>
          <cell r="D5422" t="str">
            <v>NKI.IR 6/12(6912)</v>
          </cell>
        </row>
        <row r="5423">
          <cell r="C5423">
            <v>208802.01</v>
          </cell>
          <cell r="D5423" t="str">
            <v>NK.OR 9/12(NKI 6/12)</v>
          </cell>
        </row>
        <row r="5424">
          <cell r="C5424">
            <v>309802.01</v>
          </cell>
          <cell r="D5424" t="str">
            <v>NKI.MCG 6/12(NK 9/12)</v>
          </cell>
        </row>
        <row r="5425">
          <cell r="C5425">
            <v>511427</v>
          </cell>
          <cell r="D5425" t="str">
            <v>RO 1.5X7.8 BP</v>
          </cell>
        </row>
        <row r="5426">
          <cell r="C5426">
            <v>208802.01</v>
          </cell>
          <cell r="D5426" t="str">
            <v>NK.OR 9/12(NKI 6/12)</v>
          </cell>
        </row>
        <row r="5427">
          <cell r="C5427">
            <v>309802.01</v>
          </cell>
          <cell r="D5427" t="str">
            <v>NKI.MCG 6/12(NK 9/12)</v>
          </cell>
        </row>
        <row r="5428">
          <cell r="C5428">
            <v>511427</v>
          </cell>
          <cell r="D5428" t="str">
            <v>RO 1.5X7.8 BP</v>
          </cell>
        </row>
        <row r="5429">
          <cell r="C5429">
            <v>104802.01</v>
          </cell>
          <cell r="D5429" t="str">
            <v>NKI.IR 6/12(6912)</v>
          </cell>
        </row>
        <row r="5430">
          <cell r="C5430">
            <v>104803.01</v>
          </cell>
          <cell r="D5430" t="str">
            <v>NKI.IR 6/16(6916)</v>
          </cell>
        </row>
        <row r="5431">
          <cell r="C5431">
            <v>208803.01</v>
          </cell>
          <cell r="D5431" t="str">
            <v>NK.OR 9/16(NKI 6/16)</v>
          </cell>
        </row>
        <row r="5432">
          <cell r="C5432">
            <v>309803.01</v>
          </cell>
          <cell r="D5432" t="str">
            <v>NKI.MCG 6/16(NK 9/16)</v>
          </cell>
        </row>
        <row r="5433">
          <cell r="C5433">
            <v>208803.01</v>
          </cell>
          <cell r="D5433" t="str">
            <v>NK.OR 9/16(NKI 6/16)</v>
          </cell>
        </row>
        <row r="5434">
          <cell r="C5434">
            <v>309803.01</v>
          </cell>
          <cell r="D5434" t="str">
            <v>NKI.MCG 6/16(NK 9/16)</v>
          </cell>
        </row>
        <row r="5435">
          <cell r="C5435">
            <v>104803.01</v>
          </cell>
          <cell r="D5435" t="str">
            <v>NKI.IR 6/16(6916)</v>
          </cell>
        </row>
        <row r="5436">
          <cell r="C5436">
            <v>104804.01</v>
          </cell>
          <cell r="D5436" t="str">
            <v>NKI.IR 7/12(71012)</v>
          </cell>
        </row>
        <row r="5437">
          <cell r="C5437">
            <v>208804.01</v>
          </cell>
          <cell r="D5437" t="str">
            <v>NK.OR 10/12(NKI 7/12)</v>
          </cell>
        </row>
        <row r="5438">
          <cell r="C5438">
            <v>309804.01</v>
          </cell>
          <cell r="D5438" t="str">
            <v>NKI.NCG 7/12(NK 10/12 TN)</v>
          </cell>
        </row>
        <row r="5439">
          <cell r="C5439">
            <v>511427</v>
          </cell>
          <cell r="D5439" t="str">
            <v>RO 1.5X7.8 BP</v>
          </cell>
        </row>
        <row r="5440">
          <cell r="C5440">
            <v>208804.01</v>
          </cell>
          <cell r="D5440" t="str">
            <v>NK.OR 10/12(NKI 7/12)</v>
          </cell>
        </row>
        <row r="5441">
          <cell r="C5441">
            <v>309804.01</v>
          </cell>
          <cell r="D5441" t="str">
            <v>NKI.NCG 7/12(NK 10/12 TN)</v>
          </cell>
        </row>
        <row r="5442">
          <cell r="C5442">
            <v>511427</v>
          </cell>
          <cell r="D5442" t="str">
            <v>RO 1.5X7.8 BP</v>
          </cell>
        </row>
        <row r="5443">
          <cell r="C5443">
            <v>717804.02</v>
          </cell>
          <cell r="D5443" t="str">
            <v>SEAL NK 10/12 TN</v>
          </cell>
        </row>
        <row r="5444">
          <cell r="C5444">
            <v>104804.01</v>
          </cell>
          <cell r="D5444" t="str">
            <v>NKI.IR 7/12(71012)</v>
          </cell>
        </row>
        <row r="5445">
          <cell r="C5445">
            <v>104805.01</v>
          </cell>
          <cell r="D5445" t="str">
            <v>NKI.IR 7/16(71016)</v>
          </cell>
        </row>
        <row r="5446">
          <cell r="C5446">
            <v>208805.01</v>
          </cell>
          <cell r="D5446" t="str">
            <v>NK.OR 10/16(NKI 7/16)</v>
          </cell>
        </row>
        <row r="5447">
          <cell r="C5447">
            <v>309805.01</v>
          </cell>
          <cell r="D5447" t="str">
            <v>NKI.MCG 7/16(NK 10/16)</v>
          </cell>
        </row>
        <row r="5448">
          <cell r="C5448">
            <v>208805.01</v>
          </cell>
          <cell r="D5448" t="str">
            <v>NK.OR 10/16(NKI 7/16)</v>
          </cell>
        </row>
        <row r="5449">
          <cell r="C5449">
            <v>309805.01</v>
          </cell>
          <cell r="D5449" t="str">
            <v>NKI.MCG 7/16(NK 10/16)</v>
          </cell>
        </row>
        <row r="5450">
          <cell r="C5450">
            <v>104805.01</v>
          </cell>
          <cell r="D5450" t="str">
            <v>NKI.IR 7/16(71016)</v>
          </cell>
        </row>
        <row r="5451">
          <cell r="C5451">
            <v>104806.01</v>
          </cell>
          <cell r="D5451" t="str">
            <v>NKI.IR 9/12(91212)</v>
          </cell>
        </row>
        <row r="5452">
          <cell r="C5452">
            <v>208806.01</v>
          </cell>
          <cell r="D5452" t="str">
            <v>NK.OR 12/12(NKI 9/12)</v>
          </cell>
        </row>
        <row r="5453">
          <cell r="C5453">
            <v>309806.01</v>
          </cell>
          <cell r="D5453" t="str">
            <v>NKI.MCG 9/12(NK 12/12)</v>
          </cell>
        </row>
        <row r="5454">
          <cell r="C5454">
            <v>208806.01</v>
          </cell>
          <cell r="D5454" t="str">
            <v>NK.OR 12/12(NKI 9/12)</v>
          </cell>
        </row>
        <row r="5455">
          <cell r="C5455">
            <v>309806.01</v>
          </cell>
          <cell r="D5455" t="str">
            <v>NKI.MCG 9/12(NK 12/12)</v>
          </cell>
        </row>
        <row r="5456">
          <cell r="C5456">
            <v>511090</v>
          </cell>
          <cell r="D5456" t="str">
            <v>RO 2X7.8</v>
          </cell>
        </row>
        <row r="5457">
          <cell r="C5457">
            <v>913016</v>
          </cell>
          <cell r="D5457" t="str">
            <v>Box 250x40x50</v>
          </cell>
        </row>
        <row r="5458">
          <cell r="C5458">
            <v>104806.01</v>
          </cell>
          <cell r="D5458" t="str">
            <v>NKI.IR 9/12(91212)</v>
          </cell>
        </row>
        <row r="5459">
          <cell r="C5459">
            <v>104807.01</v>
          </cell>
          <cell r="D5459" t="str">
            <v>NKI.IR 9/16(91216)</v>
          </cell>
        </row>
        <row r="5460">
          <cell r="C5460">
            <v>208807.01</v>
          </cell>
          <cell r="D5460" t="str">
            <v>NK.OR 12/16(NKI 9/16)</v>
          </cell>
        </row>
        <row r="5461">
          <cell r="C5461">
            <v>309807.01</v>
          </cell>
          <cell r="D5461" t="str">
            <v>NKI.MCG 9/16(NK 12/16)</v>
          </cell>
        </row>
        <row r="5462">
          <cell r="C5462">
            <v>511807.01</v>
          </cell>
          <cell r="D5462" t="str">
            <v>RO 2X12.8</v>
          </cell>
        </row>
        <row r="5463">
          <cell r="C5463">
            <v>208807.01</v>
          </cell>
          <cell r="D5463" t="str">
            <v>NK.OR 12/16(NKI 9/16)</v>
          </cell>
        </row>
        <row r="5464">
          <cell r="C5464">
            <v>309807.01</v>
          </cell>
          <cell r="D5464" t="str">
            <v>NKI.MCG 9/16(NK 12/16)</v>
          </cell>
        </row>
        <row r="5465">
          <cell r="C5465">
            <v>511807.01</v>
          </cell>
          <cell r="D5465" t="str">
            <v>RO 2X12.8</v>
          </cell>
        </row>
        <row r="5466">
          <cell r="C5466">
            <v>913016</v>
          </cell>
          <cell r="D5466" t="str">
            <v>Box 250x40x50</v>
          </cell>
        </row>
        <row r="5467">
          <cell r="C5467">
            <v>104807.01</v>
          </cell>
          <cell r="D5467" t="str">
            <v>NKI.IR 9/16(91216)</v>
          </cell>
        </row>
        <row r="5468">
          <cell r="C5468">
            <v>104808.01</v>
          </cell>
          <cell r="D5468" t="str">
            <v>NKI.IR 10/16(101416)</v>
          </cell>
        </row>
        <row r="5469">
          <cell r="C5469">
            <v>208808.01</v>
          </cell>
          <cell r="D5469" t="str">
            <v>NK.OR 14/16(NKI 10/16)</v>
          </cell>
        </row>
        <row r="5470">
          <cell r="C5470">
            <v>309808.01</v>
          </cell>
          <cell r="D5470" t="str">
            <v>NKI.MCG 10/16(NK 14/16)</v>
          </cell>
        </row>
        <row r="5471">
          <cell r="C5471">
            <v>511270.01</v>
          </cell>
          <cell r="D5471" t="str">
            <v>RO 2.5X12.8</v>
          </cell>
        </row>
        <row r="5472">
          <cell r="C5472">
            <v>208808.01</v>
          </cell>
          <cell r="D5472" t="str">
            <v>NK.OR 14/16(NKI 10/16)</v>
          </cell>
        </row>
        <row r="5473">
          <cell r="C5473">
            <v>309808.01</v>
          </cell>
          <cell r="D5473" t="str">
            <v>NKI.MCG 10/16(NK 14/16)</v>
          </cell>
        </row>
        <row r="5474">
          <cell r="C5474">
            <v>511270.01</v>
          </cell>
          <cell r="D5474" t="str">
            <v>RO 2.5X12.8</v>
          </cell>
        </row>
        <row r="5475">
          <cell r="C5475">
            <v>913016</v>
          </cell>
          <cell r="D5475" t="str">
            <v>Box 250x40x50</v>
          </cell>
        </row>
        <row r="5476">
          <cell r="C5476">
            <v>104808.01</v>
          </cell>
          <cell r="D5476" t="str">
            <v>NKI.IR 10/16(101416)</v>
          </cell>
        </row>
        <row r="5477">
          <cell r="C5477">
            <v>104808.21</v>
          </cell>
          <cell r="D5477" t="str">
            <v>IR.IR 10X14X16.5</v>
          </cell>
        </row>
        <row r="5478">
          <cell r="C5478">
            <v>104808.21</v>
          </cell>
          <cell r="D5478" t="str">
            <v>IR.IR 10X14X16.5</v>
          </cell>
        </row>
        <row r="5479">
          <cell r="C5479">
            <v>104809.01</v>
          </cell>
          <cell r="D5479" t="str">
            <v>NKI.IR 10/20(101420)</v>
          </cell>
        </row>
        <row r="5480">
          <cell r="C5480">
            <v>208809.01</v>
          </cell>
          <cell r="D5480" t="str">
            <v>NK.OR 14/20(NKI 10/20)</v>
          </cell>
        </row>
        <row r="5481">
          <cell r="C5481">
            <v>309809.01</v>
          </cell>
          <cell r="D5481" t="str">
            <v>NKI.MCG 10/20(NK 14/20)</v>
          </cell>
        </row>
        <row r="5482">
          <cell r="C5482">
            <v>511209.01</v>
          </cell>
          <cell r="D5482" t="str">
            <v>RO 2.5X16.8</v>
          </cell>
        </row>
        <row r="5483">
          <cell r="C5483">
            <v>208809.01</v>
          </cell>
          <cell r="D5483" t="str">
            <v>NK.OR 14/20(NKI 10/20)</v>
          </cell>
        </row>
        <row r="5484">
          <cell r="C5484">
            <v>309809.01</v>
          </cell>
          <cell r="D5484" t="str">
            <v>NKI.MCG 10/20(NK 14/20)</v>
          </cell>
        </row>
        <row r="5485">
          <cell r="C5485">
            <v>511209.01</v>
          </cell>
          <cell r="D5485" t="str">
            <v>RO 2.5X16.8</v>
          </cell>
        </row>
        <row r="5486">
          <cell r="C5486">
            <v>913016</v>
          </cell>
          <cell r="D5486" t="str">
            <v>Box 250x40x50</v>
          </cell>
        </row>
        <row r="5487">
          <cell r="C5487">
            <v>104809.01</v>
          </cell>
          <cell r="D5487" t="str">
            <v>NKI.IR 10/20(101420)</v>
          </cell>
        </row>
        <row r="5488">
          <cell r="C5488">
            <v>104809.21</v>
          </cell>
          <cell r="D5488" t="str">
            <v>IR.IR 10X14X28.5</v>
          </cell>
        </row>
        <row r="5489">
          <cell r="C5489">
            <v>104810.01</v>
          </cell>
          <cell r="D5489" t="str">
            <v>NKI.IR 12/16(121616)</v>
          </cell>
        </row>
        <row r="5490">
          <cell r="C5490">
            <v>208810.01</v>
          </cell>
          <cell r="D5490" t="str">
            <v>NK.OR 16/16(NKI 12/16)</v>
          </cell>
        </row>
        <row r="5491">
          <cell r="C5491">
            <v>309810.01</v>
          </cell>
          <cell r="D5491" t="str">
            <v>NKI.MCG 12/16(NK 16/16)</v>
          </cell>
        </row>
        <row r="5492">
          <cell r="C5492">
            <v>511270.01</v>
          </cell>
          <cell r="D5492" t="str">
            <v>RO 2.5X12.8</v>
          </cell>
        </row>
        <row r="5493">
          <cell r="C5493">
            <v>208810.01</v>
          </cell>
          <cell r="D5493" t="str">
            <v>NK.OR 16/16(NKI 12/16)</v>
          </cell>
        </row>
        <row r="5494">
          <cell r="C5494">
            <v>309810.01</v>
          </cell>
          <cell r="D5494" t="str">
            <v>NKI.MCG 12/16(NK 16/16)</v>
          </cell>
        </row>
        <row r="5495">
          <cell r="C5495">
            <v>511270.01</v>
          </cell>
          <cell r="D5495" t="str">
            <v>RO 2.5X12.8</v>
          </cell>
        </row>
        <row r="5496">
          <cell r="C5496">
            <v>913016</v>
          </cell>
          <cell r="D5496" t="str">
            <v>Box 250x40x50</v>
          </cell>
        </row>
        <row r="5497">
          <cell r="C5497">
            <v>104810.01</v>
          </cell>
          <cell r="D5497" t="str">
            <v>NKI.IR 12/16(121616)</v>
          </cell>
        </row>
        <row r="5498">
          <cell r="C5498">
            <v>104811.01</v>
          </cell>
          <cell r="D5498" t="str">
            <v>NKI.IR 12/20(121620)</v>
          </cell>
        </row>
        <row r="5499">
          <cell r="C5499">
            <v>208811.01</v>
          </cell>
          <cell r="D5499" t="str">
            <v>NK.OR 16/20(NKI 12/20)</v>
          </cell>
        </row>
        <row r="5500">
          <cell r="C5500">
            <v>309811.01</v>
          </cell>
          <cell r="D5500" t="str">
            <v>NKI.MCG 12/20(NK 16/20)</v>
          </cell>
        </row>
        <row r="5501">
          <cell r="C5501">
            <v>511209.01</v>
          </cell>
          <cell r="D5501" t="str">
            <v>RO 2.5X16.8</v>
          </cell>
        </row>
        <row r="5502">
          <cell r="C5502">
            <v>913016</v>
          </cell>
          <cell r="D5502" t="str">
            <v>Box 250x40x50</v>
          </cell>
        </row>
        <row r="5503">
          <cell r="C5503">
            <v>208811.01</v>
          </cell>
          <cell r="D5503" t="str">
            <v>NK.OR 16/20(NKI 12/20)</v>
          </cell>
        </row>
        <row r="5504">
          <cell r="C5504">
            <v>309811.01</v>
          </cell>
          <cell r="D5504" t="str">
            <v>NKI.MCG 12/20(NK 16/20)</v>
          </cell>
        </row>
        <row r="5505">
          <cell r="C5505">
            <v>511209.01</v>
          </cell>
          <cell r="D5505" t="str">
            <v>RO 2.5X16.8</v>
          </cell>
        </row>
        <row r="5506">
          <cell r="C5506">
            <v>913016</v>
          </cell>
          <cell r="D5506" t="str">
            <v>Box 250x40x50</v>
          </cell>
        </row>
        <row r="5507">
          <cell r="C5507">
            <v>104811.01</v>
          </cell>
          <cell r="D5507" t="str">
            <v>NKI.IR 12/20(121620)</v>
          </cell>
        </row>
        <row r="5508">
          <cell r="C5508">
            <v>104811.01</v>
          </cell>
          <cell r="D5508" t="str">
            <v>NKI.IR 12/20(121620)</v>
          </cell>
        </row>
        <row r="5509">
          <cell r="C5509">
            <v>208811.01</v>
          </cell>
          <cell r="D5509" t="str">
            <v>NK.OR 16/20(NKI 12/20)</v>
          </cell>
        </row>
        <row r="5510">
          <cell r="C5510">
            <v>309811.01</v>
          </cell>
          <cell r="D5510" t="str">
            <v>NKI.MCG 12/20(NK 16/20)</v>
          </cell>
        </row>
        <row r="5511">
          <cell r="C5511">
            <v>511209.01</v>
          </cell>
          <cell r="D5511" t="str">
            <v>RO 2.5X16.8</v>
          </cell>
        </row>
        <row r="5512">
          <cell r="C5512">
            <v>104812.01</v>
          </cell>
          <cell r="D5512" t="str">
            <v>NKI.IR 15/16(151916)</v>
          </cell>
        </row>
        <row r="5513">
          <cell r="C5513">
            <v>208812.01</v>
          </cell>
          <cell r="D5513" t="str">
            <v>NK.OR 19/16(NKI 15/16)</v>
          </cell>
        </row>
        <row r="5514">
          <cell r="C5514">
            <v>309812.01</v>
          </cell>
          <cell r="D5514" t="str">
            <v>NKI.MCG 15/16(NK 19/16)</v>
          </cell>
        </row>
        <row r="5515">
          <cell r="C5515">
            <v>511270.01</v>
          </cell>
          <cell r="D5515" t="str">
            <v>RO 2.5X12.8</v>
          </cell>
        </row>
        <row r="5516">
          <cell r="C5516">
            <v>913016</v>
          </cell>
          <cell r="D5516" t="str">
            <v>Box 250x40x50</v>
          </cell>
        </row>
        <row r="5517">
          <cell r="C5517">
            <v>208812.01</v>
          </cell>
          <cell r="D5517" t="str">
            <v>NK.OR 19/16(NKI 15/16)</v>
          </cell>
        </row>
        <row r="5518">
          <cell r="C5518">
            <v>309812.01</v>
          </cell>
          <cell r="D5518" t="str">
            <v>NKI.MCG 15/16(NK 19/16)</v>
          </cell>
        </row>
        <row r="5519">
          <cell r="C5519">
            <v>511270.01</v>
          </cell>
          <cell r="D5519" t="str">
            <v>RO 2.5X12.8</v>
          </cell>
        </row>
        <row r="5520">
          <cell r="C5520">
            <v>913016</v>
          </cell>
          <cell r="D5520" t="str">
            <v>Box 250x40x50</v>
          </cell>
        </row>
        <row r="5521">
          <cell r="C5521">
            <v>104812.01</v>
          </cell>
          <cell r="D5521" t="str">
            <v>NKI.IR 15/16(151916)</v>
          </cell>
        </row>
        <row r="5522">
          <cell r="C5522">
            <v>200812.04</v>
          </cell>
          <cell r="D5522" t="str">
            <v>NK.OR 19/16 SPL</v>
          </cell>
        </row>
        <row r="5523">
          <cell r="C5523">
            <v>309812.01</v>
          </cell>
          <cell r="D5523" t="str">
            <v>NKI.MCG 15/16(NK 19/16)</v>
          </cell>
        </row>
        <row r="5524">
          <cell r="C5524">
            <v>511270.01</v>
          </cell>
          <cell r="D5524" t="str">
            <v>RO 2.5X12.8</v>
          </cell>
        </row>
        <row r="5525">
          <cell r="C5525">
            <v>104812.02</v>
          </cell>
          <cell r="D5525" t="str">
            <v>NKI.IR 15/16 SPL</v>
          </cell>
        </row>
        <row r="5526">
          <cell r="C5526">
            <v>200812.04</v>
          </cell>
          <cell r="D5526" t="str">
            <v>NK.OR 19/16 SPL</v>
          </cell>
        </row>
        <row r="5527">
          <cell r="C5527">
            <v>309812.01</v>
          </cell>
          <cell r="D5527" t="str">
            <v>NKI.MCG 15/16(NK 19/16)</v>
          </cell>
        </row>
        <row r="5528">
          <cell r="C5528">
            <v>511270.01</v>
          </cell>
          <cell r="D5528" t="str">
            <v>RO 2.5X12.8</v>
          </cell>
        </row>
        <row r="5529">
          <cell r="C5529">
            <v>200812.04</v>
          </cell>
          <cell r="D5529" t="str">
            <v>NK.OR 19/16 SPL</v>
          </cell>
        </row>
        <row r="5530">
          <cell r="C5530">
            <v>309812.01</v>
          </cell>
          <cell r="D5530" t="str">
            <v>NKI.MCG 15/16(NK 19/16)</v>
          </cell>
        </row>
        <row r="5531">
          <cell r="C5531">
            <v>511270.01</v>
          </cell>
          <cell r="D5531" t="str">
            <v>RO 2.5X12.8</v>
          </cell>
        </row>
        <row r="5532">
          <cell r="C5532">
            <v>812.07</v>
          </cell>
          <cell r="D5532" t="str">
            <v>IR 151916 SPL</v>
          </cell>
        </row>
        <row r="5533">
          <cell r="C5533">
            <v>104813.01</v>
          </cell>
          <cell r="D5533" t="str">
            <v>NKI.IR 15/20(151920)</v>
          </cell>
        </row>
        <row r="5534">
          <cell r="C5534">
            <v>208813.01</v>
          </cell>
          <cell r="D5534" t="str">
            <v>NK.OR 19/20(NKI 15/20)</v>
          </cell>
        </row>
        <row r="5535">
          <cell r="C5535">
            <v>309813.01</v>
          </cell>
          <cell r="D5535" t="str">
            <v>NKI.MCG 15/20(NK 19/20)</v>
          </cell>
        </row>
        <row r="5536">
          <cell r="C5536">
            <v>511209.01</v>
          </cell>
          <cell r="D5536" t="str">
            <v>RO 2.5X16.8</v>
          </cell>
        </row>
        <row r="5537">
          <cell r="C5537">
            <v>913016</v>
          </cell>
          <cell r="D5537" t="str">
            <v>Box 250x40x50</v>
          </cell>
        </row>
        <row r="5538">
          <cell r="C5538">
            <v>208813.01</v>
          </cell>
          <cell r="D5538" t="str">
            <v>NK.OR 19/20(NKI 15/20)</v>
          </cell>
        </row>
        <row r="5539">
          <cell r="C5539">
            <v>309813.01</v>
          </cell>
          <cell r="D5539" t="str">
            <v>NKI.MCG 15/20(NK 19/20)</v>
          </cell>
        </row>
        <row r="5540">
          <cell r="C5540">
            <v>511209.01</v>
          </cell>
          <cell r="D5540" t="str">
            <v>RO 2.5X16.8</v>
          </cell>
        </row>
        <row r="5541">
          <cell r="C5541">
            <v>913016</v>
          </cell>
          <cell r="D5541" t="str">
            <v>Box 250x40x50</v>
          </cell>
        </row>
        <row r="5542">
          <cell r="C5542">
            <v>104813.01</v>
          </cell>
          <cell r="D5542" t="str">
            <v>NKI.IR 15/20(151920)</v>
          </cell>
        </row>
        <row r="5543">
          <cell r="C5543">
            <v>104814.01</v>
          </cell>
          <cell r="D5543" t="str">
            <v>NKI.IR 17/16(172116)</v>
          </cell>
        </row>
        <row r="5544">
          <cell r="C5544">
            <v>208814.01</v>
          </cell>
          <cell r="D5544" t="str">
            <v>NK.OR 21/16(NKI 17/16)</v>
          </cell>
        </row>
        <row r="5545">
          <cell r="C5545">
            <v>309814.01</v>
          </cell>
          <cell r="D5545" t="str">
            <v>NKI.MCG 17/16(NK 21/16)</v>
          </cell>
        </row>
        <row r="5546">
          <cell r="C5546">
            <v>511270.01</v>
          </cell>
          <cell r="D5546" t="str">
            <v>RO 2.5X12.8</v>
          </cell>
        </row>
        <row r="5547">
          <cell r="C5547">
            <v>208814.01</v>
          </cell>
          <cell r="D5547" t="str">
            <v>NK.OR 21/16(NKI 17/16)</v>
          </cell>
        </row>
        <row r="5548">
          <cell r="C5548">
            <v>309814.01</v>
          </cell>
          <cell r="D5548" t="str">
            <v>NKI.MCG 17/16(NK 21/16)</v>
          </cell>
        </row>
        <row r="5549">
          <cell r="C5549">
            <v>511270.01</v>
          </cell>
          <cell r="D5549" t="str">
            <v>RO 2.5X12.8</v>
          </cell>
        </row>
        <row r="5550">
          <cell r="C5550">
            <v>104814.01</v>
          </cell>
          <cell r="D5550" t="str">
            <v>NKI.IR 17/16(172116)</v>
          </cell>
        </row>
        <row r="5551">
          <cell r="C5551">
            <v>104815.01</v>
          </cell>
          <cell r="D5551" t="str">
            <v>NKI.IR 17/20(172120)</v>
          </cell>
        </row>
        <row r="5552">
          <cell r="C5552">
            <v>208815.01</v>
          </cell>
          <cell r="D5552" t="str">
            <v>NK.OR 21/20(NKI 17/20)</v>
          </cell>
        </row>
        <row r="5553">
          <cell r="C5553">
            <v>309815.01</v>
          </cell>
          <cell r="D5553" t="str">
            <v>NKI.MCG 17/20(NK 21/20)</v>
          </cell>
        </row>
        <row r="5554">
          <cell r="C5554">
            <v>511209.01</v>
          </cell>
          <cell r="D5554" t="str">
            <v>RO 2.5X16.8</v>
          </cell>
        </row>
        <row r="5555">
          <cell r="C5555">
            <v>208815.01</v>
          </cell>
          <cell r="D5555" t="str">
            <v>NK.OR 21/20(NKI 17/20)</v>
          </cell>
        </row>
        <row r="5556">
          <cell r="C5556">
            <v>309815.01</v>
          </cell>
          <cell r="D5556" t="str">
            <v>NKI.MCG 17/20(NK 21/20)</v>
          </cell>
        </row>
        <row r="5557">
          <cell r="C5557">
            <v>511209.01</v>
          </cell>
          <cell r="D5557" t="str">
            <v>RO 2.5X16.8</v>
          </cell>
        </row>
        <row r="5558">
          <cell r="C5558">
            <v>104815.01</v>
          </cell>
          <cell r="D5558" t="str">
            <v>NKI.IR 17/20(172120)</v>
          </cell>
        </row>
        <row r="5559">
          <cell r="C5559">
            <v>104816.01</v>
          </cell>
          <cell r="D5559" t="str">
            <v>NKI.IR 20/16(202416)</v>
          </cell>
        </row>
        <row r="5560">
          <cell r="C5560">
            <v>208816.01</v>
          </cell>
          <cell r="D5560" t="str">
            <v>NK.OR 24/16(NKI 20/16)</v>
          </cell>
        </row>
        <row r="5561">
          <cell r="C5561">
            <v>309816.01</v>
          </cell>
          <cell r="D5561" t="str">
            <v>NKI.MCG 20/16(NK 24/16)</v>
          </cell>
        </row>
        <row r="5562">
          <cell r="C5562">
            <v>511270.01</v>
          </cell>
          <cell r="D5562" t="str">
            <v>RO 2.5X12.8</v>
          </cell>
        </row>
        <row r="5563">
          <cell r="C5563">
            <v>208816.01</v>
          </cell>
          <cell r="D5563" t="str">
            <v>NK.OR 24/16(NKI 20/16)</v>
          </cell>
        </row>
        <row r="5564">
          <cell r="C5564">
            <v>309816.01</v>
          </cell>
          <cell r="D5564" t="str">
            <v>NKI.MCG 20/16(NK 24/16)</v>
          </cell>
        </row>
        <row r="5565">
          <cell r="C5565">
            <v>511270.01</v>
          </cell>
          <cell r="D5565" t="str">
            <v>RO 2.5X12.8</v>
          </cell>
        </row>
        <row r="5566">
          <cell r="C5566">
            <v>104816.01</v>
          </cell>
          <cell r="D5566" t="str">
            <v>NKI.IR 20/16(202416)</v>
          </cell>
        </row>
        <row r="5567">
          <cell r="C5567">
            <v>100816.5</v>
          </cell>
          <cell r="D5567" t="str">
            <v>NKI.IR 20/16 FC</v>
          </cell>
        </row>
        <row r="5568">
          <cell r="C5568">
            <v>200816.5</v>
          </cell>
          <cell r="D5568" t="str">
            <v>NKI.OR 20/16 FC</v>
          </cell>
        </row>
        <row r="5569">
          <cell r="C5569">
            <v>511270.01</v>
          </cell>
          <cell r="D5569" t="str">
            <v>RO 2.5X12.8</v>
          </cell>
        </row>
        <row r="5570">
          <cell r="C5570">
            <v>5221201.07</v>
          </cell>
          <cell r="D5570" t="str">
            <v>O  ISOFLEX TOPAS L32</v>
          </cell>
        </row>
        <row r="5571">
          <cell r="C5571">
            <v>104817.01</v>
          </cell>
          <cell r="D5571" t="str">
            <v>NKI.IR 20/20(202420)</v>
          </cell>
        </row>
        <row r="5572">
          <cell r="C5572">
            <v>208817.01</v>
          </cell>
          <cell r="D5572" t="str">
            <v>NK.OR 24/20(NKI 20/20)</v>
          </cell>
        </row>
        <row r="5573">
          <cell r="C5573">
            <v>309817.01</v>
          </cell>
          <cell r="D5573" t="str">
            <v>NKI.MCG 20/20(NK 24/20)</v>
          </cell>
        </row>
        <row r="5574">
          <cell r="C5574">
            <v>511209.01</v>
          </cell>
          <cell r="D5574" t="str">
            <v>RO 2.5X16.8</v>
          </cell>
        </row>
        <row r="5575">
          <cell r="C5575">
            <v>208817.01</v>
          </cell>
          <cell r="D5575" t="str">
            <v>NK.OR 24/20(NKI 20/20)</v>
          </cell>
        </row>
        <row r="5576">
          <cell r="C5576">
            <v>309817.01</v>
          </cell>
          <cell r="D5576" t="str">
            <v>NKI.MCG 20/20(NK 24/20)</v>
          </cell>
        </row>
        <row r="5577">
          <cell r="C5577">
            <v>511209.01</v>
          </cell>
          <cell r="D5577" t="str">
            <v>RO 2.5X16.8</v>
          </cell>
        </row>
        <row r="5578">
          <cell r="C5578">
            <v>104817.01</v>
          </cell>
          <cell r="D5578" t="str">
            <v>NKI.IR 20/20(202420)</v>
          </cell>
        </row>
        <row r="5579">
          <cell r="C5579">
            <v>104818.01</v>
          </cell>
          <cell r="D5579" t="str">
            <v>NKI.IR 22/16(222616)</v>
          </cell>
        </row>
        <row r="5580">
          <cell r="C5580">
            <v>208818.01</v>
          </cell>
          <cell r="D5580" t="str">
            <v>NK.OR 26/16(NKI 22/16)</v>
          </cell>
        </row>
        <row r="5581">
          <cell r="C5581">
            <v>309818.01</v>
          </cell>
          <cell r="D5581" t="str">
            <v>NKI.MCG 22/16(NK 26/16)</v>
          </cell>
        </row>
        <row r="5582">
          <cell r="C5582">
            <v>511270.01</v>
          </cell>
          <cell r="D5582" t="str">
            <v>RO 2.5X12.8</v>
          </cell>
        </row>
        <row r="5583">
          <cell r="C5583">
            <v>208818.01</v>
          </cell>
          <cell r="D5583" t="str">
            <v>NK.OR 26/16(NKI 22/16)</v>
          </cell>
        </row>
        <row r="5584">
          <cell r="C5584">
            <v>309818.01</v>
          </cell>
          <cell r="D5584" t="str">
            <v>NKI.MCG 22/16(NK 26/16)</v>
          </cell>
        </row>
        <row r="5585">
          <cell r="C5585">
            <v>511270.01</v>
          </cell>
          <cell r="D5585" t="str">
            <v>RO 2.5X12.8</v>
          </cell>
        </row>
        <row r="5586">
          <cell r="C5586">
            <v>104818.01</v>
          </cell>
          <cell r="D5586" t="str">
            <v>NKI.IR 22/16(222616)</v>
          </cell>
        </row>
        <row r="5587">
          <cell r="C5587">
            <v>104819.01</v>
          </cell>
          <cell r="D5587" t="str">
            <v>NKI.IR 25/20(252920)</v>
          </cell>
        </row>
        <row r="5588">
          <cell r="C5588">
            <v>208819.01</v>
          </cell>
          <cell r="D5588" t="str">
            <v>NK.OR 29/20(NKI 25/20)</v>
          </cell>
        </row>
        <row r="5589">
          <cell r="C5589">
            <v>309819.01</v>
          </cell>
          <cell r="D5589" t="str">
            <v>NKI.MCG 25/20(NK 29/20)</v>
          </cell>
        </row>
        <row r="5590">
          <cell r="C5590">
            <v>511819.01</v>
          </cell>
          <cell r="D5590" t="str">
            <v>RO 3X15.8</v>
          </cell>
        </row>
        <row r="5591">
          <cell r="C5591">
            <v>208819.01</v>
          </cell>
          <cell r="D5591" t="str">
            <v>NK.OR 29/20(NKI 25/20)</v>
          </cell>
        </row>
        <row r="5592">
          <cell r="C5592">
            <v>309819.01</v>
          </cell>
          <cell r="D5592" t="str">
            <v>NKI.MCG 25/20(NK 29/20)</v>
          </cell>
        </row>
        <row r="5593">
          <cell r="C5593">
            <v>511819.01</v>
          </cell>
          <cell r="D5593" t="str">
            <v>RO 3X15.8</v>
          </cell>
        </row>
        <row r="5594">
          <cell r="C5594">
            <v>104819.01</v>
          </cell>
          <cell r="D5594" t="str">
            <v>NKI.IR 25/20(252920)</v>
          </cell>
        </row>
        <row r="5595">
          <cell r="C5595">
            <v>100819.1</v>
          </cell>
          <cell r="D5595" t="str">
            <v>IR.IR 252920 SPL</v>
          </cell>
        </row>
        <row r="5596">
          <cell r="C5596">
            <v>104820.01</v>
          </cell>
          <cell r="D5596" t="str">
            <v>NKI.IR 25/30(252930)</v>
          </cell>
        </row>
        <row r="5597">
          <cell r="C5597">
            <v>208820.01</v>
          </cell>
          <cell r="D5597" t="str">
            <v>NK.OR 29/30(NKI 25/30)</v>
          </cell>
        </row>
        <row r="5598">
          <cell r="C5598">
            <v>309820.01</v>
          </cell>
          <cell r="D5598" t="str">
            <v>NKI.MCG 25/30(NK 29/30)</v>
          </cell>
        </row>
        <row r="5599">
          <cell r="C5599">
            <v>511822.01</v>
          </cell>
          <cell r="D5599" t="str">
            <v>RO 3x25.8 (NKI 28/30,32/3</v>
          </cell>
        </row>
        <row r="5600">
          <cell r="C5600">
            <v>208820.01</v>
          </cell>
          <cell r="D5600" t="str">
            <v>NK.OR 29/30(NKI 25/30)</v>
          </cell>
        </row>
        <row r="5601">
          <cell r="C5601">
            <v>309820.01</v>
          </cell>
          <cell r="D5601" t="str">
            <v>NKI.MCG 25/30(NK 29/30)</v>
          </cell>
        </row>
        <row r="5602">
          <cell r="C5602">
            <v>511822.01</v>
          </cell>
          <cell r="D5602" t="str">
            <v>RO 3x25.8 (NKI 28/30,32/3</v>
          </cell>
        </row>
        <row r="5603">
          <cell r="C5603">
            <v>104820.01</v>
          </cell>
          <cell r="D5603" t="str">
            <v>NKI.IR 25/30(252930)</v>
          </cell>
        </row>
        <row r="5604">
          <cell r="C5604">
            <v>100820.5</v>
          </cell>
          <cell r="D5604" t="str">
            <v>NKI.IR 25/30 FC</v>
          </cell>
        </row>
        <row r="5605">
          <cell r="C5605">
            <v>200820.5</v>
          </cell>
          <cell r="D5605" t="str">
            <v>NKI.OR 25/30 FC</v>
          </cell>
        </row>
        <row r="5606">
          <cell r="C5606">
            <v>500820.5</v>
          </cell>
          <cell r="D5606" t="str">
            <v>RO 3X26.8</v>
          </cell>
        </row>
        <row r="5607">
          <cell r="C5607">
            <v>5221201.07</v>
          </cell>
          <cell r="D5607" t="str">
            <v>O  ISOFLEX TOPAS L32</v>
          </cell>
        </row>
        <row r="5608">
          <cell r="C5608">
            <v>104821.01</v>
          </cell>
          <cell r="D5608" t="str">
            <v>NKI.IR 28/20(283220)</v>
          </cell>
        </row>
        <row r="5609">
          <cell r="C5609">
            <v>208821.01</v>
          </cell>
          <cell r="D5609" t="str">
            <v>NK.OR 32/20(NKI 28/20)</v>
          </cell>
        </row>
        <row r="5610">
          <cell r="C5610">
            <v>309821.01</v>
          </cell>
          <cell r="D5610" t="str">
            <v>NKI.MCG 28/20(NK 32/20)</v>
          </cell>
        </row>
        <row r="5611">
          <cell r="C5611">
            <v>511819.01</v>
          </cell>
          <cell r="D5611" t="str">
            <v>RO 3X15.8</v>
          </cell>
        </row>
        <row r="5612">
          <cell r="C5612">
            <v>208821.01</v>
          </cell>
          <cell r="D5612" t="str">
            <v>NK.OR 32/20(NKI 28/20)</v>
          </cell>
        </row>
        <row r="5613">
          <cell r="C5613">
            <v>309821.01</v>
          </cell>
          <cell r="D5613" t="str">
            <v>NKI.MCG 28/20(NK 32/20)</v>
          </cell>
        </row>
        <row r="5614">
          <cell r="C5614">
            <v>511819.01</v>
          </cell>
          <cell r="D5614" t="str">
            <v>RO 3X15.8</v>
          </cell>
        </row>
        <row r="5615">
          <cell r="C5615">
            <v>104821.01</v>
          </cell>
          <cell r="D5615" t="str">
            <v>NKI.IR 28/20(283220)</v>
          </cell>
        </row>
        <row r="5616">
          <cell r="C5616">
            <v>208821.01</v>
          </cell>
          <cell r="D5616" t="str">
            <v>NK.OR 32/20(NKI 28/20)</v>
          </cell>
        </row>
        <row r="5617">
          <cell r="C5617">
            <v>309821.01</v>
          </cell>
          <cell r="D5617" t="str">
            <v>NKI.MCG 28/20(NK 32/20)</v>
          </cell>
        </row>
        <row r="5618">
          <cell r="C5618">
            <v>511819.01</v>
          </cell>
          <cell r="D5618" t="str">
            <v>RO 3X15.8</v>
          </cell>
        </row>
        <row r="5619">
          <cell r="C5619">
            <v>104822.01</v>
          </cell>
          <cell r="D5619" t="str">
            <v>NKI.IR 28/30(283230)</v>
          </cell>
        </row>
        <row r="5620">
          <cell r="C5620">
            <v>208822.01</v>
          </cell>
          <cell r="D5620" t="str">
            <v>NK.OR 32/30(NKI 28/30)</v>
          </cell>
        </row>
        <row r="5621">
          <cell r="C5621">
            <v>309822.01</v>
          </cell>
          <cell r="D5621" t="str">
            <v>NKI.MCG 28/30(NK 32/30)</v>
          </cell>
        </row>
        <row r="5622">
          <cell r="C5622">
            <v>511822.01</v>
          </cell>
          <cell r="D5622" t="str">
            <v>RO 3x25.8 (NKI 28/30,32/3</v>
          </cell>
        </row>
        <row r="5623">
          <cell r="C5623">
            <v>208822.01</v>
          </cell>
          <cell r="D5623" t="str">
            <v>NK.OR 32/30(NKI 28/30)</v>
          </cell>
        </row>
        <row r="5624">
          <cell r="C5624">
            <v>309822.01</v>
          </cell>
          <cell r="D5624" t="str">
            <v>NKI.MCG 28/30(NK 32/30)</v>
          </cell>
        </row>
        <row r="5625">
          <cell r="C5625">
            <v>511822.01</v>
          </cell>
          <cell r="D5625" t="str">
            <v>RO 3x25.8 (NKI 28/30,32/3</v>
          </cell>
        </row>
        <row r="5626">
          <cell r="C5626">
            <v>104822.01</v>
          </cell>
          <cell r="D5626" t="str">
            <v>NKI.IR 28/30(283230)</v>
          </cell>
        </row>
        <row r="5627">
          <cell r="C5627">
            <v>104823.01</v>
          </cell>
          <cell r="D5627" t="str">
            <v>NKI.IR 30/20(303520)</v>
          </cell>
        </row>
        <row r="5628">
          <cell r="C5628">
            <v>208823.01</v>
          </cell>
          <cell r="D5628" t="str">
            <v>NK.OR 35/20(NKI 30/20)</v>
          </cell>
        </row>
        <row r="5629">
          <cell r="C5629">
            <v>309823.01</v>
          </cell>
          <cell r="D5629" t="str">
            <v>NKI.MCG 30/20(NK 35/20)</v>
          </cell>
        </row>
        <row r="5630">
          <cell r="C5630">
            <v>511819.01</v>
          </cell>
          <cell r="D5630" t="str">
            <v>RO 3X15.8</v>
          </cell>
        </row>
        <row r="5631">
          <cell r="C5631">
            <v>208823.01</v>
          </cell>
          <cell r="D5631" t="str">
            <v>NK.OR 35/20(NKI 30/20)</v>
          </cell>
        </row>
        <row r="5632">
          <cell r="C5632">
            <v>309823.01</v>
          </cell>
          <cell r="D5632" t="str">
            <v>NKI.MCG 30/20(NK 35/20)</v>
          </cell>
        </row>
        <row r="5633">
          <cell r="C5633">
            <v>511819.01</v>
          </cell>
          <cell r="D5633" t="str">
            <v>RO 3X15.8</v>
          </cell>
        </row>
        <row r="5634">
          <cell r="C5634">
            <v>104823.01</v>
          </cell>
          <cell r="D5634" t="str">
            <v>NKI.IR 30/20(303520)</v>
          </cell>
        </row>
        <row r="5635">
          <cell r="C5635">
            <v>200823.1</v>
          </cell>
          <cell r="D5635" t="str">
            <v>RPNA.OR 35/52</v>
          </cell>
        </row>
        <row r="5636">
          <cell r="C5636">
            <v>200823.2</v>
          </cell>
          <cell r="D5636" t="str">
            <v>RPNA.SHELL 35/52</v>
          </cell>
        </row>
        <row r="5637">
          <cell r="C5637">
            <v>300823.09999999998</v>
          </cell>
          <cell r="D5637" t="str">
            <v>RPNA.MCG 35/52</v>
          </cell>
        </row>
        <row r="5638">
          <cell r="C5638">
            <v>511819.01</v>
          </cell>
          <cell r="D5638" t="str">
            <v>RO 3X15.8</v>
          </cell>
        </row>
        <row r="5639">
          <cell r="C5639">
            <v>700823.1</v>
          </cell>
          <cell r="D5639" t="str">
            <v>RPNA.N.SEALB 35/52</v>
          </cell>
        </row>
        <row r="5640">
          <cell r="C5640">
            <v>700823.2</v>
          </cell>
          <cell r="D5640" t="str">
            <v>RPNA.N.SEALP 35/52</v>
          </cell>
        </row>
        <row r="5641">
          <cell r="C5641">
            <v>104824.01</v>
          </cell>
          <cell r="D5641" t="str">
            <v>NKI.IR 30/30(303530)</v>
          </cell>
        </row>
        <row r="5642">
          <cell r="C5642">
            <v>208824.01</v>
          </cell>
          <cell r="D5642" t="str">
            <v>NK.OR 35/30(NKI 30/30)</v>
          </cell>
        </row>
        <row r="5643">
          <cell r="C5643">
            <v>309824.01</v>
          </cell>
          <cell r="D5643" t="str">
            <v>NKI.MCG 30/30(NK 35/30)</v>
          </cell>
        </row>
        <row r="5644">
          <cell r="C5644">
            <v>511822.01</v>
          </cell>
          <cell r="D5644" t="str">
            <v>RO 3x25.8 (NKI 28/30,32/3</v>
          </cell>
        </row>
        <row r="5645">
          <cell r="C5645">
            <v>208824.01</v>
          </cell>
          <cell r="D5645" t="str">
            <v>NK.OR 35/30(NKI 30/30)</v>
          </cell>
        </row>
        <row r="5646">
          <cell r="C5646">
            <v>309824.01</v>
          </cell>
          <cell r="D5646" t="str">
            <v>NKI.MCG 30/30(NK 35/30)</v>
          </cell>
        </row>
        <row r="5647">
          <cell r="C5647">
            <v>511822.01</v>
          </cell>
          <cell r="D5647" t="str">
            <v>RO 3x25.8 (NKI 28/30,32/3</v>
          </cell>
        </row>
        <row r="5648">
          <cell r="C5648">
            <v>104824.01</v>
          </cell>
          <cell r="D5648" t="str">
            <v>NKI.IR 30/30(303530)</v>
          </cell>
        </row>
        <row r="5649">
          <cell r="C5649">
            <v>104825.01</v>
          </cell>
          <cell r="D5649" t="str">
            <v>NKI.IR 32/20(323720)</v>
          </cell>
        </row>
        <row r="5650">
          <cell r="C5650">
            <v>208825.01</v>
          </cell>
          <cell r="D5650" t="str">
            <v>NK.OR 37/20(NKI 32/20)</v>
          </cell>
        </row>
        <row r="5651">
          <cell r="C5651">
            <v>309825.01</v>
          </cell>
          <cell r="D5651" t="str">
            <v>NKI.MCG 32/20(NK 37/20)</v>
          </cell>
        </row>
        <row r="5652">
          <cell r="C5652">
            <v>511819.01</v>
          </cell>
          <cell r="D5652" t="str">
            <v>RO 3X15.8</v>
          </cell>
        </row>
        <row r="5653">
          <cell r="C5653">
            <v>208825.01</v>
          </cell>
          <cell r="D5653" t="str">
            <v>NK.OR 37/20(NKI 32/20)</v>
          </cell>
        </row>
        <row r="5654">
          <cell r="C5654">
            <v>309825.01</v>
          </cell>
          <cell r="D5654" t="str">
            <v>NKI.MCG 32/20(NK 37/20)</v>
          </cell>
        </row>
        <row r="5655">
          <cell r="C5655">
            <v>511819.01</v>
          </cell>
          <cell r="D5655" t="str">
            <v>RO 3X15.8</v>
          </cell>
        </row>
        <row r="5656">
          <cell r="C5656">
            <v>104825.01</v>
          </cell>
          <cell r="D5656" t="str">
            <v>NKI.IR 32/20(323720)</v>
          </cell>
        </row>
        <row r="5657">
          <cell r="C5657">
            <v>104826.01</v>
          </cell>
          <cell r="D5657" t="str">
            <v>NKI.IR 32/30(323730)</v>
          </cell>
        </row>
        <row r="5658">
          <cell r="C5658">
            <v>208826.01</v>
          </cell>
          <cell r="D5658" t="str">
            <v>NK.OR 37/30(NKI 32/30)</v>
          </cell>
        </row>
        <row r="5659">
          <cell r="C5659">
            <v>309826.01</v>
          </cell>
          <cell r="D5659" t="str">
            <v>NKI.MCG 32/30(NK 37/30)</v>
          </cell>
        </row>
        <row r="5660">
          <cell r="C5660">
            <v>511822.01</v>
          </cell>
          <cell r="D5660" t="str">
            <v>RO 3x25.8 (NKI 28/30,32/3</v>
          </cell>
        </row>
        <row r="5661">
          <cell r="C5661">
            <v>208826.01</v>
          </cell>
          <cell r="D5661" t="str">
            <v>NK.OR 37/30(NKI 32/30)</v>
          </cell>
        </row>
        <row r="5662">
          <cell r="C5662">
            <v>309826.01</v>
          </cell>
          <cell r="D5662" t="str">
            <v>NKI.MCG 32/30(NK 37/30)</v>
          </cell>
        </row>
        <row r="5663">
          <cell r="C5663">
            <v>511822.01</v>
          </cell>
          <cell r="D5663" t="str">
            <v>RO 3x25.8 (NKI 28/30,32/3</v>
          </cell>
        </row>
        <row r="5664">
          <cell r="C5664">
            <v>104826.01</v>
          </cell>
          <cell r="D5664" t="str">
            <v>NKI.IR 32/30(323730)</v>
          </cell>
        </row>
        <row r="5665">
          <cell r="C5665">
            <v>104827.01</v>
          </cell>
          <cell r="D5665" t="str">
            <v>NKI.IR 35/20(354020)</v>
          </cell>
        </row>
        <row r="5666">
          <cell r="C5666">
            <v>208827.01</v>
          </cell>
          <cell r="D5666" t="str">
            <v>NK.OR 40/20(NKI 35/20)</v>
          </cell>
        </row>
        <row r="5667">
          <cell r="C5667">
            <v>309827.01</v>
          </cell>
          <cell r="D5667" t="str">
            <v>NKI.MCG 35/20(NK 40/20)</v>
          </cell>
        </row>
        <row r="5668">
          <cell r="C5668">
            <v>511819.01</v>
          </cell>
          <cell r="D5668" t="str">
            <v>RO 3X15.8</v>
          </cell>
        </row>
        <row r="5669">
          <cell r="C5669">
            <v>208827.01</v>
          </cell>
          <cell r="D5669" t="str">
            <v>NK.OR 40/20(NKI 35/20)</v>
          </cell>
        </row>
        <row r="5670">
          <cell r="C5670">
            <v>309827.01</v>
          </cell>
          <cell r="D5670" t="str">
            <v>NKI.MCG 35/20(NK 40/20)</v>
          </cell>
        </row>
        <row r="5671">
          <cell r="C5671">
            <v>511819.01</v>
          </cell>
          <cell r="D5671" t="str">
            <v>RO 3X15.8</v>
          </cell>
        </row>
        <row r="5672">
          <cell r="C5672">
            <v>104827.01</v>
          </cell>
          <cell r="D5672" t="str">
            <v>NKI.IR 35/20(354020)</v>
          </cell>
        </row>
        <row r="5673">
          <cell r="C5673">
            <v>200827.1</v>
          </cell>
          <cell r="D5673" t="str">
            <v>MNA.OR 4020</v>
          </cell>
        </row>
        <row r="5674">
          <cell r="C5674">
            <v>300827.09999999998</v>
          </cell>
          <cell r="D5674" t="str">
            <v>MNA.MCG 4020</v>
          </cell>
        </row>
        <row r="5675">
          <cell r="C5675">
            <v>500827.1</v>
          </cell>
          <cell r="D5675" t="str">
            <v>RO 3X14.8 BP</v>
          </cell>
        </row>
        <row r="5676">
          <cell r="C5676">
            <v>300827.2</v>
          </cell>
          <cell r="D5676" t="str">
            <v>MSA.NCG 3423</v>
          </cell>
        </row>
        <row r="5677">
          <cell r="C5677">
            <v>500827.2</v>
          </cell>
          <cell r="D5677" t="str">
            <v>BALL 8 MM (IS:2898-1976)</v>
          </cell>
        </row>
        <row r="5678">
          <cell r="C5678">
            <v>200827.3</v>
          </cell>
          <cell r="D5678" t="str">
            <v>MSA.OR 3988</v>
          </cell>
        </row>
        <row r="5679">
          <cell r="C5679">
            <v>200827.4</v>
          </cell>
          <cell r="D5679" t="str">
            <v>RPNA.OR 40/55</v>
          </cell>
        </row>
        <row r="5680">
          <cell r="C5680">
            <v>200827.5</v>
          </cell>
          <cell r="D5680" t="str">
            <v>RPNA.SHELL 40/55</v>
          </cell>
        </row>
        <row r="5681">
          <cell r="C5681">
            <v>300827.40000000002</v>
          </cell>
          <cell r="D5681" t="str">
            <v>RPNA.MCG 40/55</v>
          </cell>
        </row>
        <row r="5682">
          <cell r="C5682">
            <v>511819.01</v>
          </cell>
          <cell r="D5682" t="str">
            <v>RO 3X15.8</v>
          </cell>
        </row>
        <row r="5683">
          <cell r="C5683">
            <v>700827.4</v>
          </cell>
          <cell r="D5683" t="str">
            <v>RPNA.N.SEALB 40/55</v>
          </cell>
        </row>
        <row r="5684">
          <cell r="C5684">
            <v>700827.5</v>
          </cell>
          <cell r="D5684" t="str">
            <v>RPNA.N.SEALP 40/55</v>
          </cell>
        </row>
        <row r="5685">
          <cell r="C5685">
            <v>100827.5</v>
          </cell>
          <cell r="D5685" t="str">
            <v>MSA.IR 2857</v>
          </cell>
        </row>
        <row r="5686">
          <cell r="C5686">
            <v>100827.6</v>
          </cell>
          <cell r="D5686" t="str">
            <v>MSA.IR 2855</v>
          </cell>
        </row>
        <row r="5687">
          <cell r="C5687">
            <v>104828.01</v>
          </cell>
          <cell r="D5687" t="str">
            <v>NKI.IR 35/30(354030)</v>
          </cell>
        </row>
        <row r="5688">
          <cell r="C5688">
            <v>208828.01</v>
          </cell>
          <cell r="D5688" t="str">
            <v>NK.OR 40/30(NKI 35/30)</v>
          </cell>
        </row>
        <row r="5689">
          <cell r="C5689">
            <v>309828.01</v>
          </cell>
          <cell r="D5689" t="str">
            <v>NKI.MCG 35/30(NK 40/30)</v>
          </cell>
        </row>
        <row r="5690">
          <cell r="C5690">
            <v>511822.01</v>
          </cell>
          <cell r="D5690" t="str">
            <v>RO 3x25.8 (NKI 28/30,32/3</v>
          </cell>
        </row>
        <row r="5691">
          <cell r="C5691">
            <v>208828.01</v>
          </cell>
          <cell r="D5691" t="str">
            <v>NK.OR 40/30(NKI 35/30)</v>
          </cell>
        </row>
        <row r="5692">
          <cell r="C5692">
            <v>309828.01</v>
          </cell>
          <cell r="D5692" t="str">
            <v>NKI.MCG 35/30(NK 40/30)</v>
          </cell>
        </row>
        <row r="5693">
          <cell r="C5693">
            <v>511822.01</v>
          </cell>
          <cell r="D5693" t="str">
            <v>RO 3x25.8 (NKI 28/30,32/3</v>
          </cell>
        </row>
        <row r="5694">
          <cell r="C5694">
            <v>104828.01</v>
          </cell>
          <cell r="D5694" t="str">
            <v>NKI.IR 35/30(354030)</v>
          </cell>
        </row>
        <row r="5695">
          <cell r="C5695">
            <v>104829.01</v>
          </cell>
          <cell r="D5695" t="str">
            <v>NKI.IR 38/20(384320)</v>
          </cell>
        </row>
        <row r="5696">
          <cell r="C5696">
            <v>208829.01</v>
          </cell>
          <cell r="D5696" t="str">
            <v>NK.OR 43/20(NKI 38/20)</v>
          </cell>
        </row>
        <row r="5697">
          <cell r="C5697">
            <v>309829.01</v>
          </cell>
          <cell r="D5697" t="str">
            <v>NKI.MCG 38/20(NK 43/20)</v>
          </cell>
        </row>
        <row r="5698">
          <cell r="C5698">
            <v>511819.01</v>
          </cell>
          <cell r="D5698" t="str">
            <v>RO 3X15.8</v>
          </cell>
        </row>
        <row r="5699">
          <cell r="C5699">
            <v>208829.01</v>
          </cell>
          <cell r="D5699" t="str">
            <v>NK.OR 43/20(NKI 38/20)</v>
          </cell>
        </row>
        <row r="5700">
          <cell r="C5700">
            <v>309829.01</v>
          </cell>
          <cell r="D5700" t="str">
            <v>NKI.MCG 38/20(NK 43/20)</v>
          </cell>
        </row>
        <row r="5701">
          <cell r="C5701">
            <v>511819.01</v>
          </cell>
          <cell r="D5701" t="str">
            <v>RO 3X15.8</v>
          </cell>
        </row>
        <row r="5702">
          <cell r="C5702">
            <v>104829.01</v>
          </cell>
          <cell r="D5702" t="str">
            <v>NKI.IR 38/20(384320)</v>
          </cell>
        </row>
        <row r="5703">
          <cell r="C5703">
            <v>104830.01</v>
          </cell>
          <cell r="D5703" t="str">
            <v>NKI.IR 38/30(384330)</v>
          </cell>
        </row>
        <row r="5704">
          <cell r="C5704">
            <v>208830.01</v>
          </cell>
          <cell r="D5704" t="str">
            <v>NK.OR 43/30(NKI 38/30)</v>
          </cell>
        </row>
        <row r="5705">
          <cell r="C5705">
            <v>309830.01</v>
          </cell>
          <cell r="D5705" t="str">
            <v>NKI.MCG 38/30(NK 43/30)</v>
          </cell>
        </row>
        <row r="5706">
          <cell r="C5706">
            <v>511822.01</v>
          </cell>
          <cell r="D5706" t="str">
            <v>RO 3x25.8 (NKI 28/30,32/3</v>
          </cell>
        </row>
        <row r="5707">
          <cell r="C5707">
            <v>208830.01</v>
          </cell>
          <cell r="D5707" t="str">
            <v>NK.OR 43/30(NKI 38/30)</v>
          </cell>
        </row>
        <row r="5708">
          <cell r="C5708">
            <v>309830.01</v>
          </cell>
          <cell r="D5708" t="str">
            <v>NKI.MCG 38/30(NK 43/30)</v>
          </cell>
        </row>
        <row r="5709">
          <cell r="C5709">
            <v>511822.01</v>
          </cell>
          <cell r="D5709" t="str">
            <v>RO 3x25.8 (NKI 28/30,32/3</v>
          </cell>
        </row>
        <row r="5710">
          <cell r="C5710">
            <v>104830.01</v>
          </cell>
          <cell r="D5710" t="str">
            <v>NKI.IR 38/30(384330)</v>
          </cell>
        </row>
        <row r="5711">
          <cell r="C5711">
            <v>104831.01</v>
          </cell>
          <cell r="D5711" t="str">
            <v>NKI.IR 40/20(404520)</v>
          </cell>
        </row>
        <row r="5712">
          <cell r="C5712">
            <v>208831.01</v>
          </cell>
          <cell r="D5712" t="str">
            <v>NK.OR 45/20(NKI 40/20)</v>
          </cell>
        </row>
        <row r="5713">
          <cell r="C5713">
            <v>309831.01</v>
          </cell>
          <cell r="D5713" t="str">
            <v>NKI.MCG 40/20(NK 45/20)</v>
          </cell>
        </row>
        <row r="5714">
          <cell r="C5714">
            <v>511819.01</v>
          </cell>
          <cell r="D5714" t="str">
            <v>RO 3X15.8</v>
          </cell>
        </row>
        <row r="5715">
          <cell r="C5715">
            <v>208831.01</v>
          </cell>
          <cell r="D5715" t="str">
            <v>NK.OR 45/20(NKI 40/20)</v>
          </cell>
        </row>
        <row r="5716">
          <cell r="C5716">
            <v>309831.01</v>
          </cell>
          <cell r="D5716" t="str">
            <v>NKI.MCG 40/20(NK 45/20)</v>
          </cell>
        </row>
        <row r="5717">
          <cell r="C5717">
            <v>511819.01</v>
          </cell>
          <cell r="D5717" t="str">
            <v>RO 3X15.8</v>
          </cell>
        </row>
        <row r="5718">
          <cell r="C5718">
            <v>104831.01</v>
          </cell>
          <cell r="D5718" t="str">
            <v>NKI.IR 40/20(404520)</v>
          </cell>
        </row>
        <row r="5719">
          <cell r="C5719">
            <v>200831.1</v>
          </cell>
          <cell r="D5719" t="str">
            <v>RPNA.OR 45/62</v>
          </cell>
        </row>
        <row r="5720">
          <cell r="C5720">
            <v>200831.2</v>
          </cell>
          <cell r="D5720" t="str">
            <v>RPNA.SHELL 45/62</v>
          </cell>
        </row>
        <row r="5721">
          <cell r="C5721">
            <v>300831.09999999998</v>
          </cell>
          <cell r="D5721" t="str">
            <v>RPNA.MCG 45/62</v>
          </cell>
        </row>
        <row r="5722">
          <cell r="C5722">
            <v>511819.01</v>
          </cell>
          <cell r="D5722" t="str">
            <v>RO 3X15.8</v>
          </cell>
        </row>
        <row r="5723">
          <cell r="C5723">
            <v>700831.1</v>
          </cell>
          <cell r="D5723" t="str">
            <v>RPNA.N.SEALB 45/62</v>
          </cell>
        </row>
        <row r="5724">
          <cell r="C5724">
            <v>700831.2</v>
          </cell>
          <cell r="D5724" t="str">
            <v>RPNA.N.SEALP 45/62</v>
          </cell>
        </row>
        <row r="5725">
          <cell r="C5725">
            <v>104832.01</v>
          </cell>
          <cell r="D5725" t="str">
            <v>NKI.IR 40/30(404530)</v>
          </cell>
        </row>
        <row r="5726">
          <cell r="C5726">
            <v>208832.01</v>
          </cell>
          <cell r="D5726" t="str">
            <v>NK.OR 45/30(NKI 40/30)</v>
          </cell>
        </row>
        <row r="5727">
          <cell r="C5727">
            <v>309832.01</v>
          </cell>
          <cell r="D5727" t="str">
            <v>NKI.MCG 40/30(NK 45/30)</v>
          </cell>
        </row>
        <row r="5728">
          <cell r="C5728">
            <v>511822.01</v>
          </cell>
          <cell r="D5728" t="str">
            <v>RO 3x25.8 (NKI 28/30,32/3</v>
          </cell>
        </row>
        <row r="5729">
          <cell r="C5729">
            <v>208832.01</v>
          </cell>
          <cell r="D5729" t="str">
            <v>NK.OR 45/30(NKI 40/30)</v>
          </cell>
        </row>
        <row r="5730">
          <cell r="C5730">
            <v>309832.01</v>
          </cell>
          <cell r="D5730" t="str">
            <v>NKI.MCG 40/30(NK 45/30)</v>
          </cell>
        </row>
        <row r="5731">
          <cell r="C5731">
            <v>511822.01</v>
          </cell>
          <cell r="D5731" t="str">
            <v>RO 3x25.8 (NKI 28/30,32/3</v>
          </cell>
        </row>
        <row r="5732">
          <cell r="C5732">
            <v>104832.01</v>
          </cell>
          <cell r="D5732" t="str">
            <v>NKI.IR 40/30(404530)</v>
          </cell>
        </row>
        <row r="5733">
          <cell r="C5733">
            <v>104832.01</v>
          </cell>
          <cell r="D5733" t="str">
            <v>NKI.IR 40/30(404530)</v>
          </cell>
        </row>
        <row r="5734">
          <cell r="C5734">
            <v>208832.21</v>
          </cell>
          <cell r="D5734" t="str">
            <v>NK.OR 45/30(NKI 40/30)F</v>
          </cell>
        </row>
        <row r="5735">
          <cell r="C5735">
            <v>511227.01</v>
          </cell>
          <cell r="D5735" t="str">
            <v>RO 3X24.8</v>
          </cell>
        </row>
        <row r="5736">
          <cell r="C5736">
            <v>208832.21</v>
          </cell>
          <cell r="D5736" t="str">
            <v>NK.OR 45/30(NKI 40/30)F</v>
          </cell>
        </row>
        <row r="5737">
          <cell r="C5737">
            <v>511227.01</v>
          </cell>
          <cell r="D5737" t="str">
            <v>RO 3X24.8</v>
          </cell>
        </row>
        <row r="5738">
          <cell r="C5738">
            <v>104833.01</v>
          </cell>
          <cell r="D5738" t="str">
            <v>NKI.IR 42/20(424720)</v>
          </cell>
        </row>
        <row r="5739">
          <cell r="C5739">
            <v>208833.01</v>
          </cell>
          <cell r="D5739" t="str">
            <v>NK.OR 47/20(NKI 42/20)</v>
          </cell>
        </row>
        <row r="5740">
          <cell r="C5740">
            <v>309833.01</v>
          </cell>
          <cell r="D5740" t="str">
            <v>NKI.MCG 42/20(NK 47/20)</v>
          </cell>
        </row>
        <row r="5741">
          <cell r="C5741">
            <v>511819.01</v>
          </cell>
          <cell r="D5741" t="str">
            <v>RO 3X15.8</v>
          </cell>
        </row>
        <row r="5742">
          <cell r="C5742">
            <v>208833.01</v>
          </cell>
          <cell r="D5742" t="str">
            <v>NK.OR 47/20(NKI 42/20)</v>
          </cell>
        </row>
        <row r="5743">
          <cell r="C5743">
            <v>309833.01</v>
          </cell>
          <cell r="D5743" t="str">
            <v>NKI.MCG 42/20(NK 47/20)</v>
          </cell>
        </row>
        <row r="5744">
          <cell r="C5744">
            <v>511819.01</v>
          </cell>
          <cell r="D5744" t="str">
            <v>RO 3X15.8</v>
          </cell>
        </row>
        <row r="5745">
          <cell r="C5745">
            <v>104833.01</v>
          </cell>
          <cell r="D5745" t="str">
            <v>NKI.IR 42/20(424720)</v>
          </cell>
        </row>
        <row r="5746">
          <cell r="C5746">
            <v>104834.01</v>
          </cell>
          <cell r="D5746" t="str">
            <v>NKI.IR 42/30(424730)</v>
          </cell>
        </row>
        <row r="5747">
          <cell r="C5747">
            <v>208834.01</v>
          </cell>
          <cell r="D5747" t="str">
            <v>NK.OR 47/30(NKI 42/30)</v>
          </cell>
        </row>
        <row r="5748">
          <cell r="C5748">
            <v>309834.01</v>
          </cell>
          <cell r="D5748" t="str">
            <v>NKI.MCG 42/30(NK 47/30)</v>
          </cell>
        </row>
        <row r="5749">
          <cell r="C5749">
            <v>511822.01</v>
          </cell>
          <cell r="D5749" t="str">
            <v>RO 3x25.8 (NKI 28/30,32/3</v>
          </cell>
        </row>
        <row r="5750">
          <cell r="C5750">
            <v>208834.01</v>
          </cell>
          <cell r="D5750" t="str">
            <v>NK.OR 47/30(NKI 42/30)</v>
          </cell>
        </row>
        <row r="5751">
          <cell r="C5751">
            <v>309834.01</v>
          </cell>
          <cell r="D5751" t="str">
            <v>NKI.MCG 42/30(NK 47/30)</v>
          </cell>
        </row>
        <row r="5752">
          <cell r="C5752">
            <v>511822.01</v>
          </cell>
          <cell r="D5752" t="str">
            <v>RO 3x25.8 (NKI 28/30,32/3</v>
          </cell>
        </row>
        <row r="5753">
          <cell r="C5753">
            <v>104834.01</v>
          </cell>
          <cell r="D5753" t="str">
            <v>NKI.IR 42/30(424730)</v>
          </cell>
        </row>
        <row r="5754">
          <cell r="C5754">
            <v>104835.01</v>
          </cell>
          <cell r="D5754" t="str">
            <v>NKI.IR 45/25(455025)</v>
          </cell>
        </row>
        <row r="5755">
          <cell r="C5755">
            <v>208835.01</v>
          </cell>
          <cell r="D5755" t="str">
            <v>NK.OR 50/25(NKI 45/25)</v>
          </cell>
        </row>
        <row r="5756">
          <cell r="C5756">
            <v>309835.01</v>
          </cell>
          <cell r="D5756" t="str">
            <v>NKI.MCG 45/25(NK 50/25)</v>
          </cell>
        </row>
        <row r="5757">
          <cell r="C5757">
            <v>511230.01</v>
          </cell>
          <cell r="D5757" t="str">
            <v>RO 3.5X18.8</v>
          </cell>
        </row>
        <row r="5758">
          <cell r="C5758">
            <v>208835.01</v>
          </cell>
          <cell r="D5758" t="str">
            <v>NK.OR 50/25(NKI 45/25)</v>
          </cell>
        </row>
        <row r="5759">
          <cell r="C5759">
            <v>309835.01</v>
          </cell>
          <cell r="D5759" t="str">
            <v>NKI.MCG 45/25(NK 50/25)</v>
          </cell>
        </row>
        <row r="5760">
          <cell r="C5760">
            <v>511230.01</v>
          </cell>
          <cell r="D5760" t="str">
            <v>RO 3.5X18.8</v>
          </cell>
        </row>
        <row r="5761">
          <cell r="C5761">
            <v>104835.01</v>
          </cell>
          <cell r="D5761" t="str">
            <v>NKI.IR 45/25(455025)</v>
          </cell>
        </row>
        <row r="5762">
          <cell r="C5762">
            <v>208835.01</v>
          </cell>
          <cell r="D5762" t="str">
            <v>NK.OR 50/25(NKI 45/25)</v>
          </cell>
        </row>
        <row r="5763">
          <cell r="C5763">
            <v>309835.01</v>
          </cell>
          <cell r="D5763" t="str">
            <v>NKI.MCG 45/25(NK 50/25)</v>
          </cell>
        </row>
        <row r="5764">
          <cell r="C5764">
            <v>511230.01</v>
          </cell>
          <cell r="D5764" t="str">
            <v>RO 3.5X18.8</v>
          </cell>
        </row>
        <row r="5765">
          <cell r="C5765">
            <v>104836.01</v>
          </cell>
          <cell r="D5765" t="str">
            <v>NKI.IR 45/35(455035)</v>
          </cell>
        </row>
        <row r="5766">
          <cell r="C5766">
            <v>208836.01</v>
          </cell>
          <cell r="D5766" t="str">
            <v>NK.OR 50/35(NKI 45/35)</v>
          </cell>
        </row>
        <row r="5767">
          <cell r="C5767">
            <v>309836.01</v>
          </cell>
          <cell r="D5767" t="str">
            <v>NKI.MCG 45/35(NK 50/35)</v>
          </cell>
        </row>
        <row r="5768">
          <cell r="C5768">
            <v>511231.01</v>
          </cell>
          <cell r="D5768" t="str">
            <v>RO 3.5X27.8</v>
          </cell>
        </row>
        <row r="5769">
          <cell r="C5769">
            <v>208836.01</v>
          </cell>
          <cell r="D5769" t="str">
            <v>NK.OR 50/35(NKI 45/35)</v>
          </cell>
        </row>
        <row r="5770">
          <cell r="C5770">
            <v>309836.01</v>
          </cell>
          <cell r="D5770" t="str">
            <v>NKI.MCG 45/35(NK 50/35)</v>
          </cell>
        </row>
        <row r="5771">
          <cell r="C5771">
            <v>511231.01</v>
          </cell>
          <cell r="D5771" t="str">
            <v>RO 3.5X27.8</v>
          </cell>
        </row>
        <row r="5772">
          <cell r="C5772">
            <v>104836.01</v>
          </cell>
          <cell r="D5772" t="str">
            <v>NKI.IR 45/35(455035)</v>
          </cell>
        </row>
        <row r="5773">
          <cell r="C5773">
            <v>104837.01</v>
          </cell>
          <cell r="D5773" t="str">
            <v>NKI.IR 50/25(505525)</v>
          </cell>
        </row>
        <row r="5774">
          <cell r="C5774">
            <v>208837.01</v>
          </cell>
          <cell r="D5774" t="str">
            <v>NK.OR 55/25(NKI 50/25)</v>
          </cell>
        </row>
        <row r="5775">
          <cell r="C5775">
            <v>309837.01</v>
          </cell>
          <cell r="D5775" t="str">
            <v>NKI.MCG 50/25(NK 55/25)</v>
          </cell>
        </row>
        <row r="5776">
          <cell r="C5776">
            <v>511230.01</v>
          </cell>
          <cell r="D5776" t="str">
            <v>RO 3.5X18.8</v>
          </cell>
        </row>
        <row r="5777">
          <cell r="C5777">
            <v>208837.01</v>
          </cell>
          <cell r="D5777" t="str">
            <v>NK.OR 55/25(NKI 50/25)</v>
          </cell>
        </row>
        <row r="5778">
          <cell r="C5778">
            <v>309837.01</v>
          </cell>
          <cell r="D5778" t="str">
            <v>NKI.MCG 50/25(NK 55/25)</v>
          </cell>
        </row>
        <row r="5779">
          <cell r="C5779">
            <v>511230.01</v>
          </cell>
          <cell r="D5779" t="str">
            <v>RO 3.5X18.8</v>
          </cell>
        </row>
        <row r="5780">
          <cell r="C5780">
            <v>104837.01</v>
          </cell>
          <cell r="D5780" t="str">
            <v>NKI.IR 50/25(505525)</v>
          </cell>
        </row>
        <row r="5781">
          <cell r="C5781">
            <v>208837.01</v>
          </cell>
          <cell r="D5781" t="str">
            <v>NK.OR 55/25(NKI 50/25)</v>
          </cell>
        </row>
        <row r="5782">
          <cell r="C5782">
            <v>309837.01</v>
          </cell>
          <cell r="D5782" t="str">
            <v>NKI.MCG 50/25(NK 55/25)</v>
          </cell>
        </row>
        <row r="5783">
          <cell r="C5783">
            <v>511230.01</v>
          </cell>
          <cell r="D5783" t="str">
            <v>RO 3.5X18.8</v>
          </cell>
        </row>
        <row r="5784">
          <cell r="C5784">
            <v>104837.01</v>
          </cell>
          <cell r="D5784" t="str">
            <v>NKI.IR 50/25(505525)</v>
          </cell>
        </row>
        <row r="5785">
          <cell r="C5785">
            <v>208837.01</v>
          </cell>
          <cell r="D5785" t="str">
            <v>NK.OR 55/25(NKI 50/25)</v>
          </cell>
        </row>
        <row r="5786">
          <cell r="C5786">
            <v>309837.01</v>
          </cell>
          <cell r="D5786" t="str">
            <v>NKI.MCG 50/25(NK 55/25)</v>
          </cell>
        </row>
        <row r="5787">
          <cell r="C5787">
            <v>511230.01</v>
          </cell>
          <cell r="D5787" t="str">
            <v>RO 3.5X18.8</v>
          </cell>
        </row>
        <row r="5788">
          <cell r="C5788">
            <v>104838.01</v>
          </cell>
          <cell r="D5788" t="str">
            <v>NKI.IR 50/35(505535)</v>
          </cell>
        </row>
        <row r="5789">
          <cell r="C5789">
            <v>208838.01</v>
          </cell>
          <cell r="D5789" t="str">
            <v>NK.OR 55/35(NKI 50/35)</v>
          </cell>
        </row>
        <row r="5790">
          <cell r="C5790">
            <v>309838.01</v>
          </cell>
          <cell r="D5790" t="str">
            <v>NKI.MCG 50/35(NK 55/35)</v>
          </cell>
        </row>
        <row r="5791">
          <cell r="C5791">
            <v>511231.01</v>
          </cell>
          <cell r="D5791" t="str">
            <v>RO 3.5X27.8</v>
          </cell>
        </row>
        <row r="5792">
          <cell r="C5792">
            <v>208838.01</v>
          </cell>
          <cell r="D5792" t="str">
            <v>NK.OR 55/35(NKI 50/35)</v>
          </cell>
        </row>
        <row r="5793">
          <cell r="C5793">
            <v>309838.01</v>
          </cell>
          <cell r="D5793" t="str">
            <v>NKI.MCG 50/35(NK 55/35)</v>
          </cell>
        </row>
        <row r="5794">
          <cell r="C5794">
            <v>511231.01</v>
          </cell>
          <cell r="D5794" t="str">
            <v>RO 3.5X27.8</v>
          </cell>
        </row>
        <row r="5795">
          <cell r="C5795">
            <v>104838.01</v>
          </cell>
          <cell r="D5795" t="str">
            <v>NKI.IR 50/35(505535)</v>
          </cell>
        </row>
        <row r="5796">
          <cell r="C5796">
            <v>208838.01</v>
          </cell>
          <cell r="D5796" t="str">
            <v>NK.OR 55/35(NKI 50/35)</v>
          </cell>
        </row>
        <row r="5797">
          <cell r="C5797">
            <v>309838.01</v>
          </cell>
          <cell r="D5797" t="str">
            <v>NKI.MCG 50/35(NK 55/35)</v>
          </cell>
        </row>
        <row r="5798">
          <cell r="C5798">
            <v>511231.01</v>
          </cell>
          <cell r="D5798" t="str">
            <v>RO 3.5X27.8</v>
          </cell>
        </row>
        <row r="5799">
          <cell r="C5799">
            <v>104839.01</v>
          </cell>
          <cell r="D5799" t="str">
            <v>NKI.IR 55/25(556025)</v>
          </cell>
        </row>
        <row r="5800">
          <cell r="C5800">
            <v>208839.01</v>
          </cell>
          <cell r="D5800" t="str">
            <v>NK.OR 60/25(NKI 55/25)</v>
          </cell>
        </row>
        <row r="5801">
          <cell r="C5801">
            <v>309839.01</v>
          </cell>
          <cell r="D5801" t="str">
            <v>NKI.MCG 55/25(NK 60/25)</v>
          </cell>
        </row>
        <row r="5802">
          <cell r="C5802">
            <v>511230.01</v>
          </cell>
          <cell r="D5802" t="str">
            <v>RO 3.5X18.8</v>
          </cell>
        </row>
        <row r="5803">
          <cell r="C5803">
            <v>208839.01</v>
          </cell>
          <cell r="D5803" t="str">
            <v>NK.OR 60/25(NKI 55/25)</v>
          </cell>
        </row>
        <row r="5804">
          <cell r="C5804">
            <v>309839.01</v>
          </cell>
          <cell r="D5804" t="str">
            <v>NKI.MCG 55/25(NK 60/25)</v>
          </cell>
        </row>
        <row r="5805">
          <cell r="C5805">
            <v>511230.01</v>
          </cell>
          <cell r="D5805" t="str">
            <v>RO 3.5X18.8</v>
          </cell>
        </row>
        <row r="5806">
          <cell r="C5806">
            <v>104839.01</v>
          </cell>
          <cell r="D5806" t="str">
            <v>NKI.IR 55/25(556025)</v>
          </cell>
        </row>
        <row r="5807">
          <cell r="C5807">
            <v>104840.01</v>
          </cell>
          <cell r="D5807" t="str">
            <v>NKI.IR 55/35(556035)</v>
          </cell>
        </row>
        <row r="5808">
          <cell r="C5808">
            <v>208840.01</v>
          </cell>
          <cell r="D5808" t="str">
            <v>NK.OR 60/35(NKI 55/35)</v>
          </cell>
        </row>
        <row r="5809">
          <cell r="C5809">
            <v>309840.01</v>
          </cell>
          <cell r="D5809" t="str">
            <v>NKI.MCG 55/35(NK 60/35)</v>
          </cell>
        </row>
        <row r="5810">
          <cell r="C5810">
            <v>511231.01</v>
          </cell>
          <cell r="D5810" t="str">
            <v>RO 3.5X27.8</v>
          </cell>
        </row>
        <row r="5811">
          <cell r="C5811">
            <v>208840.01</v>
          </cell>
          <cell r="D5811" t="str">
            <v>NK.OR 60/35(NKI 55/35)</v>
          </cell>
        </row>
        <row r="5812">
          <cell r="C5812">
            <v>309840.01</v>
          </cell>
          <cell r="D5812" t="str">
            <v>NKI.MCG 55/35(NK 60/35)</v>
          </cell>
        </row>
        <row r="5813">
          <cell r="C5813">
            <v>511231.01</v>
          </cell>
          <cell r="D5813" t="str">
            <v>RO 3.5X27.8</v>
          </cell>
        </row>
        <row r="5814">
          <cell r="C5814">
            <v>104840.01</v>
          </cell>
          <cell r="D5814" t="str">
            <v>NKI.IR 55/35(556035)</v>
          </cell>
        </row>
        <row r="5815">
          <cell r="C5815">
            <v>104841.01</v>
          </cell>
          <cell r="D5815" t="str">
            <v>NKI.IR 60/25(606825)</v>
          </cell>
        </row>
        <row r="5816">
          <cell r="C5816">
            <v>208841.01</v>
          </cell>
          <cell r="D5816" t="str">
            <v>NK.OR 68/25(NKI 60/25)</v>
          </cell>
        </row>
        <row r="5817">
          <cell r="C5817">
            <v>309841.01</v>
          </cell>
          <cell r="D5817" t="str">
            <v>NKI.MCG 60/25(NK 68/25)</v>
          </cell>
        </row>
        <row r="5818">
          <cell r="C5818">
            <v>511841.01</v>
          </cell>
          <cell r="D5818" t="str">
            <v>RO 4X18.8</v>
          </cell>
        </row>
        <row r="5819">
          <cell r="C5819">
            <v>208841.01</v>
          </cell>
          <cell r="D5819" t="str">
            <v>NK.OR 68/25(NKI 60/25)</v>
          </cell>
        </row>
        <row r="5820">
          <cell r="C5820">
            <v>309841.01</v>
          </cell>
          <cell r="D5820" t="str">
            <v>NKI.MCG 60/25(NK 68/25)</v>
          </cell>
        </row>
        <row r="5821">
          <cell r="C5821">
            <v>511841.01</v>
          </cell>
          <cell r="D5821" t="str">
            <v>RO 4X18.8</v>
          </cell>
        </row>
        <row r="5822">
          <cell r="C5822">
            <v>104841.01</v>
          </cell>
          <cell r="D5822" t="str">
            <v>NKI.IR 60/25(606825)</v>
          </cell>
        </row>
        <row r="5823">
          <cell r="C5823">
            <v>104842.01</v>
          </cell>
          <cell r="D5823" t="str">
            <v>NKI.IR 60/35(606835)</v>
          </cell>
        </row>
        <row r="5824">
          <cell r="C5824">
            <v>208842.01</v>
          </cell>
          <cell r="D5824" t="str">
            <v>NK.OR 68/35(NKI 60/35)</v>
          </cell>
        </row>
        <row r="5825">
          <cell r="C5825">
            <v>309842.01</v>
          </cell>
          <cell r="D5825" t="str">
            <v>NKI.MCG 60/35(NK 68/35)</v>
          </cell>
        </row>
        <row r="5826">
          <cell r="C5826">
            <v>511237.01</v>
          </cell>
          <cell r="D5826" t="str">
            <v>RO 4X27.8</v>
          </cell>
        </row>
        <row r="5827">
          <cell r="C5827">
            <v>208842.01</v>
          </cell>
          <cell r="D5827" t="str">
            <v>NK.OR 68/35(NKI 60/35)</v>
          </cell>
        </row>
        <row r="5828">
          <cell r="C5828">
            <v>309842.01</v>
          </cell>
          <cell r="D5828" t="str">
            <v>NKI.MCG 60/35(NK 68/35)</v>
          </cell>
        </row>
        <row r="5829">
          <cell r="C5829">
            <v>511237.01</v>
          </cell>
          <cell r="D5829" t="str">
            <v>RO 4X27.8</v>
          </cell>
        </row>
        <row r="5830">
          <cell r="C5830">
            <v>104842.01</v>
          </cell>
          <cell r="D5830" t="str">
            <v>NKI.IR 60/35(606835)</v>
          </cell>
        </row>
        <row r="5831">
          <cell r="C5831">
            <v>104843.01</v>
          </cell>
          <cell r="D5831" t="str">
            <v>NKI.IR 65/25(657325)</v>
          </cell>
        </row>
        <row r="5832">
          <cell r="C5832">
            <v>208843.01</v>
          </cell>
          <cell r="D5832" t="str">
            <v>NK.OR 73/25(NKI 65/25)</v>
          </cell>
        </row>
        <row r="5833">
          <cell r="C5833">
            <v>309843.01</v>
          </cell>
          <cell r="D5833" t="str">
            <v>NKI.MCG 65/25(NK 73/25)</v>
          </cell>
        </row>
        <row r="5834">
          <cell r="C5834">
            <v>511238.01</v>
          </cell>
          <cell r="D5834" t="str">
            <v>RO 5X17.8</v>
          </cell>
        </row>
        <row r="5835">
          <cell r="C5835">
            <v>208843.01</v>
          </cell>
          <cell r="D5835" t="str">
            <v>NK.OR 73/25(NKI 65/25)</v>
          </cell>
        </row>
        <row r="5836">
          <cell r="C5836">
            <v>309843.01</v>
          </cell>
          <cell r="D5836" t="str">
            <v>NKI.MCG 65/25(NK 73/25)</v>
          </cell>
        </row>
        <row r="5837">
          <cell r="C5837">
            <v>511238.01</v>
          </cell>
          <cell r="D5837" t="str">
            <v>RO 5X17.8</v>
          </cell>
        </row>
        <row r="5838">
          <cell r="C5838">
            <v>104843.01</v>
          </cell>
          <cell r="D5838" t="str">
            <v>NKI.IR 65/25(657325)</v>
          </cell>
        </row>
        <row r="5839">
          <cell r="C5839">
            <v>104844.01</v>
          </cell>
          <cell r="D5839" t="str">
            <v>NKI.IR 65/35(657335)</v>
          </cell>
        </row>
        <row r="5840">
          <cell r="C5840">
            <v>208844.01</v>
          </cell>
          <cell r="D5840" t="str">
            <v>NK.OR 73/35(NKI 65/35)</v>
          </cell>
        </row>
        <row r="5841">
          <cell r="C5841">
            <v>309844.01</v>
          </cell>
          <cell r="D5841" t="str">
            <v>NKI.MCG 65/35(NK 73/35)</v>
          </cell>
        </row>
        <row r="5842">
          <cell r="C5842">
            <v>511915.02</v>
          </cell>
          <cell r="D5842" t="str">
            <v>RO 5X27.8</v>
          </cell>
        </row>
        <row r="5843">
          <cell r="C5843">
            <v>208844.01</v>
          </cell>
          <cell r="D5843" t="str">
            <v>NK.OR 73/35(NKI 65/35)</v>
          </cell>
        </row>
        <row r="5844">
          <cell r="C5844">
            <v>309844.01</v>
          </cell>
          <cell r="D5844" t="str">
            <v>NKI.MCG 65/35(NK 73/35)</v>
          </cell>
        </row>
        <row r="5845">
          <cell r="C5845">
            <v>511683</v>
          </cell>
          <cell r="D5845" t="str">
            <v>RO 5.5X27.8</v>
          </cell>
        </row>
        <row r="5846">
          <cell r="C5846">
            <v>104844.01</v>
          </cell>
          <cell r="D5846" t="str">
            <v>NKI.IR 65/35(657335)</v>
          </cell>
        </row>
        <row r="5847">
          <cell r="C5847">
            <v>104845.01</v>
          </cell>
          <cell r="D5847" t="str">
            <v>NKI.IR 70/25(708025)</v>
          </cell>
        </row>
        <row r="5848">
          <cell r="C5848">
            <v>208845.01</v>
          </cell>
          <cell r="D5848" t="str">
            <v>NK.OR 80/25(NKI 70/25)</v>
          </cell>
        </row>
        <row r="5849">
          <cell r="C5849">
            <v>309845.01</v>
          </cell>
          <cell r="D5849" t="str">
            <v>NKI.MCG 70/25(NK 80/25)</v>
          </cell>
        </row>
        <row r="5850">
          <cell r="C5850">
            <v>511845.01</v>
          </cell>
          <cell r="D5850" t="str">
            <v>RO 4.5X18.8</v>
          </cell>
        </row>
        <row r="5851">
          <cell r="C5851">
            <v>208845.01</v>
          </cell>
          <cell r="D5851" t="str">
            <v>NK.OR 80/25(NKI 70/25)</v>
          </cell>
        </row>
        <row r="5852">
          <cell r="C5852">
            <v>309845.01</v>
          </cell>
          <cell r="D5852" t="str">
            <v>NKI.MCG 70/25(NK 80/25)</v>
          </cell>
        </row>
        <row r="5853">
          <cell r="C5853">
            <v>511845.01</v>
          </cell>
          <cell r="D5853" t="str">
            <v>RO 4.5X18.8</v>
          </cell>
        </row>
        <row r="5854">
          <cell r="C5854">
            <v>104845.01</v>
          </cell>
          <cell r="D5854" t="str">
            <v>NKI.IR 70/25(708025)</v>
          </cell>
        </row>
        <row r="5855">
          <cell r="C5855">
            <v>104846.01</v>
          </cell>
          <cell r="D5855" t="str">
            <v>NKI.IR 70/35(708035)</v>
          </cell>
        </row>
        <row r="5856">
          <cell r="C5856">
            <v>208846.01</v>
          </cell>
          <cell r="D5856" t="str">
            <v>NK.OR 80/35(NKI 70/35)</v>
          </cell>
        </row>
        <row r="5857">
          <cell r="C5857">
            <v>309846.01</v>
          </cell>
          <cell r="D5857" t="str">
            <v>NKI.MCG 70/35(NK 80/35)</v>
          </cell>
        </row>
        <row r="5858">
          <cell r="C5858">
            <v>511846.01</v>
          </cell>
          <cell r="D5858" t="str">
            <v>RO 4.5X28.8</v>
          </cell>
        </row>
        <row r="5859">
          <cell r="C5859">
            <v>208846.01</v>
          </cell>
          <cell r="D5859" t="str">
            <v>NK.OR 80/35(NKI 70/35)</v>
          </cell>
        </row>
        <row r="5860">
          <cell r="C5860">
            <v>309846.01</v>
          </cell>
          <cell r="D5860" t="str">
            <v>NKI.MCG 70/35(NK 80/35)</v>
          </cell>
        </row>
        <row r="5861">
          <cell r="C5861">
            <v>511846.01</v>
          </cell>
          <cell r="D5861" t="str">
            <v>RO 4.5X28.8</v>
          </cell>
        </row>
        <row r="5862">
          <cell r="C5862">
            <v>104846.01</v>
          </cell>
          <cell r="D5862" t="str">
            <v>NKI.IR 70/35(708035)</v>
          </cell>
        </row>
        <row r="5863">
          <cell r="C5863">
            <v>104847.01</v>
          </cell>
          <cell r="D5863" t="str">
            <v>NKI.IR 75/25(758525)</v>
          </cell>
        </row>
        <row r="5864">
          <cell r="C5864">
            <v>208847.01</v>
          </cell>
          <cell r="D5864" t="str">
            <v>NK.OR 85/25(NKI 75/25)</v>
          </cell>
        </row>
        <row r="5865">
          <cell r="C5865">
            <v>309847.01</v>
          </cell>
          <cell r="D5865" t="str">
            <v>NKI.MCG 75/25(NK 85/25)</v>
          </cell>
        </row>
        <row r="5866">
          <cell r="C5866">
            <v>208847.01</v>
          </cell>
          <cell r="D5866" t="str">
            <v>NK.OR 85/25(NKI 75/25)</v>
          </cell>
        </row>
        <row r="5867">
          <cell r="C5867">
            <v>309847.01</v>
          </cell>
          <cell r="D5867" t="str">
            <v>NKI.MCG 75/25(NK 85/25)</v>
          </cell>
        </row>
        <row r="5868">
          <cell r="C5868">
            <v>104847.01</v>
          </cell>
          <cell r="D5868" t="str">
            <v>NKI.IR 75/25(758525)</v>
          </cell>
        </row>
        <row r="5869">
          <cell r="C5869">
            <v>104848.01</v>
          </cell>
          <cell r="D5869" t="str">
            <v>NKI.IR 75/35(758535)</v>
          </cell>
        </row>
        <row r="5870">
          <cell r="C5870">
            <v>208848.01</v>
          </cell>
          <cell r="D5870" t="str">
            <v>NK.OR 85/35(NKI 75/35)</v>
          </cell>
        </row>
        <row r="5871">
          <cell r="C5871">
            <v>309848.01</v>
          </cell>
          <cell r="D5871" t="str">
            <v>NKI.MCG 75/35(NK 85/35)</v>
          </cell>
        </row>
        <row r="5872">
          <cell r="C5872">
            <v>208848.01</v>
          </cell>
          <cell r="D5872" t="str">
            <v>NK.OR 85/35(NKI 75/35)</v>
          </cell>
        </row>
        <row r="5873">
          <cell r="C5873">
            <v>309848.01</v>
          </cell>
          <cell r="D5873" t="str">
            <v>NKI.MCG 75/35(NK 85/35)</v>
          </cell>
        </row>
        <row r="5874">
          <cell r="C5874">
            <v>104848.01</v>
          </cell>
          <cell r="D5874" t="str">
            <v>NKI.IR 75/35(758535)</v>
          </cell>
        </row>
        <row r="5875">
          <cell r="C5875">
            <v>104849.01</v>
          </cell>
          <cell r="D5875" t="str">
            <v>NKI.IR 80/25(809025)</v>
          </cell>
        </row>
        <row r="5876">
          <cell r="C5876">
            <v>104849.01</v>
          </cell>
          <cell r="D5876" t="str">
            <v>NKI.IR 80/25(809025)</v>
          </cell>
        </row>
        <row r="5877">
          <cell r="C5877">
            <v>208849.01</v>
          </cell>
          <cell r="D5877" t="str">
            <v>NK.OR 90/25(NKI 80/25)</v>
          </cell>
        </row>
        <row r="5878">
          <cell r="C5878">
            <v>208849.01</v>
          </cell>
          <cell r="D5878" t="str">
            <v>NK.OR 90/25(NKI 80/25)</v>
          </cell>
        </row>
        <row r="5879">
          <cell r="C5879">
            <v>309849.01</v>
          </cell>
          <cell r="D5879" t="str">
            <v>NKI.MCG 80/25(NK 90/25)</v>
          </cell>
        </row>
        <row r="5880">
          <cell r="C5880">
            <v>309849.01</v>
          </cell>
          <cell r="D5880" t="str">
            <v>NKI.MCG 80/25(NK 90/25)</v>
          </cell>
        </row>
        <row r="5881">
          <cell r="C5881">
            <v>511849.01</v>
          </cell>
          <cell r="D5881" t="str">
            <v>RO 6.5X18.8</v>
          </cell>
        </row>
        <row r="5882">
          <cell r="C5882">
            <v>511849.01</v>
          </cell>
          <cell r="D5882" t="str">
            <v>RO 6.5X18.8</v>
          </cell>
        </row>
        <row r="5883">
          <cell r="C5883">
            <v>208849.01</v>
          </cell>
          <cell r="D5883" t="str">
            <v>NK.OR 90/25(NKI 80/25)</v>
          </cell>
        </row>
        <row r="5884">
          <cell r="C5884">
            <v>309849.01</v>
          </cell>
          <cell r="D5884" t="str">
            <v>NKI.MCG 80/25(NK 90/25)</v>
          </cell>
        </row>
        <row r="5885">
          <cell r="C5885">
            <v>511849.01</v>
          </cell>
          <cell r="D5885" t="str">
            <v>RO 6.5X18.8</v>
          </cell>
        </row>
        <row r="5886">
          <cell r="C5886">
            <v>104849.01</v>
          </cell>
          <cell r="D5886" t="str">
            <v>NKI.IR 80/25(809025)</v>
          </cell>
        </row>
        <row r="5887">
          <cell r="C5887">
            <v>104850.01</v>
          </cell>
          <cell r="D5887" t="str">
            <v>NKI.IR 80/35(809035)</v>
          </cell>
        </row>
        <row r="5888">
          <cell r="C5888">
            <v>208850.01</v>
          </cell>
          <cell r="D5888" t="str">
            <v>NK.OR 90/35(NKI 80/35)</v>
          </cell>
        </row>
        <row r="5889">
          <cell r="C5889">
            <v>309850.01</v>
          </cell>
          <cell r="D5889" t="str">
            <v>NKI.MCG 80/35(NK 90/35)</v>
          </cell>
        </row>
        <row r="5890">
          <cell r="C5890">
            <v>511318.01</v>
          </cell>
          <cell r="D5890" t="str">
            <v>RO 6.5X27.8</v>
          </cell>
        </row>
        <row r="5891">
          <cell r="C5891">
            <v>208850.01</v>
          </cell>
          <cell r="D5891" t="str">
            <v>NK.OR 90/35(NKI 80/35)</v>
          </cell>
        </row>
        <row r="5892">
          <cell r="C5892">
            <v>309850.01</v>
          </cell>
          <cell r="D5892" t="str">
            <v>NKI.MCG 80/35(NK 90/35)</v>
          </cell>
        </row>
        <row r="5893">
          <cell r="C5893">
            <v>511318.01</v>
          </cell>
          <cell r="D5893" t="str">
            <v>RO 6.5X27.8</v>
          </cell>
        </row>
        <row r="5894">
          <cell r="C5894">
            <v>104850.01</v>
          </cell>
          <cell r="D5894" t="str">
            <v>NKI.IR 80/35(809035)</v>
          </cell>
        </row>
        <row r="5895">
          <cell r="C5895">
            <v>104851.01</v>
          </cell>
          <cell r="D5895" t="str">
            <v>NKI.IR 85/26(859526)</v>
          </cell>
        </row>
        <row r="5896">
          <cell r="C5896">
            <v>208851.01</v>
          </cell>
          <cell r="D5896" t="str">
            <v>NK.OR 95/26(NKI 85/26)</v>
          </cell>
        </row>
        <row r="5897">
          <cell r="C5897">
            <v>309851.01</v>
          </cell>
          <cell r="D5897" t="str">
            <v>NKI.MCG 85/26(NK 95/26)</v>
          </cell>
        </row>
        <row r="5898">
          <cell r="C5898">
            <v>208851.01</v>
          </cell>
          <cell r="D5898" t="str">
            <v>NK.OR 95/26(NKI 85/26)</v>
          </cell>
        </row>
        <row r="5899">
          <cell r="C5899">
            <v>309851.01</v>
          </cell>
          <cell r="D5899" t="str">
            <v>NKI.MCG 85/26(NK 95/26)</v>
          </cell>
        </row>
        <row r="5900">
          <cell r="C5900">
            <v>511852.02</v>
          </cell>
          <cell r="D5900" t="str">
            <v>RO 6.5X18</v>
          </cell>
        </row>
        <row r="5901">
          <cell r="C5901">
            <v>104851.01</v>
          </cell>
          <cell r="D5901" t="str">
            <v>NKI.IR 85/26(859526)</v>
          </cell>
        </row>
        <row r="5902">
          <cell r="C5902">
            <v>208851.01</v>
          </cell>
          <cell r="D5902" t="str">
            <v>NK.OR 95/26(NKI 85/26)</v>
          </cell>
        </row>
        <row r="5903">
          <cell r="C5903">
            <v>208851.01</v>
          </cell>
          <cell r="D5903" t="str">
            <v>NK.OR 95/26(NKI 85/26)</v>
          </cell>
        </row>
        <row r="5904">
          <cell r="C5904">
            <v>309851.01</v>
          </cell>
          <cell r="D5904" t="str">
            <v>NKI.MCG 85/26(NK 95/26)</v>
          </cell>
        </row>
        <row r="5905">
          <cell r="C5905">
            <v>309851.01</v>
          </cell>
          <cell r="D5905" t="str">
            <v>NKI.MCG 85/26(NK 95/26)</v>
          </cell>
        </row>
        <row r="5906">
          <cell r="C5906">
            <v>511852.02</v>
          </cell>
          <cell r="D5906" t="str">
            <v>RO 6.5X18</v>
          </cell>
        </row>
        <row r="5907">
          <cell r="C5907">
            <v>104852.01</v>
          </cell>
          <cell r="D5907" t="str">
            <v>NKI.IR 85/36(859536)</v>
          </cell>
        </row>
        <row r="5908">
          <cell r="C5908">
            <v>208852.01</v>
          </cell>
          <cell r="D5908" t="str">
            <v>NK.OR 95/36(NKI 85/36)</v>
          </cell>
        </row>
        <row r="5909">
          <cell r="C5909">
            <v>309852.01</v>
          </cell>
          <cell r="D5909" t="str">
            <v>NKI.MCG 85/36(NK 95/36)</v>
          </cell>
        </row>
        <row r="5910">
          <cell r="C5910">
            <v>208852.01</v>
          </cell>
          <cell r="D5910" t="str">
            <v>NK.OR 95/36(NKI 85/36)</v>
          </cell>
        </row>
        <row r="5911">
          <cell r="C5911">
            <v>309852.01</v>
          </cell>
          <cell r="D5911" t="str">
            <v>NKI.MCG 85/36(NK 95/36)</v>
          </cell>
        </row>
        <row r="5912">
          <cell r="C5912">
            <v>511852.02</v>
          </cell>
          <cell r="D5912" t="str">
            <v>RO 6.5X18</v>
          </cell>
        </row>
        <row r="5913">
          <cell r="C5913">
            <v>104852.01</v>
          </cell>
          <cell r="D5913" t="str">
            <v>NKI.IR 85/36(859536)</v>
          </cell>
        </row>
        <row r="5914">
          <cell r="C5914">
            <v>104853.01</v>
          </cell>
          <cell r="D5914" t="str">
            <v>NKI.IR 90/26(9010026)</v>
          </cell>
        </row>
        <row r="5915">
          <cell r="C5915">
            <v>208853.01</v>
          </cell>
          <cell r="D5915" t="str">
            <v>NK.OR 100/26(NKI 90/26)</v>
          </cell>
        </row>
        <row r="5916">
          <cell r="C5916">
            <v>309853.01</v>
          </cell>
          <cell r="D5916" t="str">
            <v>NKI.MCG 90/26(NK 100/26)</v>
          </cell>
        </row>
        <row r="5917">
          <cell r="C5917">
            <v>511853.01</v>
          </cell>
          <cell r="D5917" t="str">
            <v>RO 6.5X17.8</v>
          </cell>
        </row>
        <row r="5918">
          <cell r="C5918">
            <v>208853.01</v>
          </cell>
          <cell r="D5918" t="str">
            <v>NK.OR 100/26(NKI 90/26)</v>
          </cell>
        </row>
        <row r="5919">
          <cell r="C5919">
            <v>309853.01</v>
          </cell>
          <cell r="D5919" t="str">
            <v>NKI.MCG 90/26(NK 100/26)</v>
          </cell>
        </row>
        <row r="5920">
          <cell r="C5920">
            <v>511852.02</v>
          </cell>
          <cell r="D5920" t="str">
            <v>RO 6.5X18</v>
          </cell>
        </row>
        <row r="5921">
          <cell r="C5921">
            <v>104853.01</v>
          </cell>
          <cell r="D5921" t="str">
            <v>NKI.IR 90/26(9010026)</v>
          </cell>
        </row>
        <row r="5922">
          <cell r="C5922">
            <v>104854.01</v>
          </cell>
          <cell r="D5922" t="str">
            <v>NKI.IR 90/36(9010036)</v>
          </cell>
        </row>
        <row r="5923">
          <cell r="C5923">
            <v>208854.01</v>
          </cell>
          <cell r="D5923" t="str">
            <v>NK.OR 100/36(NKI 90/36)</v>
          </cell>
        </row>
        <row r="5924">
          <cell r="C5924">
            <v>309854.01</v>
          </cell>
          <cell r="D5924" t="str">
            <v>NKI.MCG 90/36(NK 100/36)</v>
          </cell>
        </row>
        <row r="5925">
          <cell r="C5925">
            <v>208854.01</v>
          </cell>
          <cell r="D5925" t="str">
            <v>NK.OR 100/36(NKI 90/36)</v>
          </cell>
        </row>
        <row r="5926">
          <cell r="C5926">
            <v>309854.01</v>
          </cell>
          <cell r="D5926" t="str">
            <v>NKI.MCG 90/36(NK 100/36)</v>
          </cell>
        </row>
        <row r="5927">
          <cell r="C5927">
            <v>104854.01</v>
          </cell>
          <cell r="D5927" t="str">
            <v>NKI.IR 90/36(9010036)</v>
          </cell>
        </row>
        <row r="5928">
          <cell r="C5928">
            <v>104855.01</v>
          </cell>
          <cell r="D5928" t="str">
            <v>NKI.IR 95/26(9510526)</v>
          </cell>
        </row>
        <row r="5929">
          <cell r="C5929">
            <v>208855.01</v>
          </cell>
          <cell r="D5929" t="str">
            <v>NK.OR 105/26(NKI 95/26)</v>
          </cell>
        </row>
        <row r="5930">
          <cell r="C5930">
            <v>309855.01</v>
          </cell>
          <cell r="D5930" t="str">
            <v>NKI.MCG 95/26(NK 105/26)</v>
          </cell>
        </row>
        <row r="5931">
          <cell r="C5931">
            <v>511852.02</v>
          </cell>
          <cell r="D5931" t="str">
            <v>RO 6.5X18</v>
          </cell>
        </row>
        <row r="5932">
          <cell r="C5932">
            <v>208855.01</v>
          </cell>
          <cell r="D5932" t="str">
            <v>NK.OR 105/26(NKI 95/26)</v>
          </cell>
        </row>
        <row r="5933">
          <cell r="C5933">
            <v>309855.01</v>
          </cell>
          <cell r="D5933" t="str">
            <v>NKI.MCG 95/26(NK 105/26)</v>
          </cell>
        </row>
        <row r="5934">
          <cell r="C5934">
            <v>104855.01</v>
          </cell>
          <cell r="D5934" t="str">
            <v>NKI.IR 95/26(9510526)</v>
          </cell>
        </row>
        <row r="5935">
          <cell r="C5935">
            <v>104856.01</v>
          </cell>
          <cell r="D5935" t="str">
            <v>NKI.IR 95/36(9510536)</v>
          </cell>
        </row>
        <row r="5936">
          <cell r="C5936">
            <v>208856.01</v>
          </cell>
          <cell r="D5936" t="str">
            <v>NK.OR 105/36(NKI 95/36)</v>
          </cell>
        </row>
        <row r="5937">
          <cell r="C5937">
            <v>309856.01</v>
          </cell>
          <cell r="D5937" t="str">
            <v>NKI.MCG 95/36(NK 105/36)</v>
          </cell>
        </row>
        <row r="5938">
          <cell r="C5938">
            <v>511999</v>
          </cell>
          <cell r="D5938" t="str">
            <v>RO 6X26.8</v>
          </cell>
        </row>
        <row r="5939">
          <cell r="C5939">
            <v>208856.01</v>
          </cell>
          <cell r="D5939" t="str">
            <v>NK.OR 105/36(NKI 95/36)</v>
          </cell>
        </row>
        <row r="5940">
          <cell r="C5940">
            <v>309856.01</v>
          </cell>
          <cell r="D5940" t="str">
            <v>NKI.MCG 95/36(NK 105/36)</v>
          </cell>
        </row>
        <row r="5941">
          <cell r="C5941">
            <v>511999</v>
          </cell>
          <cell r="D5941" t="str">
            <v>RO 6X26.8</v>
          </cell>
        </row>
        <row r="5942">
          <cell r="C5942">
            <v>104856.01</v>
          </cell>
          <cell r="D5942" t="str">
            <v>NKI.IR 95/36(9510536)</v>
          </cell>
        </row>
        <row r="5943">
          <cell r="C5943">
            <v>104857.01</v>
          </cell>
          <cell r="D5943" t="str">
            <v>NKI.IR 22/20(222620)</v>
          </cell>
        </row>
        <row r="5944">
          <cell r="C5944">
            <v>208857.01</v>
          </cell>
          <cell r="D5944" t="str">
            <v>NK.OR 26/20(NKI 22/20)</v>
          </cell>
        </row>
        <row r="5945">
          <cell r="C5945">
            <v>309857.01</v>
          </cell>
          <cell r="D5945" t="str">
            <v>NKI.MCG 22/20(NK 26/20)</v>
          </cell>
        </row>
        <row r="5946">
          <cell r="C5946">
            <v>511209.01</v>
          </cell>
          <cell r="D5946" t="str">
            <v>RO 2.5X16.8</v>
          </cell>
        </row>
        <row r="5947">
          <cell r="C5947">
            <v>208857.01</v>
          </cell>
          <cell r="D5947" t="str">
            <v>NK.OR 26/20(NKI 22/20)</v>
          </cell>
        </row>
        <row r="5948">
          <cell r="C5948">
            <v>309857.01</v>
          </cell>
          <cell r="D5948" t="str">
            <v>NKI.MCG 22/20(NK 26/20)</v>
          </cell>
        </row>
        <row r="5949">
          <cell r="C5949">
            <v>511209.01</v>
          </cell>
          <cell r="D5949" t="str">
            <v>RO 2.5X16.8</v>
          </cell>
        </row>
        <row r="5950">
          <cell r="C5950">
            <v>104857.01</v>
          </cell>
          <cell r="D5950" t="str">
            <v>NKI.IR 22/20(222620)</v>
          </cell>
        </row>
        <row r="5951">
          <cell r="C5951">
            <v>104858</v>
          </cell>
          <cell r="D5951" t="str">
            <v>NBI.IR 95002            F</v>
          </cell>
        </row>
        <row r="5952">
          <cell r="C5952">
            <v>208858</v>
          </cell>
          <cell r="D5952" t="str">
            <v>NBI.OR 95002            F</v>
          </cell>
        </row>
        <row r="5953">
          <cell r="C5953">
            <v>309858</v>
          </cell>
          <cell r="D5953" t="str">
            <v>NBI.MCG 95002</v>
          </cell>
        </row>
        <row r="5954">
          <cell r="C5954">
            <v>511264.01</v>
          </cell>
          <cell r="D5954" t="str">
            <v>RO 3X19.8 BR</v>
          </cell>
        </row>
        <row r="5955">
          <cell r="C5955">
            <v>208858</v>
          </cell>
          <cell r="D5955" t="str">
            <v>NBI.OR 95002            F</v>
          </cell>
        </row>
        <row r="5956">
          <cell r="C5956">
            <v>309858</v>
          </cell>
          <cell r="D5956" t="str">
            <v>NBI.MCG 95002</v>
          </cell>
        </row>
        <row r="5957">
          <cell r="C5957">
            <v>511264.01</v>
          </cell>
          <cell r="D5957" t="str">
            <v>RO 3X19.8 BR</v>
          </cell>
        </row>
        <row r="5958">
          <cell r="C5958">
            <v>104858</v>
          </cell>
          <cell r="D5958" t="str">
            <v>NBI.IR 95002            F</v>
          </cell>
        </row>
        <row r="5959">
          <cell r="C5959">
            <v>208868.01</v>
          </cell>
          <cell r="D5959" t="str">
            <v>NK.OR 65/35</v>
          </cell>
        </row>
        <row r="5960">
          <cell r="C5960">
            <v>309868.01</v>
          </cell>
          <cell r="D5960" t="str">
            <v>NK.MCG 65/35</v>
          </cell>
        </row>
        <row r="5961">
          <cell r="C5961">
            <v>511231.01</v>
          </cell>
          <cell r="D5961" t="str">
            <v>RO 3.5X27.8</v>
          </cell>
        </row>
        <row r="5962">
          <cell r="C5962">
            <v>208869.02</v>
          </cell>
          <cell r="D5962" t="str">
            <v>NK.OR 65/25</v>
          </cell>
        </row>
        <row r="5963">
          <cell r="C5963">
            <v>309869.02</v>
          </cell>
          <cell r="D5963" t="str">
            <v>NK.MCG 65/25</v>
          </cell>
        </row>
        <row r="5964">
          <cell r="C5964">
            <v>511230.01</v>
          </cell>
          <cell r="D5964" t="str">
            <v>RO 3.5X18.8</v>
          </cell>
        </row>
        <row r="5965">
          <cell r="C5965">
            <v>208880.01</v>
          </cell>
          <cell r="D5965" t="str">
            <v>NK.OR 15/16</v>
          </cell>
        </row>
        <row r="5966">
          <cell r="C5966">
            <v>309880.01</v>
          </cell>
          <cell r="D5966" t="str">
            <v>NK.MCG 15/16</v>
          </cell>
        </row>
        <row r="5967">
          <cell r="C5967">
            <v>511270.01</v>
          </cell>
          <cell r="D5967" t="str">
            <v>RO 2.5X12.8</v>
          </cell>
        </row>
        <row r="5968">
          <cell r="C5968">
            <v>208881.01</v>
          </cell>
          <cell r="D5968" t="str">
            <v>NK.OR 15/20</v>
          </cell>
        </row>
        <row r="5969">
          <cell r="C5969">
            <v>309881.01</v>
          </cell>
          <cell r="D5969" t="str">
            <v>NK.MCG 15/20</v>
          </cell>
        </row>
        <row r="5970">
          <cell r="C5970">
            <v>511209.01</v>
          </cell>
          <cell r="D5970" t="str">
            <v>RO 2.5X16.8</v>
          </cell>
        </row>
        <row r="5971">
          <cell r="C5971">
            <v>208881.01</v>
          </cell>
          <cell r="D5971" t="str">
            <v>NK.OR 15/20</v>
          </cell>
        </row>
        <row r="5972">
          <cell r="C5972">
            <v>309881.01</v>
          </cell>
          <cell r="D5972" t="str">
            <v>NK.MCG 15/20</v>
          </cell>
        </row>
        <row r="5973">
          <cell r="C5973">
            <v>511209.01</v>
          </cell>
          <cell r="D5973" t="str">
            <v>RO 2.5X16.8</v>
          </cell>
        </row>
        <row r="5974">
          <cell r="C5974">
            <v>208882.01</v>
          </cell>
          <cell r="D5974" t="str">
            <v>NK.OR 17/16</v>
          </cell>
        </row>
        <row r="5975">
          <cell r="C5975">
            <v>309882.01</v>
          </cell>
          <cell r="D5975" t="str">
            <v>NK.MCG 17/16</v>
          </cell>
        </row>
        <row r="5976">
          <cell r="C5976">
            <v>511270.01</v>
          </cell>
          <cell r="D5976" t="str">
            <v>RO 2.5X12.8</v>
          </cell>
        </row>
        <row r="5977">
          <cell r="C5977">
            <v>208883.01</v>
          </cell>
          <cell r="D5977" t="str">
            <v>NK.OR 17/20</v>
          </cell>
        </row>
        <row r="5978">
          <cell r="C5978">
            <v>309883.01</v>
          </cell>
          <cell r="D5978" t="str">
            <v>NK.MCG 17/20</v>
          </cell>
        </row>
        <row r="5979">
          <cell r="C5979">
            <v>511209.01</v>
          </cell>
          <cell r="D5979" t="str">
            <v>RO 2.5X16.8</v>
          </cell>
        </row>
        <row r="5980">
          <cell r="C5980">
            <v>200883.5</v>
          </cell>
          <cell r="D5980" t="str">
            <v>NK.OR 17/20 SPL</v>
          </cell>
        </row>
        <row r="5981">
          <cell r="C5981">
            <v>300883.5</v>
          </cell>
          <cell r="D5981" t="str">
            <v>NK.MCG 17/20 SPL</v>
          </cell>
        </row>
        <row r="5982">
          <cell r="C5982">
            <v>500883.5</v>
          </cell>
          <cell r="D5982" t="str">
            <v>RO 2X15.8 BP</v>
          </cell>
        </row>
        <row r="5983">
          <cell r="C5983">
            <v>208884.01</v>
          </cell>
          <cell r="D5983" t="str">
            <v>NK.OR 18/16</v>
          </cell>
        </row>
        <row r="5984">
          <cell r="C5984">
            <v>309884.01</v>
          </cell>
          <cell r="D5984" t="str">
            <v>NK.MCG 18/16</v>
          </cell>
        </row>
        <row r="5985">
          <cell r="C5985">
            <v>511270.01</v>
          </cell>
          <cell r="D5985" t="str">
            <v>RO 2.5X12.8</v>
          </cell>
        </row>
        <row r="5986">
          <cell r="C5986">
            <v>200884.1</v>
          </cell>
          <cell r="D5986" t="str">
            <v>RPNA.OR 18/32</v>
          </cell>
        </row>
        <row r="5987">
          <cell r="C5987">
            <v>200884.2</v>
          </cell>
          <cell r="D5987" t="str">
            <v>RPNA.SHELL 18/32</v>
          </cell>
        </row>
        <row r="5988">
          <cell r="C5988">
            <v>300884.09999999998</v>
          </cell>
          <cell r="D5988" t="str">
            <v>RPNA.MCG 18/32</v>
          </cell>
        </row>
        <row r="5989">
          <cell r="C5989">
            <v>511270.01</v>
          </cell>
          <cell r="D5989" t="str">
            <v>RO 2.5X12.8</v>
          </cell>
        </row>
        <row r="5990">
          <cell r="C5990">
            <v>700884.1</v>
          </cell>
          <cell r="D5990" t="str">
            <v>RPNA.N.SEALB  18/32</v>
          </cell>
        </row>
        <row r="5991">
          <cell r="C5991">
            <v>700884.2</v>
          </cell>
          <cell r="D5991" t="str">
            <v>RPNA.N.SEALP  18/32</v>
          </cell>
        </row>
        <row r="5992">
          <cell r="C5992">
            <v>208885.01</v>
          </cell>
          <cell r="D5992" t="str">
            <v>NK.OR 18/20</v>
          </cell>
        </row>
        <row r="5993">
          <cell r="C5993">
            <v>309885.01</v>
          </cell>
          <cell r="D5993" t="str">
            <v>NK.MCG 18/20</v>
          </cell>
        </row>
        <row r="5994">
          <cell r="C5994">
            <v>511209.01</v>
          </cell>
          <cell r="D5994" t="str">
            <v>RO 2.5X16.8</v>
          </cell>
        </row>
        <row r="5995">
          <cell r="C5995">
            <v>208886.01</v>
          </cell>
          <cell r="D5995" t="str">
            <v>NK.OR 20/16</v>
          </cell>
        </row>
        <row r="5996">
          <cell r="C5996">
            <v>309886.01</v>
          </cell>
          <cell r="D5996" t="str">
            <v>NK.MCG 20/16</v>
          </cell>
        </row>
        <row r="5997">
          <cell r="C5997">
            <v>511270.01</v>
          </cell>
          <cell r="D5997" t="str">
            <v>RO 2.5X12.8</v>
          </cell>
        </row>
        <row r="5998">
          <cell r="C5998">
            <v>200886.1</v>
          </cell>
          <cell r="D5998" t="str">
            <v>RPNA.OR 20/35</v>
          </cell>
        </row>
        <row r="5999">
          <cell r="C5999">
            <v>200886.2</v>
          </cell>
          <cell r="D5999" t="str">
            <v>RPNA.SHELL 20/35</v>
          </cell>
        </row>
        <row r="6000">
          <cell r="C6000">
            <v>300886.09999999998</v>
          </cell>
          <cell r="D6000" t="str">
            <v>RPNA.MCG 20/35</v>
          </cell>
        </row>
        <row r="6001">
          <cell r="C6001">
            <v>511270.01</v>
          </cell>
          <cell r="D6001" t="str">
            <v>RO 2.5X12.8</v>
          </cell>
        </row>
        <row r="6002">
          <cell r="C6002">
            <v>700886.1</v>
          </cell>
          <cell r="D6002" t="str">
            <v>RPNA.N.SEALB 20/35</v>
          </cell>
        </row>
        <row r="6003">
          <cell r="C6003">
            <v>700886.2</v>
          </cell>
          <cell r="D6003" t="str">
            <v>RPNA.N.SEALP 20/35</v>
          </cell>
        </row>
        <row r="6004">
          <cell r="C6004">
            <v>208886.01</v>
          </cell>
          <cell r="D6004" t="str">
            <v>NK.OR 20/16</v>
          </cell>
        </row>
        <row r="6005">
          <cell r="C6005">
            <v>309886.01</v>
          </cell>
          <cell r="D6005" t="str">
            <v>NK.MCG 20/16</v>
          </cell>
        </row>
        <row r="6006">
          <cell r="C6006">
            <v>511270.01</v>
          </cell>
          <cell r="D6006" t="str">
            <v>RO 2.5X12.8</v>
          </cell>
        </row>
        <row r="6007">
          <cell r="C6007">
            <v>208887.01</v>
          </cell>
          <cell r="D6007" t="str">
            <v>NK.OR 20/20</v>
          </cell>
        </row>
        <row r="6008">
          <cell r="C6008">
            <v>309887.01</v>
          </cell>
          <cell r="D6008" t="str">
            <v>NK.MCG 20/20</v>
          </cell>
        </row>
        <row r="6009">
          <cell r="C6009">
            <v>511209.01</v>
          </cell>
          <cell r="D6009" t="str">
            <v>RO 2.5X16.8</v>
          </cell>
        </row>
        <row r="6010">
          <cell r="C6010">
            <v>208888.01</v>
          </cell>
          <cell r="D6010" t="str">
            <v>NK.OR 22/16</v>
          </cell>
        </row>
        <row r="6011">
          <cell r="C6011">
            <v>309888.01</v>
          </cell>
          <cell r="D6011" t="str">
            <v>NK.MCG 22/16</v>
          </cell>
        </row>
        <row r="6012">
          <cell r="C6012">
            <v>511270.01</v>
          </cell>
          <cell r="D6012" t="str">
            <v>RO 2.5X12.8</v>
          </cell>
        </row>
        <row r="6013">
          <cell r="C6013">
            <v>208888.01</v>
          </cell>
          <cell r="D6013" t="str">
            <v>NK.OR 22/16</v>
          </cell>
        </row>
        <row r="6014">
          <cell r="C6014">
            <v>309888.01</v>
          </cell>
          <cell r="D6014" t="str">
            <v>NK.MCG 22/16</v>
          </cell>
        </row>
        <row r="6015">
          <cell r="C6015">
            <v>511270.01</v>
          </cell>
          <cell r="D6015" t="str">
            <v>RO 2.5X12.8</v>
          </cell>
        </row>
        <row r="6016">
          <cell r="C6016">
            <v>208889.01</v>
          </cell>
          <cell r="D6016" t="str">
            <v>NK.OR 22/20</v>
          </cell>
        </row>
        <row r="6017">
          <cell r="C6017">
            <v>309889.01</v>
          </cell>
          <cell r="D6017" t="str">
            <v>NK.MCG 22/20</v>
          </cell>
        </row>
        <row r="6018">
          <cell r="C6018">
            <v>511209.01</v>
          </cell>
          <cell r="D6018" t="str">
            <v>RO 2.5X16.8</v>
          </cell>
        </row>
        <row r="6019">
          <cell r="C6019">
            <v>208890.01</v>
          </cell>
          <cell r="D6019" t="str">
            <v>NK.OR 25/16</v>
          </cell>
        </row>
        <row r="6020">
          <cell r="C6020">
            <v>309890.01</v>
          </cell>
          <cell r="D6020" t="str">
            <v>NK.MCG 25/16</v>
          </cell>
        </row>
        <row r="6021">
          <cell r="C6021">
            <v>511270.01</v>
          </cell>
          <cell r="D6021" t="str">
            <v>RO 2.5X12.8</v>
          </cell>
        </row>
        <row r="6022">
          <cell r="C6022">
            <v>208891.01</v>
          </cell>
          <cell r="D6022" t="str">
            <v>NK.OR 25/20</v>
          </cell>
        </row>
        <row r="6023">
          <cell r="C6023">
            <v>309891.01</v>
          </cell>
          <cell r="D6023" t="str">
            <v>NK.MCG 25/20</v>
          </cell>
        </row>
        <row r="6024">
          <cell r="C6024">
            <v>511209.01</v>
          </cell>
          <cell r="D6024" t="str">
            <v>RO 2.5X16.8</v>
          </cell>
        </row>
        <row r="6025">
          <cell r="C6025">
            <v>200891.1</v>
          </cell>
          <cell r="D6025" t="str">
            <v>RPNA.OR 25/42</v>
          </cell>
        </row>
        <row r="6026">
          <cell r="C6026">
            <v>200891.2</v>
          </cell>
          <cell r="D6026" t="str">
            <v>RPNA.SHELL 25/42</v>
          </cell>
        </row>
        <row r="6027">
          <cell r="C6027">
            <v>300891.09999999998</v>
          </cell>
          <cell r="D6027" t="str">
            <v>RPNA.MCG 25/42</v>
          </cell>
        </row>
        <row r="6028">
          <cell r="C6028">
            <v>511209.01</v>
          </cell>
          <cell r="D6028" t="str">
            <v>RO 2.5X16.8</v>
          </cell>
        </row>
        <row r="6029">
          <cell r="C6029">
            <v>700891.1</v>
          </cell>
          <cell r="D6029" t="str">
            <v>RPNA.N.SEALB 25/42</v>
          </cell>
        </row>
        <row r="6030">
          <cell r="C6030">
            <v>700891.2</v>
          </cell>
          <cell r="D6030" t="str">
            <v>RPNA.N.SEALP 25/42</v>
          </cell>
        </row>
        <row r="6031">
          <cell r="C6031">
            <v>208892.01</v>
          </cell>
          <cell r="D6031" t="str">
            <v>NK.OR 28/30</v>
          </cell>
        </row>
        <row r="6032">
          <cell r="C6032">
            <v>309892.01</v>
          </cell>
          <cell r="D6032" t="str">
            <v>NK.MCG 28/30</v>
          </cell>
        </row>
        <row r="6033">
          <cell r="C6033">
            <v>511822.01</v>
          </cell>
          <cell r="D6033" t="str">
            <v>RO 3x25.8 (NKI 28/30,32/3</v>
          </cell>
        </row>
        <row r="6034">
          <cell r="C6034">
            <v>208893.01</v>
          </cell>
          <cell r="D6034" t="str">
            <v>NK.OR 28/20</v>
          </cell>
        </row>
        <row r="6035">
          <cell r="C6035">
            <v>309893.01</v>
          </cell>
          <cell r="D6035" t="str">
            <v>NK.MCG 28/20</v>
          </cell>
        </row>
        <row r="6036">
          <cell r="C6036">
            <v>511209.01</v>
          </cell>
          <cell r="D6036" t="str">
            <v>RO 2.5X16.8</v>
          </cell>
        </row>
        <row r="6037">
          <cell r="C6037">
            <v>200893.1</v>
          </cell>
          <cell r="D6037" t="str">
            <v>RPNA.OR 28/44</v>
          </cell>
        </row>
        <row r="6038">
          <cell r="C6038">
            <v>200893.2</v>
          </cell>
          <cell r="D6038" t="str">
            <v>RPNA.SHELL 28/44</v>
          </cell>
        </row>
        <row r="6039">
          <cell r="C6039">
            <v>300893.09999999998</v>
          </cell>
          <cell r="D6039" t="str">
            <v>RPNA.MCG 28/44</v>
          </cell>
        </row>
        <row r="6040">
          <cell r="C6040">
            <v>511209.01</v>
          </cell>
          <cell r="D6040" t="str">
            <v>RO 2.5X16.8</v>
          </cell>
        </row>
        <row r="6041">
          <cell r="C6041">
            <v>700893.1</v>
          </cell>
          <cell r="D6041" t="str">
            <v>RPNA.N.SEALB 28/44</v>
          </cell>
        </row>
        <row r="6042">
          <cell r="C6042">
            <v>700893.2</v>
          </cell>
          <cell r="D6042" t="str">
            <v>RPNA.N.SEALP 28/44</v>
          </cell>
        </row>
        <row r="6043">
          <cell r="C6043">
            <v>208894.01</v>
          </cell>
          <cell r="D6043" t="str">
            <v>NK.OR 30/30</v>
          </cell>
        </row>
        <row r="6044">
          <cell r="C6044">
            <v>309894.01</v>
          </cell>
          <cell r="D6044" t="str">
            <v>NK.MCG 30/30</v>
          </cell>
        </row>
        <row r="6045">
          <cell r="C6045">
            <v>511822.01</v>
          </cell>
          <cell r="D6045" t="str">
            <v>RO 3x25.8 (NKI 28/30,32/3</v>
          </cell>
        </row>
        <row r="6046">
          <cell r="C6046">
            <v>208895.01</v>
          </cell>
          <cell r="D6046" t="str">
            <v>NK.OR 38/20</v>
          </cell>
        </row>
        <row r="6047">
          <cell r="C6047">
            <v>309895.01</v>
          </cell>
          <cell r="D6047" t="str">
            <v>NK.MCG 38/20</v>
          </cell>
        </row>
        <row r="6048">
          <cell r="C6048">
            <v>511819.01</v>
          </cell>
          <cell r="D6048" t="str">
            <v>RO 3X15.8</v>
          </cell>
        </row>
        <row r="6049">
          <cell r="C6049">
            <v>208896.01</v>
          </cell>
          <cell r="D6049" t="str">
            <v>NK.OR 42/20</v>
          </cell>
        </row>
        <row r="6050">
          <cell r="C6050">
            <v>309896.01</v>
          </cell>
          <cell r="D6050" t="str">
            <v>NK.MCG 42/20</v>
          </cell>
        </row>
        <row r="6051">
          <cell r="C6051">
            <v>511819.01</v>
          </cell>
          <cell r="D6051" t="str">
            <v>RO 3X15.8</v>
          </cell>
        </row>
        <row r="6052">
          <cell r="C6052">
            <v>208897.01</v>
          </cell>
          <cell r="D6052" t="str">
            <v>NK.OR 42/30</v>
          </cell>
        </row>
        <row r="6053">
          <cell r="C6053">
            <v>309897.01</v>
          </cell>
          <cell r="D6053" t="str">
            <v>NK.MCG 42/30</v>
          </cell>
        </row>
        <row r="6054">
          <cell r="C6054">
            <v>511822.01</v>
          </cell>
          <cell r="D6054" t="str">
            <v>RO 3x25.8 (NKI 28/30,32/3</v>
          </cell>
        </row>
        <row r="6055">
          <cell r="C6055">
            <v>208899.01</v>
          </cell>
          <cell r="D6055" t="str">
            <v>NK.OR 50/30</v>
          </cell>
        </row>
        <row r="6056">
          <cell r="C6056">
            <v>309899.01</v>
          </cell>
          <cell r="D6056" t="str">
            <v>NK.MCG 50/30</v>
          </cell>
        </row>
        <row r="6057">
          <cell r="C6057">
            <v>104900.01</v>
          </cell>
          <cell r="D6057" t="str">
            <v>NKI.IR 18/20</v>
          </cell>
        </row>
        <row r="6058">
          <cell r="C6058">
            <v>208900.01</v>
          </cell>
          <cell r="D6058" t="str">
            <v>NKI.OR 18/20</v>
          </cell>
        </row>
        <row r="6059">
          <cell r="C6059">
            <v>309900.01</v>
          </cell>
          <cell r="D6059" t="str">
            <v>NKI.MCG 18/20</v>
          </cell>
        </row>
        <row r="6060">
          <cell r="C6060">
            <v>208909.01</v>
          </cell>
          <cell r="D6060" t="str">
            <v>NK.OR 70/25</v>
          </cell>
        </row>
        <row r="6061">
          <cell r="C6061">
            <v>309909.01</v>
          </cell>
          <cell r="D6061" t="str">
            <v>NK.MCG 70/25</v>
          </cell>
        </row>
        <row r="6062">
          <cell r="C6062">
            <v>511841.01</v>
          </cell>
          <cell r="D6062" t="str">
            <v>RO 4X18.8</v>
          </cell>
        </row>
        <row r="6063">
          <cell r="C6063">
            <v>208910.01</v>
          </cell>
          <cell r="D6063" t="str">
            <v>NK.OR 70/35</v>
          </cell>
        </row>
        <row r="6064">
          <cell r="C6064">
            <v>309910.01</v>
          </cell>
          <cell r="D6064" t="str">
            <v>NK.MCG 70/35</v>
          </cell>
        </row>
        <row r="6065">
          <cell r="C6065">
            <v>511237.01</v>
          </cell>
          <cell r="D6065" t="str">
            <v>RO 4X27.8</v>
          </cell>
        </row>
        <row r="6066">
          <cell r="C6066">
            <v>104912.01</v>
          </cell>
          <cell r="D6066" t="str">
            <v>NKI.IR 253815</v>
          </cell>
        </row>
        <row r="6067">
          <cell r="C6067">
            <v>208912.01</v>
          </cell>
          <cell r="D6067" t="str">
            <v>NK.OR 253815</v>
          </cell>
        </row>
        <row r="6068">
          <cell r="C6068">
            <v>309912.01</v>
          </cell>
          <cell r="D6068" t="str">
            <v>NKI.MCG 253815(NK 253815)</v>
          </cell>
        </row>
        <row r="6069">
          <cell r="C6069">
            <v>511201</v>
          </cell>
          <cell r="D6069" t="str">
            <v>RO 2.5X11.8</v>
          </cell>
        </row>
        <row r="6070">
          <cell r="C6070">
            <v>208912.01</v>
          </cell>
          <cell r="D6070" t="str">
            <v>NK.OR 253815</v>
          </cell>
        </row>
        <row r="6071">
          <cell r="C6071">
            <v>309912.01</v>
          </cell>
          <cell r="D6071" t="str">
            <v>NKI.MCG 253815(NK 253815)</v>
          </cell>
        </row>
        <row r="6072">
          <cell r="C6072">
            <v>511201</v>
          </cell>
          <cell r="D6072" t="str">
            <v>RO 2.5X11.8</v>
          </cell>
        </row>
        <row r="6073">
          <cell r="C6073">
            <v>104912.01</v>
          </cell>
          <cell r="D6073" t="str">
            <v>NKI.IR 253815</v>
          </cell>
        </row>
        <row r="6074">
          <cell r="C6074">
            <v>208913.01</v>
          </cell>
          <cell r="D6074" t="str">
            <v>NK.OR 30/20</v>
          </cell>
        </row>
        <row r="6075">
          <cell r="C6075">
            <v>309913.01</v>
          </cell>
          <cell r="D6075" t="str">
            <v>NK.MCG 30/20</v>
          </cell>
        </row>
        <row r="6076">
          <cell r="C6076">
            <v>511819.01</v>
          </cell>
          <cell r="D6076" t="str">
            <v>RO 3X15.8</v>
          </cell>
        </row>
        <row r="6077">
          <cell r="C6077">
            <v>200913.1</v>
          </cell>
          <cell r="D6077" t="str">
            <v>RPNA.OR 30/47</v>
          </cell>
        </row>
        <row r="6078">
          <cell r="C6078">
            <v>200913.2</v>
          </cell>
          <cell r="D6078" t="str">
            <v>RPNA.SHELL 30/47</v>
          </cell>
        </row>
        <row r="6079">
          <cell r="C6079">
            <v>300913.09999999998</v>
          </cell>
          <cell r="D6079" t="str">
            <v>RPNA.MCG 30/47</v>
          </cell>
        </row>
        <row r="6080">
          <cell r="C6080">
            <v>511819.01</v>
          </cell>
          <cell r="D6080" t="str">
            <v>RO 3X15.8</v>
          </cell>
        </row>
        <row r="6081">
          <cell r="C6081">
            <v>700913.1</v>
          </cell>
          <cell r="D6081" t="str">
            <v>RPNA.N.SEALB 30/47</v>
          </cell>
        </row>
        <row r="6082">
          <cell r="C6082">
            <v>700913.2</v>
          </cell>
          <cell r="D6082" t="str">
            <v>RPNA.N.SEALP 30/47</v>
          </cell>
        </row>
        <row r="6083">
          <cell r="C6083">
            <v>208913.01</v>
          </cell>
          <cell r="D6083" t="str">
            <v>NK.OR 30/20</v>
          </cell>
        </row>
        <row r="6084">
          <cell r="C6084">
            <v>309913.01</v>
          </cell>
          <cell r="D6084" t="str">
            <v>NK.MCG 30/20</v>
          </cell>
        </row>
        <row r="6085">
          <cell r="C6085">
            <v>511819.01</v>
          </cell>
          <cell r="D6085" t="str">
            <v>RO 3X15.8</v>
          </cell>
        </row>
        <row r="6086">
          <cell r="C6086">
            <v>208914.01</v>
          </cell>
          <cell r="D6086" t="str">
            <v>NK.OR 38/30</v>
          </cell>
        </row>
        <row r="6087">
          <cell r="C6087">
            <v>309914.01</v>
          </cell>
          <cell r="D6087" t="str">
            <v>NK.MCG 38/30</v>
          </cell>
        </row>
        <row r="6088">
          <cell r="C6088">
            <v>511822.01</v>
          </cell>
          <cell r="D6088" t="str">
            <v>RO 3x25.8 (NKI 28/30,32/3</v>
          </cell>
        </row>
        <row r="6089">
          <cell r="C6089">
            <v>208915.02</v>
          </cell>
          <cell r="D6089" t="str">
            <v>NK.OR 75/25</v>
          </cell>
        </row>
        <row r="6090">
          <cell r="C6090">
            <v>208915.02</v>
          </cell>
          <cell r="D6090" t="str">
            <v>NK.OR 75/25</v>
          </cell>
        </row>
        <row r="6091">
          <cell r="C6091">
            <v>309915.02</v>
          </cell>
          <cell r="D6091" t="str">
            <v>NK.MCG 75/25</v>
          </cell>
        </row>
        <row r="6092">
          <cell r="C6092">
            <v>309915.02</v>
          </cell>
          <cell r="D6092" t="str">
            <v>NK.MCG 75/25</v>
          </cell>
        </row>
        <row r="6093">
          <cell r="C6093">
            <v>511238.01</v>
          </cell>
          <cell r="D6093" t="str">
            <v>RO 5X17.8</v>
          </cell>
        </row>
        <row r="6094">
          <cell r="C6094">
            <v>511238.01</v>
          </cell>
          <cell r="D6094" t="str">
            <v>RO 5X17.8</v>
          </cell>
        </row>
        <row r="6095">
          <cell r="C6095">
            <v>208916.02</v>
          </cell>
          <cell r="D6095" t="str">
            <v>NK.OR 75/35</v>
          </cell>
        </row>
        <row r="6096">
          <cell r="C6096">
            <v>309916.02</v>
          </cell>
          <cell r="D6096" t="str">
            <v>NK.MCG 75/35</v>
          </cell>
        </row>
        <row r="6097">
          <cell r="C6097">
            <v>104917</v>
          </cell>
          <cell r="D6097" t="str">
            <v>NU.IR 2215              F</v>
          </cell>
        </row>
        <row r="6098">
          <cell r="C6098">
            <v>208917</v>
          </cell>
          <cell r="D6098" t="str">
            <v>NU.OR 2215              F</v>
          </cell>
        </row>
        <row r="6099">
          <cell r="C6099">
            <v>309917</v>
          </cell>
          <cell r="D6099" t="str">
            <v>NU.BRS 2215</v>
          </cell>
        </row>
        <row r="6100">
          <cell r="C6100">
            <v>511917</v>
          </cell>
          <cell r="D6100" t="str">
            <v>RO 15X22</v>
          </cell>
        </row>
        <row r="6101">
          <cell r="C6101">
            <v>104918</v>
          </cell>
          <cell r="D6101" t="str">
            <v>NU.IR 2305 BRS          F</v>
          </cell>
        </row>
        <row r="6102">
          <cell r="C6102">
            <v>208918</v>
          </cell>
          <cell r="D6102" t="str">
            <v>NU.OR 2305 BRS          F</v>
          </cell>
        </row>
        <row r="6103">
          <cell r="C6103">
            <v>309918</v>
          </cell>
          <cell r="D6103" t="str">
            <v>NU.BRS 2305</v>
          </cell>
        </row>
        <row r="6104">
          <cell r="C6104">
            <v>511918</v>
          </cell>
          <cell r="D6104" t="str">
            <v>RO 10X16</v>
          </cell>
        </row>
        <row r="6105">
          <cell r="C6105">
            <v>104919</v>
          </cell>
          <cell r="D6105" t="str">
            <v>IR.RAE 25 NPPB          F</v>
          </cell>
        </row>
        <row r="6106">
          <cell r="C6106">
            <v>208919</v>
          </cell>
          <cell r="D6106" t="str">
            <v>OR.RAE 25 NPPB          F</v>
          </cell>
        </row>
        <row r="6107">
          <cell r="C6107">
            <v>309204</v>
          </cell>
          <cell r="D6107" t="str">
            <v>J.NCG 204</v>
          </cell>
        </row>
        <row r="6108">
          <cell r="C6108">
            <v>511993</v>
          </cell>
          <cell r="D6108" t="str">
            <v>BALL 5/16"(IS:2898-1976)</v>
          </cell>
        </row>
        <row r="6109">
          <cell r="C6109">
            <v>612204</v>
          </cell>
          <cell r="D6109" t="str">
            <v>BOLT M6X1X6</v>
          </cell>
        </row>
        <row r="6110">
          <cell r="C6110">
            <v>717919</v>
          </cell>
          <cell r="D6110" t="str">
            <v>SEAL.RAE 25 NPPB</v>
          </cell>
        </row>
        <row r="6111">
          <cell r="C6111">
            <v>717919.01</v>
          </cell>
          <cell r="D6111" t="str">
            <v>ECCENTRIC COLLAR 25 NPPB</v>
          </cell>
        </row>
        <row r="6112">
          <cell r="C6112">
            <v>1422920</v>
          </cell>
          <cell r="D6112" t="str">
            <v>GRAE35-NPP-B MATERIAL</v>
          </cell>
        </row>
        <row r="6113">
          <cell r="C6113">
            <v>104921</v>
          </cell>
          <cell r="D6113" t="str">
            <v>IR.GE 30 KRRB           F</v>
          </cell>
        </row>
        <row r="6114">
          <cell r="C6114">
            <v>208921</v>
          </cell>
          <cell r="D6114" t="str">
            <v>OR.GE 30 KRRB           F</v>
          </cell>
        </row>
        <row r="6115">
          <cell r="C6115">
            <v>309921</v>
          </cell>
          <cell r="D6115" t="str">
            <v>NCG.GE 30 KRRB</v>
          </cell>
        </row>
        <row r="6116">
          <cell r="C6116">
            <v>511180</v>
          </cell>
          <cell r="D6116" t="str">
            <v>BALL 3/8"(IS:2898-1976)</v>
          </cell>
        </row>
        <row r="6117">
          <cell r="C6117">
            <v>612921</v>
          </cell>
          <cell r="D6117" t="str">
            <v>G.SCREW 30 (M08X1.25X08)</v>
          </cell>
        </row>
        <row r="6118">
          <cell r="C6118">
            <v>717921</v>
          </cell>
          <cell r="D6118" t="str">
            <v>SEAL.GE 30 KRRB</v>
          </cell>
        </row>
        <row r="6119">
          <cell r="C6119">
            <v>717921.01</v>
          </cell>
          <cell r="D6119" t="str">
            <v>ECCENTRIC COLLAR 30 KRRB</v>
          </cell>
        </row>
        <row r="6120">
          <cell r="C6120">
            <v>104922</v>
          </cell>
          <cell r="D6120" t="str">
            <v>IR.GE 35 KRRB           F</v>
          </cell>
        </row>
        <row r="6121">
          <cell r="C6121">
            <v>208922</v>
          </cell>
          <cell r="D6121" t="str">
            <v>OR.GE 35 KRRB           F</v>
          </cell>
        </row>
        <row r="6122">
          <cell r="C6122">
            <v>309245</v>
          </cell>
          <cell r="D6122" t="str">
            <v>NCG.207 YY2</v>
          </cell>
        </row>
        <row r="6123">
          <cell r="C6123">
            <v>511193</v>
          </cell>
          <cell r="D6123" t="str">
            <v>BALL 7/16"(IS:2898-1976)</v>
          </cell>
        </row>
        <row r="6124">
          <cell r="C6124">
            <v>612179</v>
          </cell>
          <cell r="D6124" t="str">
            <v>G.SCREW 179(M10X1.5X10)</v>
          </cell>
        </row>
        <row r="6125">
          <cell r="C6125">
            <v>717922</v>
          </cell>
          <cell r="D6125" t="str">
            <v>SEAL.GE 35 KRRB</v>
          </cell>
        </row>
        <row r="6126">
          <cell r="C6126">
            <v>717922.01</v>
          </cell>
          <cell r="D6126" t="str">
            <v>ECCENTRIC COLLAR 35 KRRB</v>
          </cell>
        </row>
        <row r="6127">
          <cell r="C6127">
            <v>104922.4</v>
          </cell>
          <cell r="D6127" t="str">
            <v>IR.35/72</v>
          </cell>
        </row>
        <row r="6128">
          <cell r="C6128">
            <v>208922.4</v>
          </cell>
          <cell r="D6128" t="str">
            <v>OR 35/72</v>
          </cell>
        </row>
        <row r="6129">
          <cell r="C6129">
            <v>309245</v>
          </cell>
          <cell r="D6129" t="str">
            <v>NCG.207 YY2</v>
          </cell>
        </row>
        <row r="6130">
          <cell r="C6130">
            <v>511193</v>
          </cell>
          <cell r="D6130" t="str">
            <v>BALL 7/16"(IS:2898-1976)</v>
          </cell>
        </row>
        <row r="6131">
          <cell r="C6131">
            <v>612179</v>
          </cell>
          <cell r="D6131" t="str">
            <v>G.SCREW 179(M10X1.5X10)</v>
          </cell>
        </row>
        <row r="6132">
          <cell r="C6132">
            <v>717922</v>
          </cell>
          <cell r="D6132" t="str">
            <v>SEAL.GE 35 KRRB</v>
          </cell>
        </row>
        <row r="6133">
          <cell r="C6133">
            <v>717922.4</v>
          </cell>
          <cell r="D6133" t="str">
            <v>ECCENTRIC COLLAR 35/72</v>
          </cell>
        </row>
        <row r="6134">
          <cell r="C6134">
            <v>104924</v>
          </cell>
          <cell r="D6134" t="str">
            <v>IR.GE 40 KRRB           F</v>
          </cell>
        </row>
        <row r="6135">
          <cell r="C6135">
            <v>208924</v>
          </cell>
          <cell r="D6135" t="str">
            <v>OR.GE 40 KRRB           F</v>
          </cell>
        </row>
        <row r="6136">
          <cell r="C6136">
            <v>309924</v>
          </cell>
          <cell r="D6136" t="str">
            <v>NCG.GE 40 KRRB</v>
          </cell>
        </row>
        <row r="6137">
          <cell r="C6137">
            <v>511181</v>
          </cell>
          <cell r="D6137" t="str">
            <v>BALL 15/32"(IS:2898-1976)</v>
          </cell>
        </row>
        <row r="6138">
          <cell r="C6138">
            <v>612179</v>
          </cell>
          <cell r="D6138" t="str">
            <v>G.SCREW 179(M10X1.5X10)</v>
          </cell>
        </row>
        <row r="6139">
          <cell r="C6139">
            <v>717924</v>
          </cell>
          <cell r="D6139" t="str">
            <v>SEAL.GE 40 KRRB</v>
          </cell>
        </row>
        <row r="6140">
          <cell r="C6140">
            <v>717924.01</v>
          </cell>
          <cell r="D6140" t="str">
            <v>ECCENTRIC COLLAR 40 KRRB</v>
          </cell>
        </row>
        <row r="6141">
          <cell r="C6141">
            <v>104925</v>
          </cell>
          <cell r="D6141" t="str">
            <v>IR.GE 50 KRRB           F</v>
          </cell>
        </row>
        <row r="6142">
          <cell r="C6142">
            <v>208925</v>
          </cell>
          <cell r="D6142" t="str">
            <v>OR.GE 50 KRRB           F</v>
          </cell>
        </row>
        <row r="6143">
          <cell r="C6143">
            <v>309925</v>
          </cell>
          <cell r="D6143" t="str">
            <v>NCG.GE 50 KRRB</v>
          </cell>
        </row>
        <row r="6144">
          <cell r="C6144">
            <v>511192</v>
          </cell>
          <cell r="D6144" t="str">
            <v>BALL 1/2" (IS:2898-1976)</v>
          </cell>
        </row>
        <row r="6145">
          <cell r="C6145">
            <v>612179</v>
          </cell>
          <cell r="D6145" t="str">
            <v>G.SCREW 179(M10X1.5X10)</v>
          </cell>
        </row>
        <row r="6146">
          <cell r="C6146">
            <v>717925</v>
          </cell>
          <cell r="D6146" t="str">
            <v>SEAL.GE 50 KRRB</v>
          </cell>
        </row>
        <row r="6147">
          <cell r="C6147">
            <v>717925.01</v>
          </cell>
          <cell r="D6147" t="str">
            <v>ECCENTRIC COLLAR 50 KRRB</v>
          </cell>
        </row>
        <row r="6148">
          <cell r="C6148">
            <v>104925.4</v>
          </cell>
          <cell r="D6148" t="str">
            <v>IR.50/90</v>
          </cell>
        </row>
        <row r="6149">
          <cell r="C6149">
            <v>208925.4</v>
          </cell>
          <cell r="D6149" t="str">
            <v>OR.50/90</v>
          </cell>
        </row>
        <row r="6150">
          <cell r="C6150">
            <v>309925</v>
          </cell>
          <cell r="D6150" t="str">
            <v>NCG.GE 50 KRRB</v>
          </cell>
        </row>
        <row r="6151">
          <cell r="C6151">
            <v>511192</v>
          </cell>
          <cell r="D6151" t="str">
            <v>BALL 1/2" (IS:2898-1976)</v>
          </cell>
        </row>
        <row r="6152">
          <cell r="C6152">
            <v>612921</v>
          </cell>
          <cell r="D6152" t="str">
            <v>G.SCREW 30 (M08X1.25X08)</v>
          </cell>
        </row>
        <row r="6153">
          <cell r="C6153">
            <v>717925</v>
          </cell>
          <cell r="D6153" t="str">
            <v>SEAL.GE 50 KRRB</v>
          </cell>
        </row>
        <row r="6154">
          <cell r="C6154">
            <v>104926.01</v>
          </cell>
          <cell r="D6154" t="str">
            <v>IR.GYE 35 KRRB SPL      F</v>
          </cell>
        </row>
        <row r="6155">
          <cell r="C6155">
            <v>208926.01</v>
          </cell>
          <cell r="D6155" t="str">
            <v>OR.GYE 35 KRRB SPL      F</v>
          </cell>
        </row>
        <row r="6156">
          <cell r="C6156">
            <v>309245</v>
          </cell>
          <cell r="D6156" t="str">
            <v>NCG.207 YY2</v>
          </cell>
        </row>
        <row r="6157">
          <cell r="C6157">
            <v>511193</v>
          </cell>
          <cell r="D6157" t="str">
            <v>BALL 7/16"(IS:2898-1976)</v>
          </cell>
        </row>
        <row r="6158">
          <cell r="C6158">
            <v>5221247</v>
          </cell>
          <cell r="D6158" t="str">
            <v>O G SHELL GADUS S2 V100 3</v>
          </cell>
        </row>
        <row r="6159">
          <cell r="C6159">
            <v>5221247.01</v>
          </cell>
          <cell r="D6159" t="str">
            <v/>
          </cell>
        </row>
        <row r="6160">
          <cell r="C6160">
            <v>717245</v>
          </cell>
          <cell r="D6160" t="str">
            <v>SEAL.207 RR2</v>
          </cell>
        </row>
        <row r="6161">
          <cell r="C6161">
            <v>200927</v>
          </cell>
          <cell r="D6161" t="str">
            <v>SC.OR 28227.5</v>
          </cell>
        </row>
        <row r="6162">
          <cell r="C6162">
            <v>300927</v>
          </cell>
          <cell r="D6162" t="str">
            <v>SC.NCG 28x22x7.5</v>
          </cell>
        </row>
        <row r="6163">
          <cell r="C6163">
            <v>511927</v>
          </cell>
          <cell r="D6163" t="str">
            <v>RO 2X4</v>
          </cell>
        </row>
        <row r="6164">
          <cell r="C6164">
            <v>200928</v>
          </cell>
          <cell r="D6164" t="str">
            <v>CUP.MDA 4500G</v>
          </cell>
        </row>
        <row r="6165">
          <cell r="C6165">
            <v>300928</v>
          </cell>
          <cell r="D6165" t="str">
            <v>NCG.MDA 4500G</v>
          </cell>
        </row>
        <row r="6166">
          <cell r="C6166">
            <v>511261.01</v>
          </cell>
          <cell r="D6166" t="str">
            <v>RO 3X23.8</v>
          </cell>
        </row>
        <row r="6167">
          <cell r="C6167">
            <v>5221314</v>
          </cell>
          <cell r="D6167" t="str">
            <v/>
          </cell>
        </row>
        <row r="6168">
          <cell r="C6168">
            <v>100930</v>
          </cell>
          <cell r="D6168" t="str">
            <v>UCT.IR 205</v>
          </cell>
        </row>
        <row r="6169">
          <cell r="C6169">
            <v>200930</v>
          </cell>
          <cell r="D6169" t="str">
            <v>UCT.OR 205</v>
          </cell>
        </row>
        <row r="6170">
          <cell r="C6170">
            <v>309204</v>
          </cell>
          <cell r="D6170" t="str">
            <v>J.NCG 204</v>
          </cell>
        </row>
        <row r="6171">
          <cell r="C6171">
            <v>511993</v>
          </cell>
          <cell r="D6171" t="str">
            <v>BALL 5/16"(IS:2898-1976)</v>
          </cell>
        </row>
        <row r="6172">
          <cell r="C6172">
            <v>5221208</v>
          </cell>
          <cell r="D6172" t="str">
            <v>O G NBU 12/300 KP</v>
          </cell>
        </row>
        <row r="6173">
          <cell r="C6173">
            <v>600930</v>
          </cell>
          <cell r="D6173" t="str">
            <v>G.SCREW M5X0.8X7.4</v>
          </cell>
        </row>
        <row r="6174">
          <cell r="C6174">
            <v>700930</v>
          </cell>
          <cell r="D6174" t="str">
            <v>UCT.RUBBER SEAL 205</v>
          </cell>
        </row>
        <row r="6175">
          <cell r="C6175">
            <v>700930.1</v>
          </cell>
          <cell r="D6175" t="str">
            <v>UCT.METAL COVER 205</v>
          </cell>
        </row>
        <row r="6176">
          <cell r="C6176">
            <v>100931</v>
          </cell>
          <cell r="D6176" t="str">
            <v>G.IR 1103 KRRB</v>
          </cell>
        </row>
        <row r="6177">
          <cell r="C6177">
            <v>200931</v>
          </cell>
          <cell r="D6177" t="str">
            <v>G.OR 1103 KRRB</v>
          </cell>
        </row>
        <row r="6178">
          <cell r="C6178">
            <v>309921</v>
          </cell>
          <cell r="D6178" t="str">
            <v>NCG.GE 30 KRRB</v>
          </cell>
        </row>
        <row r="6179">
          <cell r="C6179">
            <v>511180</v>
          </cell>
          <cell r="D6179" t="str">
            <v>BALL 3/8"(IS:2898-1976)</v>
          </cell>
        </row>
        <row r="6180">
          <cell r="C6180">
            <v>5221208</v>
          </cell>
          <cell r="D6180" t="str">
            <v>O G NBU 12/300 KP</v>
          </cell>
        </row>
        <row r="6181">
          <cell r="C6181">
            <v>600931</v>
          </cell>
          <cell r="D6181" t="str">
            <v>G.SCREW 5/16"X7.9</v>
          </cell>
        </row>
        <row r="6182">
          <cell r="C6182">
            <v>700931.01</v>
          </cell>
          <cell r="D6182" t="str">
            <v>G.CAM 1103 KRRB</v>
          </cell>
        </row>
        <row r="6183">
          <cell r="C6183">
            <v>717921</v>
          </cell>
          <cell r="D6183" t="str">
            <v>SEAL.GE 30 KRRB</v>
          </cell>
        </row>
        <row r="6184">
          <cell r="C6184">
            <v>100932</v>
          </cell>
          <cell r="D6184" t="str">
            <v>G.IR 1107 KRRB</v>
          </cell>
        </row>
        <row r="6185">
          <cell r="C6185">
            <v>200932</v>
          </cell>
          <cell r="D6185" t="str">
            <v>G.OR 1107 KRRB</v>
          </cell>
        </row>
        <row r="6186">
          <cell r="C6186">
            <v>309245</v>
          </cell>
          <cell r="D6186" t="str">
            <v>NCG.207 YY2</v>
          </cell>
        </row>
        <row r="6187">
          <cell r="C6187">
            <v>511193</v>
          </cell>
          <cell r="D6187" t="str">
            <v>BALL 7/16"(IS:2898-1976)</v>
          </cell>
        </row>
        <row r="6188">
          <cell r="C6188">
            <v>5221208</v>
          </cell>
          <cell r="D6188" t="str">
            <v>O G NBU 12/300 KP</v>
          </cell>
        </row>
        <row r="6189">
          <cell r="C6189">
            <v>600932</v>
          </cell>
          <cell r="D6189" t="str">
            <v>G.SCREW 3/8"X9.3</v>
          </cell>
        </row>
        <row r="6190">
          <cell r="C6190">
            <v>700932.01</v>
          </cell>
          <cell r="D6190" t="str">
            <v>G.CAM 1107 KRRB</v>
          </cell>
        </row>
        <row r="6191">
          <cell r="C6191">
            <v>717922</v>
          </cell>
          <cell r="D6191" t="str">
            <v>SEAL.GE 35 KRRB</v>
          </cell>
        </row>
        <row r="6192">
          <cell r="C6192">
            <v>100933</v>
          </cell>
          <cell r="D6192" t="str">
            <v>G.IR 1115 KRRB</v>
          </cell>
        </row>
        <row r="6193">
          <cell r="C6193">
            <v>200933</v>
          </cell>
          <cell r="D6193" t="str">
            <v>G.OR 1115 KRRB</v>
          </cell>
        </row>
        <row r="6194">
          <cell r="C6194">
            <v>309925</v>
          </cell>
          <cell r="D6194" t="str">
            <v>NCG.GE 50 KRRB</v>
          </cell>
        </row>
        <row r="6195">
          <cell r="C6195">
            <v>511192</v>
          </cell>
          <cell r="D6195" t="str">
            <v>BALL 1/2" (IS:2898-1976)</v>
          </cell>
        </row>
        <row r="6196">
          <cell r="C6196">
            <v>5221208</v>
          </cell>
          <cell r="D6196" t="str">
            <v>O G NBU 12/300 KP</v>
          </cell>
        </row>
        <row r="6197">
          <cell r="C6197">
            <v>600932</v>
          </cell>
          <cell r="D6197" t="str">
            <v>G.SCREW 3/8"X9.3</v>
          </cell>
        </row>
        <row r="6198">
          <cell r="C6198">
            <v>700933.01</v>
          </cell>
          <cell r="D6198" t="str">
            <v>G.CAM 1115 KRRB</v>
          </cell>
        </row>
        <row r="6199">
          <cell r="C6199">
            <v>717925</v>
          </cell>
          <cell r="D6199" t="str">
            <v>SEAL.GE 50 KRRB</v>
          </cell>
        </row>
        <row r="6200">
          <cell r="C6200">
            <v>100934</v>
          </cell>
          <cell r="D6200" t="str">
            <v>G.IR 1203 KRRB</v>
          </cell>
        </row>
        <row r="6201">
          <cell r="C6201">
            <v>200934</v>
          </cell>
          <cell r="D6201" t="str">
            <v>G.OR 1203 KRRB</v>
          </cell>
        </row>
        <row r="6202">
          <cell r="C6202">
            <v>300935</v>
          </cell>
          <cell r="D6202" t="str">
            <v>UC.NCG 211</v>
          </cell>
        </row>
        <row r="6203">
          <cell r="C6203">
            <v>511357</v>
          </cell>
          <cell r="D6203" t="str">
            <v>BALL 9/16" (IS:2898-1976)</v>
          </cell>
        </row>
        <row r="6204">
          <cell r="C6204">
            <v>5221208</v>
          </cell>
          <cell r="D6204" t="str">
            <v>O G NBU 12/300 KP</v>
          </cell>
        </row>
        <row r="6205">
          <cell r="C6205">
            <v>600934</v>
          </cell>
          <cell r="D6205" t="str">
            <v>G.SCREW 7/16"X11.2</v>
          </cell>
        </row>
        <row r="6206">
          <cell r="C6206">
            <v>700934</v>
          </cell>
          <cell r="D6206" t="str">
            <v>G.SEAL 1203 KRRB</v>
          </cell>
        </row>
        <row r="6207">
          <cell r="C6207">
            <v>700934.01</v>
          </cell>
          <cell r="D6207" t="str">
            <v>G.CAM 1203 KRRB</v>
          </cell>
        </row>
        <row r="6208">
          <cell r="C6208">
            <v>100935</v>
          </cell>
          <cell r="D6208" t="str">
            <v>UC.IR 211</v>
          </cell>
        </row>
        <row r="6209">
          <cell r="C6209">
            <v>200935</v>
          </cell>
          <cell r="D6209" t="str">
            <v>UC.OR 211</v>
          </cell>
        </row>
        <row r="6210">
          <cell r="C6210">
            <v>309357</v>
          </cell>
          <cell r="D6210" t="str">
            <v>CAGE 6211 2RS</v>
          </cell>
        </row>
        <row r="6211">
          <cell r="C6211">
            <v>511357</v>
          </cell>
          <cell r="D6211" t="str">
            <v>BALL 9/16" (IS:2898-1976)</v>
          </cell>
        </row>
        <row r="6212">
          <cell r="C6212">
            <v>5200311.8</v>
          </cell>
          <cell r="D6212" t="str">
            <v>O MOBIL-XHP-462MOLY</v>
          </cell>
        </row>
        <row r="6213">
          <cell r="C6213">
            <v>612179</v>
          </cell>
          <cell r="D6213" t="str">
            <v>G.SCREW 179(M10X1.5X10)</v>
          </cell>
        </row>
        <row r="6214">
          <cell r="C6214">
            <v>700935</v>
          </cell>
          <cell r="D6214" t="str">
            <v>UC.SEAL 211</v>
          </cell>
        </row>
        <row r="6215">
          <cell r="C6215">
            <v>1422935.1</v>
          </cell>
          <cell r="D6215" t="str">
            <v>UC 211_55X100 C3 SPL MAT</v>
          </cell>
        </row>
        <row r="6216">
          <cell r="C6216">
            <v>1422935.1</v>
          </cell>
          <cell r="D6216" t="str">
            <v>UC 211_55X100 C3 SPL MAT</v>
          </cell>
        </row>
        <row r="6217">
          <cell r="C6217">
            <v>800935</v>
          </cell>
          <cell r="D6217" t="str">
            <v>PEDESTAL SLEEVE 935.00</v>
          </cell>
        </row>
        <row r="6218">
          <cell r="C6218">
            <v>100935</v>
          </cell>
          <cell r="D6218" t="str">
            <v>UC.IR 211</v>
          </cell>
        </row>
        <row r="6219">
          <cell r="C6219">
            <v>200935</v>
          </cell>
          <cell r="D6219" t="str">
            <v>UC.OR 211</v>
          </cell>
        </row>
        <row r="6220">
          <cell r="C6220">
            <v>309357</v>
          </cell>
          <cell r="D6220" t="str">
            <v>CAGE 6211 2RS</v>
          </cell>
        </row>
        <row r="6221">
          <cell r="C6221">
            <v>511357</v>
          </cell>
          <cell r="D6221" t="str">
            <v>BALL 9/16" (IS:2898-1976)</v>
          </cell>
        </row>
        <row r="6222">
          <cell r="C6222">
            <v>5200311.8</v>
          </cell>
          <cell r="D6222" t="str">
            <v>O MOBIL-XHP-462MOLY</v>
          </cell>
        </row>
        <row r="6223">
          <cell r="C6223">
            <v>612179</v>
          </cell>
          <cell r="D6223" t="str">
            <v>G.SCREW 179(M10X1.5X10)</v>
          </cell>
        </row>
        <row r="6224">
          <cell r="C6224">
            <v>700935</v>
          </cell>
          <cell r="D6224" t="str">
            <v>UC.SEAL 211</v>
          </cell>
        </row>
        <row r="6225">
          <cell r="C6225">
            <v>800935</v>
          </cell>
          <cell r="D6225" t="str">
            <v>PEDESTAL SLEEVE 935.00</v>
          </cell>
        </row>
        <row r="6226">
          <cell r="C6226">
            <v>800935</v>
          </cell>
          <cell r="D6226" t="str">
            <v>PEDESTAL SLEEVE 935.00</v>
          </cell>
        </row>
        <row r="6227">
          <cell r="C6227">
            <v>100935</v>
          </cell>
          <cell r="D6227" t="str">
            <v>UC.IR 211</v>
          </cell>
        </row>
        <row r="6228">
          <cell r="C6228">
            <v>200936</v>
          </cell>
          <cell r="D6228" t="str">
            <v>NU.OR 211_55X110</v>
          </cell>
        </row>
        <row r="6229">
          <cell r="C6229">
            <v>300935</v>
          </cell>
          <cell r="D6229" t="str">
            <v>UC.NCG 211</v>
          </cell>
        </row>
        <row r="6230">
          <cell r="C6230">
            <v>511357</v>
          </cell>
          <cell r="D6230" t="str">
            <v>BALL 9/16" (IS:2898-1976)</v>
          </cell>
        </row>
        <row r="6231">
          <cell r="C6231">
            <v>5200311.8</v>
          </cell>
          <cell r="D6231" t="str">
            <v>O MOBIL-XHP-462MOLY</v>
          </cell>
        </row>
        <row r="6232">
          <cell r="C6232">
            <v>612179</v>
          </cell>
          <cell r="D6232" t="str">
            <v>G.SCREW 179(M10X1.5X10)</v>
          </cell>
        </row>
        <row r="6233">
          <cell r="C6233">
            <v>700935</v>
          </cell>
          <cell r="D6233" t="str">
            <v>UC.SEAL 211</v>
          </cell>
        </row>
        <row r="6234">
          <cell r="C6234">
            <v>100937</v>
          </cell>
          <cell r="D6234" t="str">
            <v>UC.IR 211_60X110</v>
          </cell>
        </row>
        <row r="6235">
          <cell r="C6235">
            <v>200937</v>
          </cell>
          <cell r="D6235" t="str">
            <v>UC.OR 211_60X110</v>
          </cell>
        </row>
        <row r="6236">
          <cell r="C6236">
            <v>300937</v>
          </cell>
          <cell r="D6236" t="str">
            <v>UC.NCG 211_60X110</v>
          </cell>
        </row>
        <row r="6237">
          <cell r="C6237">
            <v>511296</v>
          </cell>
          <cell r="D6237" t="str">
            <v>BALL 5/8"</v>
          </cell>
        </row>
        <row r="6238">
          <cell r="C6238">
            <v>5200311.8</v>
          </cell>
          <cell r="D6238" t="str">
            <v>O MOBIL-XHP-462MOLY</v>
          </cell>
        </row>
        <row r="6239">
          <cell r="C6239">
            <v>612179</v>
          </cell>
          <cell r="D6239" t="str">
            <v>G.SCREW 179(M10X1.5X10)</v>
          </cell>
        </row>
        <row r="6240">
          <cell r="C6240">
            <v>700937</v>
          </cell>
          <cell r="D6240" t="str">
            <v>UC.SEAL 211_60X110</v>
          </cell>
        </row>
        <row r="6241">
          <cell r="C6241">
            <v>300938</v>
          </cell>
          <cell r="D6241" t="str">
            <v>NTA.CAGE 1625</v>
          </cell>
        </row>
        <row r="6242">
          <cell r="C6242">
            <v>500938</v>
          </cell>
          <cell r="D6242" t="str">
            <v>RO 1.984X4.3 BP</v>
          </cell>
        </row>
        <row r="6243">
          <cell r="C6243">
            <v>104006</v>
          </cell>
          <cell r="D6243" t="str">
            <v>BR.IR 282223 SPL.</v>
          </cell>
        </row>
        <row r="6244">
          <cell r="C6244">
            <v>208006</v>
          </cell>
          <cell r="D6244" t="str">
            <v>BR.OR 282223 SPL.</v>
          </cell>
        </row>
        <row r="6245">
          <cell r="C6245">
            <v>309006</v>
          </cell>
          <cell r="D6245" t="str">
            <v>BR.NCG 282223</v>
          </cell>
        </row>
        <row r="6246">
          <cell r="C6246">
            <v>410941</v>
          </cell>
          <cell r="D6246" t="str">
            <v>BR.K 282223        WITH R</v>
          </cell>
        </row>
        <row r="6247">
          <cell r="C6247">
            <v>511001</v>
          </cell>
          <cell r="D6247" t="str">
            <v>RO 2X9.8</v>
          </cell>
        </row>
        <row r="6248">
          <cell r="C6248">
            <v>612001</v>
          </cell>
          <cell r="D6248" t="str">
            <v>BR.N 2822</v>
          </cell>
        </row>
        <row r="6249">
          <cell r="C6249">
            <v>104009</v>
          </cell>
          <cell r="D6249" t="str">
            <v>BR.IR 282423X</v>
          </cell>
        </row>
        <row r="6250">
          <cell r="C6250">
            <v>208942</v>
          </cell>
          <cell r="D6250" t="str">
            <v>BR.OR 28242326</v>
          </cell>
        </row>
        <row r="6251">
          <cell r="C6251">
            <v>309006</v>
          </cell>
          <cell r="D6251" t="str">
            <v>BR.NCG 282223</v>
          </cell>
        </row>
        <row r="6252">
          <cell r="C6252">
            <v>410942</v>
          </cell>
          <cell r="D6252" t="str">
            <v>BR.K 28242326      WITH R</v>
          </cell>
        </row>
        <row r="6253">
          <cell r="C6253">
            <v>511003</v>
          </cell>
          <cell r="D6253" t="str">
            <v>RO 2.3X9.8</v>
          </cell>
        </row>
        <row r="6254">
          <cell r="C6254">
            <v>612090</v>
          </cell>
          <cell r="D6254" t="str">
            <v>BR.N 2815(06)</v>
          </cell>
        </row>
        <row r="6255">
          <cell r="C6255">
            <v>104046</v>
          </cell>
          <cell r="D6255" t="str">
            <v>BR.IR 322224 SPL.</v>
          </cell>
        </row>
        <row r="6256">
          <cell r="C6256">
            <v>208944</v>
          </cell>
          <cell r="D6256" t="str">
            <v>BR.OR 322224</v>
          </cell>
        </row>
        <row r="6257">
          <cell r="C6257">
            <v>309046.03999999998</v>
          </cell>
          <cell r="D6257" t="str">
            <v>BR.NCG 322224(LOCK TYPE)</v>
          </cell>
        </row>
        <row r="6258">
          <cell r="C6258">
            <v>410944</v>
          </cell>
          <cell r="D6258" t="str">
            <v>BR.K 322224        WITH R</v>
          </cell>
        </row>
        <row r="6259">
          <cell r="C6259">
            <v>511042</v>
          </cell>
          <cell r="D6259" t="str">
            <v>RO 2.5X10.8</v>
          </cell>
        </row>
        <row r="6260">
          <cell r="C6260">
            <v>612042</v>
          </cell>
          <cell r="D6260" t="str">
            <v>BR.N 3222</v>
          </cell>
        </row>
        <row r="6261">
          <cell r="C6261">
            <v>410007</v>
          </cell>
          <cell r="D6261" t="str">
            <v>BR.K 282423        WITH R</v>
          </cell>
        </row>
        <row r="6262">
          <cell r="C6262">
            <v>1422945</v>
          </cell>
          <cell r="D6262" t="str">
            <v>W 10X14.6X0.850</v>
          </cell>
        </row>
        <row r="6263">
          <cell r="C6263">
            <v>104946.01</v>
          </cell>
          <cell r="D6263" t="str">
            <v>IR.IR 31.750X37X18</v>
          </cell>
        </row>
        <row r="6264">
          <cell r="C6264">
            <v>309946.02</v>
          </cell>
          <cell r="D6264" t="str">
            <v>K.CAGE 37X42X17</v>
          </cell>
        </row>
        <row r="6265">
          <cell r="C6265">
            <v>511130</v>
          </cell>
          <cell r="D6265" t="str">
            <v>RO 2.5X13.8</v>
          </cell>
        </row>
        <row r="6266">
          <cell r="C6266">
            <v>100946.03</v>
          </cell>
          <cell r="D6266" t="str">
            <v>IR.IR 28X32X17</v>
          </cell>
        </row>
        <row r="6267">
          <cell r="C6267">
            <v>104075</v>
          </cell>
          <cell r="D6267" t="str">
            <v>BR.IR 402424</v>
          </cell>
        </row>
        <row r="6268">
          <cell r="C6268">
            <v>10947</v>
          </cell>
          <cell r="D6268" t="str">
            <v/>
          </cell>
        </row>
        <row r="6269">
          <cell r="C6269">
            <v>208075</v>
          </cell>
          <cell r="D6269" t="str">
            <v>BR.OR 402424</v>
          </cell>
        </row>
        <row r="6270">
          <cell r="C6270">
            <v>309075</v>
          </cell>
          <cell r="D6270" t="str">
            <v>BR.NCG 402424</v>
          </cell>
        </row>
        <row r="6271">
          <cell r="C6271">
            <v>309947</v>
          </cell>
          <cell r="D6271" t="str">
            <v>NCG 20X35X2</v>
          </cell>
        </row>
        <row r="6272">
          <cell r="C6272">
            <v>511391</v>
          </cell>
          <cell r="D6272" t="str">
            <v>RO 2X4.8 SP</v>
          </cell>
        </row>
        <row r="6273">
          <cell r="C6273">
            <v>104948</v>
          </cell>
          <cell r="D6273" t="str">
            <v>4650 297/5(85X20(M64X2))F</v>
          </cell>
        </row>
        <row r="6274">
          <cell r="C6274">
            <v>104949</v>
          </cell>
          <cell r="D6274" t="str">
            <v>G050 307/3(40X12(M30X2))F</v>
          </cell>
        </row>
        <row r="6275">
          <cell r="C6275">
            <v>104950</v>
          </cell>
          <cell r="D6275" t="str">
            <v>G050 129/7(40X7(M30X2)) F</v>
          </cell>
        </row>
        <row r="6276">
          <cell r="C6276">
            <v>104155</v>
          </cell>
          <cell r="D6276" t="str">
            <v>BR.IR 30[P]15.875</v>
          </cell>
        </row>
        <row r="6277">
          <cell r="C6277">
            <v>208155</v>
          </cell>
          <cell r="D6277" t="str">
            <v>BR.OR 30[P]15.875</v>
          </cell>
        </row>
        <row r="6278">
          <cell r="C6278">
            <v>309001</v>
          </cell>
          <cell r="D6278" t="str">
            <v>BR.NCG 2822</v>
          </cell>
        </row>
        <row r="6279">
          <cell r="C6279">
            <v>511001</v>
          </cell>
          <cell r="D6279" t="str">
            <v>RO 2X9.8</v>
          </cell>
        </row>
        <row r="6280">
          <cell r="C6280">
            <v>612042</v>
          </cell>
          <cell r="D6280" t="str">
            <v>BR.N 3222</v>
          </cell>
        </row>
        <row r="6281">
          <cell r="C6281">
            <v>104952</v>
          </cell>
          <cell r="D6281" t="str">
            <v>BR.IR 30[P]16</v>
          </cell>
        </row>
        <row r="6282">
          <cell r="C6282">
            <v>208952</v>
          </cell>
          <cell r="D6282" t="str">
            <v>BR.OR 30[P]16</v>
          </cell>
        </row>
        <row r="6283">
          <cell r="C6283">
            <v>309001</v>
          </cell>
          <cell r="D6283" t="str">
            <v>BR.NCG 2822</v>
          </cell>
        </row>
        <row r="6284">
          <cell r="C6284">
            <v>511001</v>
          </cell>
          <cell r="D6284" t="str">
            <v>RO 2X9.8</v>
          </cell>
        </row>
        <row r="6285">
          <cell r="C6285">
            <v>612001</v>
          </cell>
          <cell r="D6285" t="str">
            <v>BR.N 2822</v>
          </cell>
        </row>
        <row r="6286">
          <cell r="C6286">
            <v>612953</v>
          </cell>
          <cell r="D6286" t="str">
            <v>NIPPLE M6X16 MATERIAL</v>
          </cell>
        </row>
        <row r="6287">
          <cell r="C6287">
            <v>104954</v>
          </cell>
          <cell r="D6287" t="str">
            <v>SL.IR 045012PP          F</v>
          </cell>
        </row>
        <row r="6288">
          <cell r="C6288">
            <v>208954</v>
          </cell>
          <cell r="D6288" t="str">
            <v>SL.OR 045012PP          F</v>
          </cell>
        </row>
        <row r="6289">
          <cell r="C6289">
            <v>511954</v>
          </cell>
          <cell r="D6289" t="str">
            <v>RO 9X13</v>
          </cell>
        </row>
        <row r="6290">
          <cell r="C6290">
            <v>717954</v>
          </cell>
          <cell r="D6290" t="str">
            <v>SL.METAL WASHER 045012PP</v>
          </cell>
        </row>
        <row r="6291">
          <cell r="C6291">
            <v>717954.01</v>
          </cell>
          <cell r="D6291" t="str">
            <v>SL.PU WASHER 045012PP</v>
          </cell>
        </row>
        <row r="6292">
          <cell r="C6292">
            <v>104955</v>
          </cell>
          <cell r="D6292" t="str">
            <v>BR.IR 3620 SPL.</v>
          </cell>
        </row>
        <row r="6293">
          <cell r="C6293">
            <v>208955</v>
          </cell>
          <cell r="D6293" t="str">
            <v>BR.OR 3719(25)26 X</v>
          </cell>
        </row>
        <row r="6294">
          <cell r="C6294">
            <v>309060</v>
          </cell>
          <cell r="D6294" t="str">
            <v>BR.NCG 3622</v>
          </cell>
        </row>
        <row r="6295">
          <cell r="C6295">
            <v>410955</v>
          </cell>
          <cell r="D6295" t="str">
            <v>BR.K 3719(25)26X   WITH R</v>
          </cell>
        </row>
        <row r="6296">
          <cell r="C6296">
            <v>511060</v>
          </cell>
          <cell r="D6296" t="str">
            <v>RO 2.5X9.8</v>
          </cell>
        </row>
        <row r="6297">
          <cell r="C6297">
            <v>612042</v>
          </cell>
          <cell r="D6297" t="str">
            <v>BR.N 3222</v>
          </cell>
        </row>
        <row r="6298">
          <cell r="C6298">
            <v>1422956</v>
          </cell>
          <cell r="D6298" t="str">
            <v>52 MM OD PULLY BEARING MA</v>
          </cell>
        </row>
        <row r="6299">
          <cell r="C6299">
            <v>104957</v>
          </cell>
          <cell r="D6299" t="str">
            <v>SL.IR 045010PP          F</v>
          </cell>
        </row>
        <row r="6300">
          <cell r="C6300">
            <v>208957</v>
          </cell>
          <cell r="D6300" t="str">
            <v>SL.OR 045010PP          F</v>
          </cell>
        </row>
        <row r="6301">
          <cell r="C6301">
            <v>511604.07</v>
          </cell>
          <cell r="D6301" t="str">
            <v>RO 7.5X11 BPM</v>
          </cell>
        </row>
        <row r="6302">
          <cell r="C6302">
            <v>717957</v>
          </cell>
          <cell r="D6302" t="str">
            <v>SL.METAL WASHER 045010PP</v>
          </cell>
        </row>
        <row r="6303">
          <cell r="C6303">
            <v>717957.01</v>
          </cell>
          <cell r="D6303" t="str">
            <v>SL.PU WASHER 045010PP</v>
          </cell>
        </row>
        <row r="6304">
          <cell r="C6304">
            <v>104958</v>
          </cell>
          <cell r="D6304" t="str">
            <v>SL.IR 045016PP          F</v>
          </cell>
        </row>
        <row r="6305">
          <cell r="C6305">
            <v>208958</v>
          </cell>
          <cell r="D6305" t="str">
            <v>SL.OR 045016PP          F</v>
          </cell>
        </row>
        <row r="6306">
          <cell r="C6306">
            <v>511958</v>
          </cell>
          <cell r="D6306" t="str">
            <v>RO 10X18</v>
          </cell>
        </row>
        <row r="6307">
          <cell r="C6307">
            <v>717958</v>
          </cell>
          <cell r="D6307" t="str">
            <v>SL.METAL WASHER 045016PP</v>
          </cell>
        </row>
        <row r="6308">
          <cell r="C6308">
            <v>717958.01</v>
          </cell>
          <cell r="D6308" t="str">
            <v>SL.PU WASHER 045016PP</v>
          </cell>
        </row>
        <row r="6309">
          <cell r="C6309">
            <v>1422959</v>
          </cell>
          <cell r="D6309" t="str">
            <v>Allen socket with K.Nut R</v>
          </cell>
        </row>
        <row r="6310">
          <cell r="C6310">
            <v>1422960</v>
          </cell>
          <cell r="D6310" t="str">
            <v>AS 5070 MATERIAL</v>
          </cell>
        </row>
        <row r="6311">
          <cell r="C6311">
            <v>1422960</v>
          </cell>
          <cell r="D6311" t="str">
            <v>AS 5070 MATERIAL</v>
          </cell>
        </row>
        <row r="6312">
          <cell r="C6312">
            <v>1422960.22</v>
          </cell>
          <cell r="D6312" t="str">
            <v>AS 5070 THK 1.5 MATERIAL</v>
          </cell>
        </row>
        <row r="6313">
          <cell r="C6313">
            <v>1422960.41</v>
          </cell>
          <cell r="D6313" t="str">
            <v>AS 5470 MATERIAL.</v>
          </cell>
        </row>
        <row r="6314">
          <cell r="C6314">
            <v>1422961</v>
          </cell>
          <cell r="D6314" t="str">
            <v>AS 3047 MATERIAL</v>
          </cell>
        </row>
        <row r="6315">
          <cell r="C6315">
            <v>1422962</v>
          </cell>
          <cell r="D6315" t="str">
            <v>AS 08X21X1 MATERIAL</v>
          </cell>
        </row>
        <row r="6316">
          <cell r="C6316">
            <v>1422963</v>
          </cell>
          <cell r="D6316" t="str">
            <v>AS 90120 MATERIAL</v>
          </cell>
        </row>
        <row r="6317">
          <cell r="C6317">
            <v>1422964</v>
          </cell>
          <cell r="D6317" t="str">
            <v>AS 4060 MATERIAL</v>
          </cell>
        </row>
        <row r="6318">
          <cell r="C6318">
            <v>1422964</v>
          </cell>
          <cell r="D6318" t="str">
            <v>AS 4060 MATERIAL</v>
          </cell>
        </row>
        <row r="6319">
          <cell r="C6319">
            <v>511991</v>
          </cell>
          <cell r="D6319" t="str">
            <v>RO 4X22.8</v>
          </cell>
        </row>
        <row r="6320">
          <cell r="C6320">
            <v>511965.11</v>
          </cell>
          <cell r="D6320" t="str">
            <v>RO 3X23</v>
          </cell>
        </row>
        <row r="6321">
          <cell r="C6321">
            <v>511965.21</v>
          </cell>
          <cell r="D6321" t="str">
            <v>RO 1.5X9.8  BR</v>
          </cell>
        </row>
        <row r="6322">
          <cell r="C6322">
            <v>500965.23</v>
          </cell>
          <cell r="D6322" t="str">
            <v>RO 2X19</v>
          </cell>
        </row>
        <row r="6323">
          <cell r="C6323">
            <v>500965.24</v>
          </cell>
          <cell r="D6323" t="str">
            <v>RO 2X14</v>
          </cell>
        </row>
        <row r="6324">
          <cell r="C6324">
            <v>503114.5</v>
          </cell>
          <cell r="D6324" t="str">
            <v>RO 2X14 BP</v>
          </cell>
        </row>
        <row r="6325">
          <cell r="C6325">
            <v>500965.22</v>
          </cell>
          <cell r="D6325" t="str">
            <v>RO 5X29.8</v>
          </cell>
        </row>
        <row r="6326">
          <cell r="C6326">
            <v>500883.5</v>
          </cell>
          <cell r="D6326" t="str">
            <v>RO 2X15.8 BP</v>
          </cell>
        </row>
        <row r="6327">
          <cell r="C6327">
            <v>500965.24</v>
          </cell>
          <cell r="D6327" t="str">
            <v>RO 2X14</v>
          </cell>
        </row>
        <row r="6328">
          <cell r="C6328">
            <v>500965.31</v>
          </cell>
          <cell r="D6328" t="str">
            <v>RO 2X18</v>
          </cell>
        </row>
        <row r="6329">
          <cell r="C6329">
            <v>511965.32</v>
          </cell>
          <cell r="D6329" t="str">
            <v>RO 6X15 BP</v>
          </cell>
        </row>
        <row r="6330">
          <cell r="C6330">
            <v>100965.33</v>
          </cell>
          <cell r="D6330" t="str">
            <v>SHAFT 5.0 x 21.00</v>
          </cell>
        </row>
        <row r="6331">
          <cell r="C6331">
            <v>100965.34</v>
          </cell>
          <cell r="D6331" t="str">
            <v>SHAFT 6.0 x 47.00</v>
          </cell>
        </row>
        <row r="6332">
          <cell r="C6332">
            <v>500965.35</v>
          </cell>
          <cell r="D6332" t="str">
            <v>RO 7X14 BPM</v>
          </cell>
        </row>
        <row r="6333">
          <cell r="C6333">
            <v>104966</v>
          </cell>
          <cell r="D6333" t="str">
            <v>NAU.IR 4906 UU          F</v>
          </cell>
        </row>
        <row r="6334">
          <cell r="C6334">
            <v>104966.01</v>
          </cell>
          <cell r="D6334" t="str">
            <v>NAU.IR W 4906 UU        F</v>
          </cell>
        </row>
        <row r="6335">
          <cell r="C6335">
            <v>208966</v>
          </cell>
          <cell r="D6335" t="str">
            <v>NAU.OR 4906 UU          F</v>
          </cell>
        </row>
        <row r="6336">
          <cell r="C6336">
            <v>309966</v>
          </cell>
          <cell r="D6336" t="str">
            <v>NAU.MCG 4906 UU</v>
          </cell>
        </row>
        <row r="6337">
          <cell r="C6337">
            <v>511966</v>
          </cell>
          <cell r="D6337" t="str">
            <v>RO 3.5X3.9 BPM</v>
          </cell>
        </row>
        <row r="6338">
          <cell r="C6338">
            <v>717966</v>
          </cell>
          <cell r="D6338" t="str">
            <v>NAU.SEAL 4906 UU</v>
          </cell>
        </row>
        <row r="6339">
          <cell r="C6339">
            <v>104966</v>
          </cell>
          <cell r="D6339" t="str">
            <v>NAU.IR 4906 UU          F</v>
          </cell>
        </row>
        <row r="6340">
          <cell r="C6340">
            <v>104966.01</v>
          </cell>
          <cell r="D6340" t="str">
            <v>NAU.IR W 4906 UU        F</v>
          </cell>
        </row>
        <row r="6341">
          <cell r="C6341">
            <v>208966</v>
          </cell>
          <cell r="D6341" t="str">
            <v>NAU.OR 4906 UU          F</v>
          </cell>
        </row>
        <row r="6342">
          <cell r="C6342">
            <v>309966</v>
          </cell>
          <cell r="D6342" t="str">
            <v>NAU.MCG 4906 UU</v>
          </cell>
        </row>
        <row r="6343">
          <cell r="C6343">
            <v>511966</v>
          </cell>
          <cell r="D6343" t="str">
            <v>RO 3.5X3.9 BPM</v>
          </cell>
        </row>
        <row r="6344">
          <cell r="C6344">
            <v>717966</v>
          </cell>
          <cell r="D6344" t="str">
            <v>NAU.SEAL 4906 UU</v>
          </cell>
        </row>
        <row r="6345">
          <cell r="C6345">
            <v>104967</v>
          </cell>
          <cell r="D6345" t="str">
            <v>IR.IR 10X14X18.5</v>
          </cell>
        </row>
        <row r="6346">
          <cell r="C6346">
            <v>104968</v>
          </cell>
          <cell r="D6346" t="str">
            <v>IR.IR 10X14X30.5</v>
          </cell>
        </row>
        <row r="6347">
          <cell r="C6347">
            <v>1422969</v>
          </cell>
          <cell r="D6347" t="str">
            <v>JL 1812 BEARING MATERIAL</v>
          </cell>
        </row>
        <row r="6348">
          <cell r="C6348">
            <v>1422970</v>
          </cell>
          <cell r="D6348" t="str">
            <v>7-24-13-9 material</v>
          </cell>
        </row>
        <row r="6349">
          <cell r="C6349">
            <v>104971</v>
          </cell>
          <cell r="D6349" t="str">
            <v>SAT.IR 35               F</v>
          </cell>
        </row>
        <row r="6350">
          <cell r="C6350">
            <v>208971</v>
          </cell>
          <cell r="D6350" t="str">
            <v>SAT.OR 35               F</v>
          </cell>
        </row>
        <row r="6351">
          <cell r="C6351">
            <v>208971</v>
          </cell>
          <cell r="D6351" t="str">
            <v>SAT.OR 35               F</v>
          </cell>
        </row>
        <row r="6352">
          <cell r="C6352">
            <v>104971</v>
          </cell>
          <cell r="D6352" t="str">
            <v>SAT.IR 35               F</v>
          </cell>
        </row>
        <row r="6353">
          <cell r="C6353">
            <v>104971</v>
          </cell>
          <cell r="D6353" t="str">
            <v>SAT.IR 35               F</v>
          </cell>
        </row>
        <row r="6354">
          <cell r="C6354">
            <v>208971</v>
          </cell>
          <cell r="D6354" t="str">
            <v>SAT.OR 35               F</v>
          </cell>
        </row>
        <row r="6355">
          <cell r="C6355">
            <v>104971</v>
          </cell>
          <cell r="D6355" t="str">
            <v>SAT.IR 35               F</v>
          </cell>
        </row>
        <row r="6356">
          <cell r="C6356">
            <v>104972</v>
          </cell>
          <cell r="D6356" t="str">
            <v>SAT.IR 20               F</v>
          </cell>
        </row>
        <row r="6357">
          <cell r="C6357">
            <v>208972</v>
          </cell>
          <cell r="D6357" t="str">
            <v>SAT.OR 20               F</v>
          </cell>
        </row>
        <row r="6358">
          <cell r="C6358">
            <v>208972</v>
          </cell>
          <cell r="D6358" t="str">
            <v>SAT.OR 20               F</v>
          </cell>
        </row>
        <row r="6359">
          <cell r="C6359">
            <v>104972</v>
          </cell>
          <cell r="D6359" t="str">
            <v>SAT.IR 20               F</v>
          </cell>
        </row>
        <row r="6360">
          <cell r="C6360">
            <v>100972.05</v>
          </cell>
          <cell r="D6360" t="str">
            <v>SAT.IR 21</v>
          </cell>
        </row>
        <row r="6361">
          <cell r="C6361">
            <v>200972.05</v>
          </cell>
          <cell r="D6361" t="str">
            <v>SAT.OR 21</v>
          </cell>
        </row>
        <row r="6362">
          <cell r="C6362">
            <v>200972.05</v>
          </cell>
          <cell r="D6362" t="str">
            <v>SAT.OR 21</v>
          </cell>
        </row>
        <row r="6363">
          <cell r="C6363">
            <v>100972.05</v>
          </cell>
          <cell r="D6363" t="str">
            <v>SAT.IR 21</v>
          </cell>
        </row>
        <row r="6364">
          <cell r="C6364">
            <v>104973</v>
          </cell>
          <cell r="D6364" t="str">
            <v>SAT.IR 17               F</v>
          </cell>
        </row>
        <row r="6365">
          <cell r="C6365">
            <v>208973</v>
          </cell>
          <cell r="D6365" t="str">
            <v>SAT.OR 17               F</v>
          </cell>
        </row>
        <row r="6366">
          <cell r="C6366">
            <v>208973</v>
          </cell>
          <cell r="D6366" t="str">
            <v>SAT.OR 17               F</v>
          </cell>
        </row>
        <row r="6367">
          <cell r="C6367">
            <v>104973</v>
          </cell>
          <cell r="D6367" t="str">
            <v>SAT.IR 17               F</v>
          </cell>
        </row>
        <row r="6368">
          <cell r="C6368">
            <v>309974</v>
          </cell>
          <cell r="D6368" t="str">
            <v>NCG (LINEAR CAGE) G 30%</v>
          </cell>
        </row>
        <row r="6369">
          <cell r="C6369">
            <v>511993</v>
          </cell>
          <cell r="D6369" t="str">
            <v>BALL 5/16"(IS:2898-1976)</v>
          </cell>
        </row>
        <row r="6370">
          <cell r="C6370">
            <v>1422975.01</v>
          </cell>
          <cell r="D6370" t="str">
            <v>NATV 8 MATERIAL</v>
          </cell>
        </row>
        <row r="6371">
          <cell r="C6371">
            <v>511389</v>
          </cell>
          <cell r="D6371" t="str">
            <v>RO 1.98 X 9.80 BP</v>
          </cell>
        </row>
        <row r="6372">
          <cell r="C6372">
            <v>1422975.01</v>
          </cell>
          <cell r="D6372" t="str">
            <v>NATV 8 MATERIAL</v>
          </cell>
        </row>
        <row r="6373">
          <cell r="C6373">
            <v>511389</v>
          </cell>
          <cell r="D6373" t="str">
            <v>RO 1.98 X 9.80 BP</v>
          </cell>
        </row>
        <row r="6374">
          <cell r="C6374">
            <v>1422976</v>
          </cell>
          <cell r="D6374" t="str">
            <v>NATV 6 material.</v>
          </cell>
        </row>
        <row r="6375">
          <cell r="C6375">
            <v>511427</v>
          </cell>
          <cell r="D6375" t="str">
            <v>RO 1.5X7.8 BP</v>
          </cell>
        </row>
        <row r="6376">
          <cell r="C6376">
            <v>511200</v>
          </cell>
          <cell r="D6376" t="str">
            <v>RO 1.5X9.3</v>
          </cell>
        </row>
        <row r="6377">
          <cell r="C6377">
            <v>1422976</v>
          </cell>
          <cell r="D6377" t="str">
            <v>NATV 6 material.</v>
          </cell>
        </row>
        <row r="6378">
          <cell r="C6378">
            <v>511427</v>
          </cell>
          <cell r="D6378" t="str">
            <v>RO 1.5X7.8 BP</v>
          </cell>
        </row>
        <row r="6379">
          <cell r="C6379">
            <v>208977</v>
          </cell>
          <cell r="D6379" t="str">
            <v>OR.SC 36266</v>
          </cell>
        </row>
        <row r="6380">
          <cell r="C6380">
            <v>309977</v>
          </cell>
          <cell r="D6380" t="str">
            <v>NCG.SC 36266</v>
          </cell>
        </row>
        <row r="6381">
          <cell r="C6381">
            <v>511212</v>
          </cell>
          <cell r="D6381" t="str">
            <v>RO 4X4</v>
          </cell>
        </row>
        <row r="6382">
          <cell r="C6382">
            <v>1422978</v>
          </cell>
          <cell r="D6382" t="str">
            <v>WB 24-11.1-34-51.5 mater.</v>
          </cell>
        </row>
        <row r="6383">
          <cell r="C6383">
            <v>5221201.08</v>
          </cell>
          <cell r="D6383" t="str">
            <v>O StaburagsNBU4 (KLUBER)</v>
          </cell>
        </row>
        <row r="6384">
          <cell r="C6384">
            <v>1422978.01</v>
          </cell>
          <cell r="D6384" t="str">
            <v>WB 24-11.1-34-59 material</v>
          </cell>
        </row>
        <row r="6385">
          <cell r="C6385">
            <v>5221201.08</v>
          </cell>
          <cell r="D6385" t="str">
            <v>O StaburagsNBU4 (KLUBER)</v>
          </cell>
        </row>
        <row r="6386">
          <cell r="C6386">
            <v>1422979</v>
          </cell>
          <cell r="D6386" t="str">
            <v>F 218989</v>
          </cell>
        </row>
        <row r="6387">
          <cell r="C6387">
            <v>1422980</v>
          </cell>
          <cell r="D6387" t="str">
            <v>WB 22-9.3-24-36.4 Materil</v>
          </cell>
        </row>
        <row r="6388">
          <cell r="C6388">
            <v>1422981</v>
          </cell>
          <cell r="D6388" t="str">
            <v>WB 6-14-24-41 Material</v>
          </cell>
        </row>
        <row r="6389">
          <cell r="C6389">
            <v>1422982</v>
          </cell>
          <cell r="D6389" t="str">
            <v>WB 25-8-41.7-60 Materials</v>
          </cell>
        </row>
        <row r="6390">
          <cell r="C6390">
            <v>1422983</v>
          </cell>
          <cell r="D6390" t="str">
            <v>WB 19-8-22-35   Materials</v>
          </cell>
        </row>
        <row r="6391">
          <cell r="C6391">
            <v>511991</v>
          </cell>
          <cell r="D6391" t="str">
            <v>RO 4X22.8</v>
          </cell>
        </row>
        <row r="6392">
          <cell r="C6392">
            <v>511984.02</v>
          </cell>
          <cell r="D6392" t="str">
            <v>RO 2X17.8</v>
          </cell>
        </row>
        <row r="6393">
          <cell r="C6393">
            <v>511819.01</v>
          </cell>
          <cell r="D6393" t="str">
            <v>RO 3X15.8</v>
          </cell>
        </row>
        <row r="6394">
          <cell r="C6394">
            <v>511984.02</v>
          </cell>
          <cell r="D6394" t="str">
            <v>RO 2X17.8</v>
          </cell>
        </row>
        <row r="6395">
          <cell r="C6395">
            <v>1422985</v>
          </cell>
          <cell r="D6395" t="str">
            <v>WB 16-7.5-25-50 OG  Mater</v>
          </cell>
        </row>
        <row r="6396">
          <cell r="C6396">
            <v>1422985.01</v>
          </cell>
          <cell r="D6396" t="str">
            <v>WB 16-7.5-25-42WPmaterial</v>
          </cell>
        </row>
        <row r="6397">
          <cell r="C6397">
            <v>717985.01</v>
          </cell>
          <cell r="D6397" t="str">
            <v>WB 16-7.5-25-42DUTTI</v>
          </cell>
        </row>
        <row r="6398">
          <cell r="C6398">
            <v>104986</v>
          </cell>
          <cell r="D6398" t="str">
            <v>SHAFT (7.8X35)          F</v>
          </cell>
        </row>
        <row r="6399">
          <cell r="C6399">
            <v>1422986</v>
          </cell>
          <cell r="D6399" t="str">
            <v>WB 17.79/18-7.8-16-35 Mat</v>
          </cell>
        </row>
        <row r="6400">
          <cell r="C6400">
            <v>208986.01</v>
          </cell>
          <cell r="D6400" t="str">
            <v>BALL WASHER(12.5X17.8X6)F</v>
          </cell>
        </row>
        <row r="6401">
          <cell r="C6401">
            <v>208986.02</v>
          </cell>
          <cell r="D6401" t="str">
            <v>BUSH WASHER(12.35X18X6) F</v>
          </cell>
        </row>
        <row r="6402">
          <cell r="C6402">
            <v>208986.03</v>
          </cell>
          <cell r="D6402" t="str">
            <v>NEEDLE WASHER(13.8X18X5)F</v>
          </cell>
        </row>
        <row r="6403">
          <cell r="C6403">
            <v>208986.04</v>
          </cell>
          <cell r="D6403" t="str">
            <v>END WASHER(8.15X18X5)   F</v>
          </cell>
        </row>
        <row r="6404">
          <cell r="C6404">
            <v>309986.01</v>
          </cell>
          <cell r="D6404" t="str">
            <v>BALL CAGE</v>
          </cell>
        </row>
        <row r="6405">
          <cell r="C6405">
            <v>309986.02</v>
          </cell>
          <cell r="D6405" t="str">
            <v>NEEDLE CAGE</v>
          </cell>
        </row>
        <row r="6406">
          <cell r="C6406">
            <v>511183</v>
          </cell>
          <cell r="D6406" t="str">
            <v>BALL 1/8" (IS:2898-1976)</v>
          </cell>
        </row>
        <row r="6407">
          <cell r="C6407">
            <v>511986</v>
          </cell>
          <cell r="D6407" t="str">
            <v>RO 3X5 BPM</v>
          </cell>
        </row>
        <row r="6408">
          <cell r="C6408">
            <v>1422986.01</v>
          </cell>
          <cell r="D6408" t="str">
            <v>WB 17.79/18-7.8-16-35Mat</v>
          </cell>
        </row>
        <row r="6409">
          <cell r="C6409">
            <v>309986.02</v>
          </cell>
          <cell r="D6409" t="str">
            <v>NEEDLE CAGE</v>
          </cell>
        </row>
        <row r="6410">
          <cell r="C6410">
            <v>1422987</v>
          </cell>
          <cell r="D6410" t="str">
            <v>FC 26-12-44-143/19.5 Mate</v>
          </cell>
        </row>
        <row r="6411">
          <cell r="C6411">
            <v>1422988</v>
          </cell>
          <cell r="D6411" t="str">
            <v>WB 16-7.5-20-40/8 Materia</v>
          </cell>
        </row>
        <row r="6412">
          <cell r="C6412">
            <v>1422989</v>
          </cell>
          <cell r="D6412" t="str">
            <v>WB 16-7.5-20-28 Materials</v>
          </cell>
        </row>
        <row r="6413">
          <cell r="C6413">
            <v>1422989.01</v>
          </cell>
          <cell r="D6413" t="str">
            <v>WB16-7.5-20-28OGaterials</v>
          </cell>
        </row>
        <row r="6414">
          <cell r="C6414">
            <v>1422990</v>
          </cell>
          <cell r="D6414" t="str">
            <v>WB 18-7.5-22-30 Materials</v>
          </cell>
        </row>
        <row r="6415">
          <cell r="C6415">
            <v>1422991</v>
          </cell>
          <cell r="D6415" t="str">
            <v>WB 19-9-22-34   Materials</v>
          </cell>
        </row>
        <row r="6416">
          <cell r="C6416">
            <v>1422991.01</v>
          </cell>
          <cell r="D6416" t="str">
            <v>WB 19-9-22-34 OGMaterials</v>
          </cell>
        </row>
        <row r="6417">
          <cell r="C6417">
            <v>1422992</v>
          </cell>
          <cell r="D6417" t="str">
            <v>WB 19-9-22-42   Material</v>
          </cell>
        </row>
        <row r="6418">
          <cell r="C6418">
            <v>1422993</v>
          </cell>
          <cell r="D6418" t="str">
            <v>WB 19-9-22-35   Materials</v>
          </cell>
        </row>
        <row r="6419">
          <cell r="C6419">
            <v>1422994</v>
          </cell>
          <cell r="D6419" t="str">
            <v>WB22-9.3-24-41.5Materials</v>
          </cell>
        </row>
        <row r="6420">
          <cell r="C6420">
            <v>208995</v>
          </cell>
          <cell r="D6420" t="str">
            <v>STO 6 FC O/R</v>
          </cell>
        </row>
        <row r="6421">
          <cell r="C6421">
            <v>511984</v>
          </cell>
          <cell r="D6421" t="str">
            <v>RO 1.5X9.2</v>
          </cell>
        </row>
        <row r="6422">
          <cell r="C6422">
            <v>1422996</v>
          </cell>
          <cell r="D6422" t="str">
            <v>CN.BUSH 1210</v>
          </cell>
        </row>
        <row r="6423">
          <cell r="C6423">
            <v>511982</v>
          </cell>
          <cell r="D6423" t="str">
            <v>RO 2.22X7.3 BP.</v>
          </cell>
        </row>
        <row r="6424">
          <cell r="C6424">
            <v>1422997</v>
          </cell>
          <cell r="D6424" t="str">
            <v>CN.BUSH 90001</v>
          </cell>
        </row>
        <row r="6425">
          <cell r="C6425">
            <v>511997.01</v>
          </cell>
          <cell r="D6425" t="str">
            <v>RO 2.046X8.750 BP</v>
          </cell>
        </row>
        <row r="6426">
          <cell r="C6426">
            <v>9916487</v>
          </cell>
          <cell r="D6426" t="str">
            <v>SCRAP PIPE/BAR (JOB WORK)</v>
          </cell>
        </row>
        <row r="6427">
          <cell r="C6427">
            <v>9916488</v>
          </cell>
          <cell r="D6427" t="str">
            <v>SCRAP STRIPS (JOB WORK)</v>
          </cell>
        </row>
        <row r="6428">
          <cell r="C6428">
            <v>9916489</v>
          </cell>
          <cell r="D6428" t="str">
            <v>SCRAP NYLONE (JOB WORK)</v>
          </cell>
        </row>
        <row r="6429">
          <cell r="C6429">
            <v>9916488</v>
          </cell>
          <cell r="D6429" t="str">
            <v>SCRAP STRIPS (JOB WORK)</v>
          </cell>
        </row>
        <row r="6430">
          <cell r="C6430">
            <v>208999</v>
          </cell>
          <cell r="D6430" t="str">
            <v>F.OR 93024</v>
          </cell>
        </row>
        <row r="6431">
          <cell r="C6431">
            <v>612999</v>
          </cell>
          <cell r="D6431" t="str">
            <v>F RUBBER 93024</v>
          </cell>
        </row>
        <row r="6432">
          <cell r="C6432">
            <v>101001</v>
          </cell>
          <cell r="D6432" t="str">
            <v>MCFR.STADE 90 S</v>
          </cell>
        </row>
        <row r="6433">
          <cell r="C6433">
            <v>101001.01</v>
          </cell>
          <cell r="D6433" t="str">
            <v>MFCR.WASHER 90 S</v>
          </cell>
        </row>
        <row r="6434">
          <cell r="C6434">
            <v>201001</v>
          </cell>
          <cell r="D6434" t="str">
            <v>MCFR.OR 90 S</v>
          </cell>
        </row>
        <row r="6435">
          <cell r="C6435">
            <v>301001</v>
          </cell>
          <cell r="D6435" t="str">
            <v>MCG.MCGR 90 S</v>
          </cell>
        </row>
        <row r="6436">
          <cell r="C6436">
            <v>501001</v>
          </cell>
          <cell r="D6436" t="str">
            <v>RO 4X23.8 BP</v>
          </cell>
        </row>
        <row r="6437">
          <cell r="C6437">
            <v>601001</v>
          </cell>
          <cell r="D6437" t="str">
            <v>MCFR.N 90 S</v>
          </cell>
        </row>
        <row r="6438">
          <cell r="C6438">
            <v>601001.01</v>
          </cell>
          <cell r="D6438" t="str">
            <v>MCFR.G.S.90</v>
          </cell>
        </row>
        <row r="6439">
          <cell r="C6439">
            <v>701001</v>
          </cell>
          <cell r="D6439" t="str">
            <v>NUT (30X1.5)</v>
          </cell>
        </row>
        <row r="6440">
          <cell r="C6440">
            <v>701001.01</v>
          </cell>
          <cell r="D6440" t="str">
            <v>MCGR.NYLON WASHER 90 S</v>
          </cell>
        </row>
        <row r="6441">
          <cell r="C6441">
            <v>1421002</v>
          </cell>
          <cell r="D6441" t="str">
            <v>PIN 7PG16L</v>
          </cell>
        </row>
        <row r="6442">
          <cell r="C6442">
            <v>104808.21</v>
          </cell>
          <cell r="D6442" t="str">
            <v>IR.IR 10X14X16.5</v>
          </cell>
        </row>
        <row r="6443">
          <cell r="C6443">
            <v>1421003.01</v>
          </cell>
          <cell r="D6443">
            <v>4920892</v>
          </cell>
        </row>
        <row r="6444">
          <cell r="C6444">
            <v>1421003.02</v>
          </cell>
          <cell r="D6444">
            <v>4920893</v>
          </cell>
        </row>
        <row r="6445">
          <cell r="C6445">
            <v>1421003.03</v>
          </cell>
          <cell r="D6445">
            <v>4920894</v>
          </cell>
        </row>
        <row r="6446">
          <cell r="C6446">
            <v>1421003.04</v>
          </cell>
          <cell r="D6446" t="str">
            <v>4920897 WASHER</v>
          </cell>
        </row>
        <row r="6447">
          <cell r="C6447">
            <v>611003</v>
          </cell>
          <cell r="D6447" t="str">
            <v>4920896 RIVET</v>
          </cell>
        </row>
        <row r="6448">
          <cell r="C6448">
            <v>104808.21</v>
          </cell>
          <cell r="D6448" t="str">
            <v>IR.IR 10X14X16.5</v>
          </cell>
        </row>
        <row r="6449">
          <cell r="C6449">
            <v>1421003.01</v>
          </cell>
          <cell r="D6449">
            <v>4920892</v>
          </cell>
        </row>
        <row r="6450">
          <cell r="C6450">
            <v>1421003.03</v>
          </cell>
          <cell r="D6450">
            <v>4920894</v>
          </cell>
        </row>
        <row r="6451">
          <cell r="C6451">
            <v>1421003.04</v>
          </cell>
          <cell r="D6451" t="str">
            <v>4920897 WASHER</v>
          </cell>
        </row>
        <row r="6452">
          <cell r="C6452">
            <v>1421003.22</v>
          </cell>
          <cell r="D6452" t="str">
            <v>4920893  SPL</v>
          </cell>
        </row>
        <row r="6453">
          <cell r="C6453">
            <v>611003</v>
          </cell>
          <cell r="D6453" t="str">
            <v>4920896 RIVET</v>
          </cell>
        </row>
        <row r="6454">
          <cell r="C6454">
            <v>101003.31</v>
          </cell>
          <cell r="D6454" t="str">
            <v>85MM LENGTH LINK</v>
          </cell>
        </row>
        <row r="6455">
          <cell r="C6455">
            <v>101003.32</v>
          </cell>
          <cell r="D6455" t="str">
            <v>98MM LENGTH LINK</v>
          </cell>
        </row>
        <row r="6456">
          <cell r="C6456">
            <v>101003.33</v>
          </cell>
          <cell r="D6456" t="str">
            <v>150MM LENGTH LINK</v>
          </cell>
        </row>
        <row r="6457">
          <cell r="C6457">
            <v>101003.34</v>
          </cell>
          <cell r="D6457" t="str">
            <v>163MM LENGTH LINK</v>
          </cell>
        </row>
        <row r="6458">
          <cell r="C6458">
            <v>701003.31</v>
          </cell>
          <cell r="D6458" t="str">
            <v>SCISSOR ASSLY RIVET 4MM</v>
          </cell>
        </row>
        <row r="6459">
          <cell r="C6459">
            <v>701003.32</v>
          </cell>
          <cell r="D6459" t="str">
            <v>SCISSOR ASSLY WASHER 4MM</v>
          </cell>
        </row>
        <row r="6460">
          <cell r="C6460">
            <v>1421003.33</v>
          </cell>
          <cell r="D6460" t="str">
            <v>Simens circlip</v>
          </cell>
        </row>
        <row r="6461">
          <cell r="C6461">
            <v>1421003.31</v>
          </cell>
          <cell r="D6461" t="str">
            <v>245GOSP SCISSORASSLY mate</v>
          </cell>
        </row>
        <row r="6462">
          <cell r="C6462">
            <v>1421003.32</v>
          </cell>
          <cell r="D6462" t="str">
            <v>491306 LINK</v>
          </cell>
        </row>
        <row r="6463">
          <cell r="C6463">
            <v>1421003.33</v>
          </cell>
          <cell r="D6463" t="str">
            <v>Simens circlip</v>
          </cell>
        </row>
        <row r="6464">
          <cell r="C6464">
            <v>1421007</v>
          </cell>
          <cell r="D6464" t="str">
            <v>940041790 material</v>
          </cell>
        </row>
        <row r="6465">
          <cell r="C6465">
            <v>1421011</v>
          </cell>
          <cell r="D6465" t="str">
            <v>940041949 material</v>
          </cell>
        </row>
        <row r="6466">
          <cell r="C6466">
            <v>1421004</v>
          </cell>
          <cell r="D6466" t="str">
            <v>940041770 material</v>
          </cell>
        </row>
        <row r="6467">
          <cell r="C6467">
            <v>101005</v>
          </cell>
          <cell r="D6467" t="str">
            <v>SL.IR 18 3006 A</v>
          </cell>
        </row>
        <row r="6468">
          <cell r="C6468">
            <v>201005</v>
          </cell>
          <cell r="D6468" t="str">
            <v>SL.OR 18 3006 A</v>
          </cell>
        </row>
        <row r="6469">
          <cell r="C6469">
            <v>501005</v>
          </cell>
          <cell r="D6469" t="str">
            <v>RO 7X10</v>
          </cell>
        </row>
        <row r="6470">
          <cell r="C6470">
            <v>5221201.04</v>
          </cell>
          <cell r="D6470" t="str">
            <v/>
          </cell>
        </row>
        <row r="6471">
          <cell r="C6471">
            <v>701005</v>
          </cell>
          <cell r="D6471" t="str">
            <v>SNAP RING SL 18 3006 A</v>
          </cell>
        </row>
        <row r="6472">
          <cell r="C6472">
            <v>101006</v>
          </cell>
          <cell r="D6472" t="str">
            <v>MCFD.STADE 52</v>
          </cell>
        </row>
        <row r="6473">
          <cell r="C6473">
            <v>101006.01</v>
          </cell>
          <cell r="D6473" t="str">
            <v>MCFD.WASHER 52</v>
          </cell>
        </row>
        <row r="6474">
          <cell r="C6474">
            <v>201006</v>
          </cell>
          <cell r="D6474" t="str">
            <v>MCFD.OR 52</v>
          </cell>
        </row>
        <row r="6475">
          <cell r="C6475">
            <v>511484</v>
          </cell>
          <cell r="D6475" t="str">
            <v>RO 5X8</v>
          </cell>
        </row>
        <row r="6476">
          <cell r="C6476">
            <v>612006</v>
          </cell>
          <cell r="D6476" t="str">
            <v>MCFD.N 52</v>
          </cell>
        </row>
        <row r="6477">
          <cell r="C6477">
            <v>701006</v>
          </cell>
          <cell r="D6477" t="str">
            <v>MCFD.NUT 52</v>
          </cell>
        </row>
        <row r="6478">
          <cell r="C6478">
            <v>701006.01</v>
          </cell>
          <cell r="D6478" t="str">
            <v>MCFD.SHEETMETALWASHER 52</v>
          </cell>
        </row>
        <row r="6479">
          <cell r="C6479">
            <v>701006.02</v>
          </cell>
          <cell r="D6479" t="str">
            <v>MCFD.CAP 52</v>
          </cell>
        </row>
        <row r="6480">
          <cell r="C6480">
            <v>1421007</v>
          </cell>
          <cell r="D6480" t="str">
            <v>940041790 material</v>
          </cell>
        </row>
        <row r="6481">
          <cell r="C6481">
            <v>1421008</v>
          </cell>
          <cell r="D6481" t="str">
            <v>940041795 material</v>
          </cell>
        </row>
        <row r="6482">
          <cell r="C6482">
            <v>1421008.01</v>
          </cell>
          <cell r="D6482" t="str">
            <v>940041795 material</v>
          </cell>
        </row>
        <row r="6483">
          <cell r="C6483">
            <v>1421008.02</v>
          </cell>
          <cell r="D6483" t="str">
            <v>940041795(T-400-3045)</v>
          </cell>
        </row>
        <row r="6484">
          <cell r="C6484">
            <v>1421009</v>
          </cell>
          <cell r="D6484" t="str">
            <v>930041746 material</v>
          </cell>
        </row>
        <row r="6485">
          <cell r="C6485">
            <v>1421010</v>
          </cell>
          <cell r="D6485" t="str">
            <v>940042650 material</v>
          </cell>
        </row>
        <row r="6486">
          <cell r="C6486">
            <v>1421010</v>
          </cell>
          <cell r="D6486" t="str">
            <v>940042650 material</v>
          </cell>
        </row>
        <row r="6487">
          <cell r="C6487">
            <v>1421011</v>
          </cell>
          <cell r="D6487" t="str">
            <v>940041949 material</v>
          </cell>
        </row>
        <row r="6488">
          <cell r="C6488">
            <v>1421012</v>
          </cell>
          <cell r="D6488" t="str">
            <v>940041544/MAC material</v>
          </cell>
        </row>
        <row r="6489">
          <cell r="C6489">
            <v>1421012.1</v>
          </cell>
          <cell r="D6489" t="str">
            <v>T-400-3266 material</v>
          </cell>
        </row>
        <row r="6490">
          <cell r="C6490">
            <v>1421012.2</v>
          </cell>
          <cell r="D6490" t="str">
            <v>940041288 MATERIAL</v>
          </cell>
        </row>
        <row r="6491">
          <cell r="C6491">
            <v>1421013</v>
          </cell>
          <cell r="D6491" t="str">
            <v>940041546/MAC material</v>
          </cell>
        </row>
        <row r="6492">
          <cell r="C6492">
            <v>1421013.01</v>
          </cell>
          <cell r="D6492">
            <v>940041599</v>
          </cell>
        </row>
        <row r="6493">
          <cell r="C6493">
            <v>1421014</v>
          </cell>
          <cell r="D6493" t="str">
            <v>940041767  material</v>
          </cell>
        </row>
        <row r="6494">
          <cell r="C6494">
            <v>1421015</v>
          </cell>
          <cell r="D6494" t="str">
            <v>940041768 maerial</v>
          </cell>
        </row>
        <row r="6495">
          <cell r="C6495">
            <v>1421016</v>
          </cell>
          <cell r="D6495" t="str">
            <v>940041600 material</v>
          </cell>
        </row>
        <row r="6496">
          <cell r="C6496">
            <v>1421017</v>
          </cell>
          <cell r="D6496" t="str">
            <v>940041426 material</v>
          </cell>
        </row>
        <row r="6497">
          <cell r="C6497">
            <v>1421018</v>
          </cell>
          <cell r="D6497" t="str">
            <v>940041427 L.P(93)materiaL</v>
          </cell>
        </row>
        <row r="6498">
          <cell r="C6498">
            <v>1421019</v>
          </cell>
          <cell r="D6498" t="str">
            <v>940041770 L.PAWL(75.6)MAT</v>
          </cell>
        </row>
        <row r="6499">
          <cell r="C6499">
            <v>1421021</v>
          </cell>
          <cell r="D6499" t="str">
            <v>940041109 material</v>
          </cell>
        </row>
        <row r="6500">
          <cell r="C6500">
            <v>1421022</v>
          </cell>
          <cell r="D6500" t="str">
            <v>920031009 material</v>
          </cell>
        </row>
        <row r="6501">
          <cell r="C6501">
            <v>1421024</v>
          </cell>
          <cell r="D6501" t="str">
            <v>940041350 material</v>
          </cell>
        </row>
        <row r="6502">
          <cell r="C6502">
            <v>101026</v>
          </cell>
          <cell r="D6502" t="str">
            <v>IR.6667</v>
          </cell>
        </row>
        <row r="6503">
          <cell r="C6503">
            <v>101026.01</v>
          </cell>
          <cell r="D6503" t="str">
            <v>WASHER.6667</v>
          </cell>
        </row>
        <row r="6504">
          <cell r="C6504">
            <v>201026</v>
          </cell>
          <cell r="D6504" t="str">
            <v>OR.6667</v>
          </cell>
        </row>
        <row r="6505">
          <cell r="C6505">
            <v>301026</v>
          </cell>
          <cell r="D6505" t="str">
            <v>NCG.6667 25%GF</v>
          </cell>
        </row>
        <row r="6506">
          <cell r="C6506">
            <v>511257</v>
          </cell>
          <cell r="D6506" t="str">
            <v>BALL 13/32"(IS:2898-1976)</v>
          </cell>
        </row>
        <row r="6507">
          <cell r="C6507">
            <v>5221247</v>
          </cell>
          <cell r="D6507" t="str">
            <v>O G SHELL GADUS S2 V100 3</v>
          </cell>
        </row>
        <row r="6508">
          <cell r="C6508">
            <v>701026</v>
          </cell>
          <cell r="D6508" t="str">
            <v>TOP SEAL.6667</v>
          </cell>
        </row>
        <row r="6509">
          <cell r="C6509">
            <v>701026.01</v>
          </cell>
          <cell r="D6509" t="str">
            <v>BOTTOM R SEAL.6667</v>
          </cell>
        </row>
        <row r="6510">
          <cell r="C6510">
            <v>701026.02</v>
          </cell>
          <cell r="D6510" t="str">
            <v>PLASTIC SLEEVE.6667</v>
          </cell>
        </row>
        <row r="6511">
          <cell r="C6511">
            <v>701026.03</v>
          </cell>
          <cell r="D6511" t="str">
            <v>SNAP RING.6667</v>
          </cell>
        </row>
        <row r="6512">
          <cell r="C6512">
            <v>701026.04</v>
          </cell>
          <cell r="D6512" t="str">
            <v>CIRCLIPS.6667</v>
          </cell>
        </row>
        <row r="6513">
          <cell r="C6513">
            <v>701026.05</v>
          </cell>
          <cell r="D6513" t="str">
            <v>BELIVEL SPRING.6667</v>
          </cell>
        </row>
        <row r="6514">
          <cell r="C6514">
            <v>801026</v>
          </cell>
          <cell r="D6514" t="str">
            <v>HUB.6667</v>
          </cell>
        </row>
        <row r="6515">
          <cell r="C6515">
            <v>801026.01</v>
          </cell>
          <cell r="D6515" t="str">
            <v>LOCKING WIRE CLIPS.6667</v>
          </cell>
        </row>
        <row r="6516">
          <cell r="C6516">
            <v>801026.02</v>
          </cell>
          <cell r="D6516" t="str">
            <v>HUB INSERT PIN.6667</v>
          </cell>
        </row>
        <row r="6517">
          <cell r="C6517">
            <v>101027</v>
          </cell>
          <cell r="D6517" t="str">
            <v>IR.JU 065</v>
          </cell>
        </row>
        <row r="6518">
          <cell r="C6518">
            <v>201027</v>
          </cell>
          <cell r="D6518" t="str">
            <v>OR.JU 065</v>
          </cell>
        </row>
        <row r="6519">
          <cell r="C6519">
            <v>301027</v>
          </cell>
          <cell r="D6519" t="str">
            <v>CAGE.JU 065</v>
          </cell>
        </row>
        <row r="6520">
          <cell r="C6520">
            <v>511170</v>
          </cell>
          <cell r="D6520" t="str">
            <v>BALL 3/16" (IS:2898-1976)</v>
          </cell>
        </row>
        <row r="6521">
          <cell r="C6521">
            <v>5221247</v>
          </cell>
          <cell r="D6521" t="str">
            <v>O G SHELL GADUS S2 V100 3</v>
          </cell>
        </row>
        <row r="6522">
          <cell r="C6522">
            <v>701027</v>
          </cell>
          <cell r="D6522" t="str">
            <v>SEAL.JU 065</v>
          </cell>
        </row>
        <row r="6523">
          <cell r="C6523">
            <v>1421028</v>
          </cell>
          <cell r="D6523" t="str">
            <v>940041680 material</v>
          </cell>
        </row>
        <row r="6524">
          <cell r="C6524">
            <v>1421028.5</v>
          </cell>
          <cell r="D6524" t="str">
            <v>4912311 MATERIAL</v>
          </cell>
        </row>
        <row r="6525">
          <cell r="C6525">
            <v>1421029</v>
          </cell>
          <cell r="D6525" t="str">
            <v>940041847 material</v>
          </cell>
        </row>
        <row r="6526">
          <cell r="C6526">
            <v>1421030</v>
          </cell>
          <cell r="D6526" t="str">
            <v>940041848 material</v>
          </cell>
        </row>
        <row r="6527">
          <cell r="C6527">
            <v>1421031</v>
          </cell>
          <cell r="D6527" t="str">
            <v>920041118 material</v>
          </cell>
        </row>
        <row r="6528">
          <cell r="C6528">
            <v>1421032</v>
          </cell>
          <cell r="D6528" t="str">
            <v>920041114 material</v>
          </cell>
        </row>
        <row r="6529">
          <cell r="C6529">
            <v>1421033</v>
          </cell>
          <cell r="D6529" t="str">
            <v>940042323 material</v>
          </cell>
        </row>
        <row r="6530">
          <cell r="C6530">
            <v>1421034</v>
          </cell>
          <cell r="D6530" t="str">
            <v>930042026 material</v>
          </cell>
        </row>
        <row r="6531">
          <cell r="C6531">
            <v>1421035</v>
          </cell>
          <cell r="D6531" t="str">
            <v>930042100 material</v>
          </cell>
        </row>
        <row r="6532">
          <cell r="C6532">
            <v>1421036</v>
          </cell>
          <cell r="D6532" t="str">
            <v>940141545 material</v>
          </cell>
        </row>
        <row r="6533">
          <cell r="C6533">
            <v>1421037</v>
          </cell>
          <cell r="D6533" t="str">
            <v>940087305(7.7) material</v>
          </cell>
        </row>
        <row r="6534">
          <cell r="C6534">
            <v>1421037.01</v>
          </cell>
          <cell r="D6534" t="str">
            <v>940087305(9.7)  material</v>
          </cell>
        </row>
        <row r="6535">
          <cell r="C6535">
            <v>1421038</v>
          </cell>
          <cell r="D6535" t="str">
            <v>940041682 material</v>
          </cell>
        </row>
        <row r="6536">
          <cell r="C6536">
            <v>1421039</v>
          </cell>
          <cell r="D6536" t="str">
            <v>940041460 material</v>
          </cell>
        </row>
        <row r="6537">
          <cell r="C6537">
            <v>1421040</v>
          </cell>
          <cell r="D6537" t="str">
            <v>940041771 material</v>
          </cell>
        </row>
        <row r="6538">
          <cell r="C6538">
            <v>1421041</v>
          </cell>
          <cell r="D6538" t="str">
            <v>4997396-001 material.</v>
          </cell>
        </row>
        <row r="6539">
          <cell r="C6539">
            <v>101041.1</v>
          </cell>
          <cell r="D6539" t="str">
            <v>W 28.75X37.85X3.8</v>
          </cell>
        </row>
        <row r="6540">
          <cell r="C6540">
            <v>1421041.11</v>
          </cell>
          <cell r="D6540" t="str">
            <v>WASHER-001</v>
          </cell>
        </row>
        <row r="6541">
          <cell r="C6541">
            <v>1421041.12</v>
          </cell>
          <cell r="D6541" t="str">
            <v>WASHER-002</v>
          </cell>
        </row>
        <row r="6542">
          <cell r="C6542">
            <v>1421041.13</v>
          </cell>
          <cell r="D6542" t="str">
            <v>WASHER-003</v>
          </cell>
        </row>
        <row r="6543">
          <cell r="C6543">
            <v>1421041.14</v>
          </cell>
          <cell r="D6543" t="str">
            <v>WASHER-004</v>
          </cell>
        </row>
        <row r="6544">
          <cell r="C6544">
            <v>1421041.15</v>
          </cell>
          <cell r="D6544" t="str">
            <v>WASHER-005</v>
          </cell>
        </row>
        <row r="6545">
          <cell r="C6545">
            <v>1421041.16</v>
          </cell>
          <cell r="D6545" t="str">
            <v>WASHER-006</v>
          </cell>
        </row>
        <row r="6546">
          <cell r="C6546">
            <v>1421041.17</v>
          </cell>
          <cell r="D6546" t="str">
            <v>WASHER-007</v>
          </cell>
        </row>
        <row r="6547">
          <cell r="C6547">
            <v>1421041.18</v>
          </cell>
          <cell r="D6547" t="str">
            <v>WASHER-008</v>
          </cell>
        </row>
        <row r="6548">
          <cell r="C6548">
            <v>1421041.19</v>
          </cell>
          <cell r="D6548" t="str">
            <v>WASHER-009</v>
          </cell>
        </row>
        <row r="6549">
          <cell r="C6549">
            <v>1421041.2</v>
          </cell>
          <cell r="D6549" t="str">
            <v>WASHER-010</v>
          </cell>
        </row>
        <row r="6550">
          <cell r="C6550">
            <v>1421041.21</v>
          </cell>
          <cell r="D6550" t="str">
            <v>WASHER-011</v>
          </cell>
        </row>
        <row r="6551">
          <cell r="C6551">
            <v>1421041.22</v>
          </cell>
          <cell r="D6551" t="str">
            <v>WASHER-012</v>
          </cell>
        </row>
        <row r="6552">
          <cell r="C6552">
            <v>1421041.23</v>
          </cell>
          <cell r="D6552" t="str">
            <v>WASHER-013</v>
          </cell>
        </row>
        <row r="6553">
          <cell r="C6553">
            <v>1421041.24</v>
          </cell>
          <cell r="D6553" t="str">
            <v>WASHER-014</v>
          </cell>
        </row>
        <row r="6554">
          <cell r="C6554">
            <v>1421041.25</v>
          </cell>
          <cell r="D6554" t="str">
            <v>WASHER-015</v>
          </cell>
        </row>
        <row r="6555">
          <cell r="C6555">
            <v>1421041.26</v>
          </cell>
          <cell r="D6555" t="str">
            <v>WASHER-016</v>
          </cell>
        </row>
        <row r="6556">
          <cell r="C6556">
            <v>1421041.27</v>
          </cell>
          <cell r="D6556" t="str">
            <v>WASHER-017</v>
          </cell>
        </row>
        <row r="6557">
          <cell r="C6557">
            <v>1421041.28</v>
          </cell>
          <cell r="D6557" t="str">
            <v>WASHER-018</v>
          </cell>
        </row>
        <row r="6558">
          <cell r="C6558">
            <v>1421041.29</v>
          </cell>
          <cell r="D6558" t="str">
            <v>WASHER-019</v>
          </cell>
        </row>
        <row r="6559">
          <cell r="C6559">
            <v>1421041.3</v>
          </cell>
          <cell r="D6559" t="str">
            <v>WASHER-020</v>
          </cell>
        </row>
        <row r="6560">
          <cell r="C6560">
            <v>301041.5</v>
          </cell>
          <cell r="D6560" t="str">
            <v>AXK.CAGE28.677X37.846X1.5</v>
          </cell>
        </row>
        <row r="6561">
          <cell r="C6561">
            <v>301041.5</v>
          </cell>
          <cell r="D6561" t="str">
            <v>AXK.CAGE28.677X37.846X1.5</v>
          </cell>
        </row>
        <row r="6562">
          <cell r="C6562">
            <v>501041.5</v>
          </cell>
          <cell r="D6562" t="str">
            <v>RO 1.5X3.5</v>
          </cell>
        </row>
        <row r="6563">
          <cell r="C6563">
            <v>501041.5</v>
          </cell>
          <cell r="D6563" t="str">
            <v>RO 1.5X3.5</v>
          </cell>
        </row>
        <row r="6564">
          <cell r="C6564">
            <v>301041.5</v>
          </cell>
          <cell r="D6564" t="str">
            <v>AXK.CAGE28.677X37.846X1.5</v>
          </cell>
        </row>
        <row r="6565">
          <cell r="C6565">
            <v>301041.5</v>
          </cell>
          <cell r="D6565" t="str">
            <v>AXK.CAGE28.677X37.846X1.5</v>
          </cell>
        </row>
        <row r="6566">
          <cell r="C6566">
            <v>501041.5</v>
          </cell>
          <cell r="D6566" t="str">
            <v>RO 1.5X3.5</v>
          </cell>
        </row>
        <row r="6567">
          <cell r="C6567">
            <v>501041.5</v>
          </cell>
          <cell r="D6567" t="str">
            <v>RO 1.5X3.5</v>
          </cell>
        </row>
        <row r="6568">
          <cell r="C6568">
            <v>301041.65000000002</v>
          </cell>
          <cell r="D6568" t="str">
            <v>NCG.NCG 28.650X37.850X2.0</v>
          </cell>
        </row>
        <row r="6569">
          <cell r="C6569">
            <v>501041.65</v>
          </cell>
          <cell r="D6569" t="str">
            <v>RO 2X3 BP</v>
          </cell>
        </row>
        <row r="6570">
          <cell r="C6570">
            <v>101041.7</v>
          </cell>
          <cell r="D6570" t="str">
            <v>MTA.IR 2900</v>
          </cell>
        </row>
        <row r="6571">
          <cell r="C6571">
            <v>301041.7</v>
          </cell>
          <cell r="D6571" t="str">
            <v>MTA.NCG 2900</v>
          </cell>
        </row>
        <row r="6572">
          <cell r="C6572">
            <v>502025</v>
          </cell>
          <cell r="D6572" t="str">
            <v>Ball ø2.0 mm G40</v>
          </cell>
        </row>
        <row r="6573">
          <cell r="C6573">
            <v>1421042</v>
          </cell>
          <cell r="D6573" t="str">
            <v>4925190 MATERIAL</v>
          </cell>
        </row>
        <row r="6574">
          <cell r="C6574">
            <v>1421044</v>
          </cell>
          <cell r="D6574" t="str">
            <v>940041107 MATERIAL</v>
          </cell>
        </row>
        <row r="6575">
          <cell r="C6575">
            <v>1421045</v>
          </cell>
          <cell r="D6575" t="str">
            <v>940041108 MATEIAL</v>
          </cell>
        </row>
        <row r="6576">
          <cell r="C6576">
            <v>1421046</v>
          </cell>
          <cell r="D6576" t="str">
            <v>920041200 MATERIAL</v>
          </cell>
        </row>
        <row r="6577">
          <cell r="C6577">
            <v>1421047</v>
          </cell>
          <cell r="D6577" t="str">
            <v>SNAP RING BR 39  MATERIAL</v>
          </cell>
        </row>
        <row r="6578">
          <cell r="C6578">
            <v>101048</v>
          </cell>
          <cell r="D6578" t="str">
            <v>IR.3203 2RS</v>
          </cell>
        </row>
        <row r="6579">
          <cell r="C6579">
            <v>201048</v>
          </cell>
          <cell r="D6579" t="str">
            <v>OR.3203 2RS</v>
          </cell>
        </row>
        <row r="6580">
          <cell r="C6580">
            <v>301048</v>
          </cell>
          <cell r="D6580" t="str">
            <v>NCG.3203 2RS</v>
          </cell>
        </row>
        <row r="6581">
          <cell r="C6581">
            <v>511182</v>
          </cell>
          <cell r="D6581" t="str">
            <v>BALL 1/4" (IS:2898-1976)</v>
          </cell>
        </row>
        <row r="6582">
          <cell r="C6582">
            <v>5221247</v>
          </cell>
          <cell r="D6582" t="str">
            <v>O G SHELL GADUS S2 V100 3</v>
          </cell>
        </row>
        <row r="6583">
          <cell r="C6583">
            <v>701048</v>
          </cell>
          <cell r="D6583" t="str">
            <v>SEAL.3203 2RS</v>
          </cell>
        </row>
        <row r="6584">
          <cell r="C6584">
            <v>101049</v>
          </cell>
          <cell r="D6584" t="str">
            <v>NUTR.IR 40 A</v>
          </cell>
        </row>
        <row r="6585">
          <cell r="C6585">
            <v>1421049</v>
          </cell>
          <cell r="D6585" t="str">
            <v>NUTR 40 MATERAIL</v>
          </cell>
        </row>
        <row r="6586">
          <cell r="C6586">
            <v>201049</v>
          </cell>
          <cell r="D6586" t="str">
            <v>NUTR.OR 40 A</v>
          </cell>
        </row>
        <row r="6587">
          <cell r="C6587">
            <v>511604.07</v>
          </cell>
          <cell r="D6587" t="str">
            <v>RO 7.5X11 BPM</v>
          </cell>
        </row>
        <row r="6588">
          <cell r="C6588">
            <v>511604.07</v>
          </cell>
          <cell r="D6588" t="str">
            <v>RO 7.5X11 BPM</v>
          </cell>
        </row>
        <row r="6589">
          <cell r="C6589">
            <v>5221247</v>
          </cell>
          <cell r="D6589" t="str">
            <v>O G SHELL GADUS S2 V100 3</v>
          </cell>
        </row>
        <row r="6590">
          <cell r="C6590">
            <v>601049</v>
          </cell>
          <cell r="D6590" t="str">
            <v>NUTR.W 40 A</v>
          </cell>
        </row>
        <row r="6591">
          <cell r="C6591">
            <v>701049</v>
          </cell>
          <cell r="D6591" t="str">
            <v>NUTR.SEAL 40 A</v>
          </cell>
        </row>
        <row r="6592">
          <cell r="C6592">
            <v>101049.01</v>
          </cell>
          <cell r="D6592" t="str">
            <v>NUTR.IR 45100 A</v>
          </cell>
        </row>
        <row r="6593">
          <cell r="C6593">
            <v>201049.01</v>
          </cell>
          <cell r="D6593" t="str">
            <v>NUTR.OR 45100 A</v>
          </cell>
        </row>
        <row r="6594">
          <cell r="C6594">
            <v>511604.07</v>
          </cell>
          <cell r="D6594" t="str">
            <v>RO 7.5X11 BPM</v>
          </cell>
        </row>
        <row r="6595">
          <cell r="C6595">
            <v>5221247</v>
          </cell>
          <cell r="D6595" t="str">
            <v>O G SHELL GADUS S2 V100 3</v>
          </cell>
        </row>
        <row r="6596">
          <cell r="C6596">
            <v>601049.01</v>
          </cell>
          <cell r="D6596" t="str">
            <v>NUTR.W 45100 A</v>
          </cell>
        </row>
        <row r="6597">
          <cell r="C6597">
            <v>701049.01</v>
          </cell>
          <cell r="D6597" t="str">
            <v>NUTR.SEAL 45100 A</v>
          </cell>
        </row>
        <row r="6598">
          <cell r="C6598">
            <v>101049.05</v>
          </cell>
          <cell r="D6598" t="str">
            <v>NUTR.IR 1747 X</v>
          </cell>
        </row>
        <row r="6599">
          <cell r="C6599">
            <v>201049.05</v>
          </cell>
          <cell r="D6599" t="str">
            <v>NUTR.OR 1747 X</v>
          </cell>
        </row>
        <row r="6600">
          <cell r="C6600">
            <v>511462</v>
          </cell>
          <cell r="D6600" t="str">
            <v>RO 4X6 (R 462)</v>
          </cell>
        </row>
        <row r="6601">
          <cell r="C6601">
            <v>5221247</v>
          </cell>
          <cell r="D6601" t="str">
            <v>O G SHELL GADUS S2 V100 3</v>
          </cell>
        </row>
        <row r="6602">
          <cell r="C6602">
            <v>601049.05000000005</v>
          </cell>
          <cell r="D6602" t="str">
            <v>NUTR.W 1747 X</v>
          </cell>
        </row>
        <row r="6603">
          <cell r="C6603">
            <v>701049.05</v>
          </cell>
          <cell r="D6603" t="str">
            <v>NUTR.SEAL 1747 X</v>
          </cell>
        </row>
        <row r="6604">
          <cell r="C6604">
            <v>101049.05</v>
          </cell>
          <cell r="D6604" t="str">
            <v>NUTR.IR 1747 X</v>
          </cell>
        </row>
        <row r="6605">
          <cell r="C6605">
            <v>201049.06</v>
          </cell>
          <cell r="D6605" t="str">
            <v>NUTR.OR 17 A</v>
          </cell>
        </row>
        <row r="6606">
          <cell r="C6606">
            <v>511462</v>
          </cell>
          <cell r="D6606" t="str">
            <v>RO 4X6 (R 462)</v>
          </cell>
        </row>
        <row r="6607">
          <cell r="C6607">
            <v>5221247</v>
          </cell>
          <cell r="D6607" t="str">
            <v>O G SHELL GADUS S2 V100 3</v>
          </cell>
        </row>
        <row r="6608">
          <cell r="C6608">
            <v>601049.05000000005</v>
          </cell>
          <cell r="D6608" t="str">
            <v>NUTR.W 1747 X</v>
          </cell>
        </row>
        <row r="6609">
          <cell r="C6609">
            <v>701049.05</v>
          </cell>
          <cell r="D6609" t="str">
            <v>NUTR.SEAL 1747 X</v>
          </cell>
        </row>
        <row r="6610">
          <cell r="C6610">
            <v>101049.11</v>
          </cell>
          <cell r="D6610" t="str">
            <v>NUTR.IR 1542 X</v>
          </cell>
        </row>
        <row r="6611">
          <cell r="C6611">
            <v>201049.11</v>
          </cell>
          <cell r="D6611" t="str">
            <v>NUTR.OR 1542 X</v>
          </cell>
        </row>
        <row r="6612">
          <cell r="C6612">
            <v>501049.11</v>
          </cell>
          <cell r="D6612" t="str">
            <v>RO 4X5.5 BPM</v>
          </cell>
        </row>
        <row r="6613">
          <cell r="C6613">
            <v>5221247</v>
          </cell>
          <cell r="D6613" t="str">
            <v>O G SHELL GADUS S2 V100 3</v>
          </cell>
        </row>
        <row r="6614">
          <cell r="C6614">
            <v>601049.11</v>
          </cell>
          <cell r="D6614" t="str">
            <v>NUTR.W 1542 X</v>
          </cell>
        </row>
        <row r="6615">
          <cell r="C6615">
            <v>701049.11</v>
          </cell>
          <cell r="D6615" t="str">
            <v>NUTR.SEAL 1542 X</v>
          </cell>
        </row>
        <row r="6616">
          <cell r="C6616">
            <v>101049.11</v>
          </cell>
          <cell r="D6616" t="str">
            <v>NUTR.IR 1542 X</v>
          </cell>
        </row>
        <row r="6617">
          <cell r="C6617">
            <v>201049.12</v>
          </cell>
          <cell r="D6617" t="str">
            <v>NUTR.OR 15</v>
          </cell>
        </row>
        <row r="6618">
          <cell r="C6618">
            <v>501049.11</v>
          </cell>
          <cell r="D6618" t="str">
            <v>RO 4X5.5 BPM</v>
          </cell>
        </row>
        <row r="6619">
          <cell r="C6619">
            <v>5221247</v>
          </cell>
          <cell r="D6619" t="str">
            <v>O G SHELL GADUS S2 V100 3</v>
          </cell>
        </row>
        <row r="6620">
          <cell r="C6620">
            <v>601049.11</v>
          </cell>
          <cell r="D6620" t="str">
            <v>NUTR.W 1542 X</v>
          </cell>
        </row>
        <row r="6621">
          <cell r="C6621">
            <v>701049.11</v>
          </cell>
          <cell r="D6621" t="str">
            <v>NUTR.SEAL 1542 X</v>
          </cell>
        </row>
        <row r="6622">
          <cell r="C6622">
            <v>101049.11</v>
          </cell>
          <cell r="D6622" t="str">
            <v>NUTR.IR 1542 X</v>
          </cell>
        </row>
        <row r="6623">
          <cell r="C6623">
            <v>201049.13</v>
          </cell>
          <cell r="D6623" t="str">
            <v>NUTR.OR 1542</v>
          </cell>
        </row>
        <row r="6624">
          <cell r="C6624">
            <v>501049.11</v>
          </cell>
          <cell r="D6624" t="str">
            <v>RO 4X5.5 BPM</v>
          </cell>
        </row>
        <row r="6625">
          <cell r="C6625">
            <v>5221247</v>
          </cell>
          <cell r="D6625" t="str">
            <v>O G SHELL GADUS S2 V100 3</v>
          </cell>
        </row>
        <row r="6626">
          <cell r="C6626">
            <v>601049.11</v>
          </cell>
          <cell r="D6626" t="str">
            <v>NUTR.W 1542 X</v>
          </cell>
        </row>
        <row r="6627">
          <cell r="C6627">
            <v>701049.11</v>
          </cell>
          <cell r="D6627" t="str">
            <v>NUTR.SEAL 1542 X</v>
          </cell>
        </row>
        <row r="6628">
          <cell r="C6628">
            <v>101049.11</v>
          </cell>
          <cell r="D6628" t="str">
            <v>NUTR.IR 1542 X</v>
          </cell>
        </row>
        <row r="6629">
          <cell r="C6629">
            <v>201049.12</v>
          </cell>
          <cell r="D6629" t="str">
            <v>NUTR.OR 15</v>
          </cell>
        </row>
        <row r="6630">
          <cell r="C6630">
            <v>501049.11</v>
          </cell>
          <cell r="D6630" t="str">
            <v>RO 4X5.5 BPM</v>
          </cell>
        </row>
        <row r="6631">
          <cell r="C6631">
            <v>5221247</v>
          </cell>
          <cell r="D6631" t="str">
            <v>O G SHELL GADUS S2 V100 3</v>
          </cell>
        </row>
        <row r="6632">
          <cell r="C6632">
            <v>601049.11</v>
          </cell>
          <cell r="D6632" t="str">
            <v>NUTR.W 1542 X</v>
          </cell>
        </row>
        <row r="6633">
          <cell r="C6633">
            <v>701049.11</v>
          </cell>
          <cell r="D6633" t="str">
            <v>NUTR.SEAL 1542 X</v>
          </cell>
        </row>
        <row r="6634">
          <cell r="C6634">
            <v>101049.21</v>
          </cell>
          <cell r="D6634" t="str">
            <v>NUTR.IR 2562 X</v>
          </cell>
        </row>
        <row r="6635">
          <cell r="C6635">
            <v>201049.21</v>
          </cell>
          <cell r="D6635" t="str">
            <v>NUTR.OR 2562 X</v>
          </cell>
        </row>
        <row r="6636">
          <cell r="C6636">
            <v>511484</v>
          </cell>
          <cell r="D6636" t="str">
            <v>RO 5X8</v>
          </cell>
        </row>
        <row r="6637">
          <cell r="C6637">
            <v>5221247</v>
          </cell>
          <cell r="D6637" t="str">
            <v>O G SHELL GADUS S2 V100 3</v>
          </cell>
        </row>
        <row r="6638">
          <cell r="C6638">
            <v>601049.21</v>
          </cell>
          <cell r="D6638" t="str">
            <v>NUTR.W 2562 X</v>
          </cell>
        </row>
        <row r="6639">
          <cell r="C6639">
            <v>701049.21</v>
          </cell>
          <cell r="D6639" t="str">
            <v>NUTR.SEAL 2562 X</v>
          </cell>
        </row>
        <row r="6640">
          <cell r="C6640">
            <v>101049.21</v>
          </cell>
          <cell r="D6640" t="str">
            <v>NUTR.IR 2562 X</v>
          </cell>
        </row>
        <row r="6641">
          <cell r="C6641">
            <v>201049.22</v>
          </cell>
          <cell r="D6641" t="str">
            <v>NUTR.OR 25 A</v>
          </cell>
        </row>
        <row r="6642">
          <cell r="C6642">
            <v>511484</v>
          </cell>
          <cell r="D6642" t="str">
            <v>RO 5X8</v>
          </cell>
        </row>
        <row r="6643">
          <cell r="C6643">
            <v>5221247</v>
          </cell>
          <cell r="D6643" t="str">
            <v>O G SHELL GADUS S2 V100 3</v>
          </cell>
        </row>
        <row r="6644">
          <cell r="C6644">
            <v>601049.21</v>
          </cell>
          <cell r="D6644" t="str">
            <v>NUTR.W 2562 X</v>
          </cell>
        </row>
        <row r="6645">
          <cell r="C6645">
            <v>701049.21</v>
          </cell>
          <cell r="D6645" t="str">
            <v>NUTR.SEAL 2562 X</v>
          </cell>
        </row>
        <row r="6646">
          <cell r="C6646">
            <v>101049.31</v>
          </cell>
          <cell r="D6646" t="str">
            <v>NUTR.IR 3072 X</v>
          </cell>
        </row>
        <row r="6647">
          <cell r="C6647">
            <v>201049.31</v>
          </cell>
          <cell r="D6647" t="str">
            <v>NUTR.OR 3072 X</v>
          </cell>
        </row>
        <row r="6648">
          <cell r="C6648">
            <v>511438</v>
          </cell>
          <cell r="D6648" t="str">
            <v>RO 6.5X9(BPM)</v>
          </cell>
        </row>
        <row r="6649">
          <cell r="C6649">
            <v>5221247</v>
          </cell>
          <cell r="D6649" t="str">
            <v>O G SHELL GADUS S2 V100 3</v>
          </cell>
        </row>
        <row r="6650">
          <cell r="C6650">
            <v>601049.31000000006</v>
          </cell>
          <cell r="D6650" t="str">
            <v>NUTR.W 3072 X</v>
          </cell>
        </row>
        <row r="6651">
          <cell r="C6651">
            <v>701049.31</v>
          </cell>
          <cell r="D6651" t="str">
            <v>NUTR.SEAL 3072 X</v>
          </cell>
        </row>
        <row r="6652">
          <cell r="C6652">
            <v>101049.31</v>
          </cell>
          <cell r="D6652" t="str">
            <v>NUTR.IR 3072 X</v>
          </cell>
        </row>
        <row r="6653">
          <cell r="C6653">
            <v>201049.32</v>
          </cell>
          <cell r="D6653" t="str">
            <v>NUTR.OR 30 A</v>
          </cell>
        </row>
        <row r="6654">
          <cell r="C6654">
            <v>511438</v>
          </cell>
          <cell r="D6654" t="str">
            <v>RO 6.5X9(BPM)</v>
          </cell>
        </row>
        <row r="6655">
          <cell r="C6655">
            <v>5221247</v>
          </cell>
          <cell r="D6655" t="str">
            <v>O G SHELL GADUS S2 V100 3</v>
          </cell>
        </row>
        <row r="6656">
          <cell r="C6656">
            <v>601049.31000000006</v>
          </cell>
          <cell r="D6656" t="str">
            <v>NUTR.W 3072 X</v>
          </cell>
        </row>
        <row r="6657">
          <cell r="C6657">
            <v>701049.31</v>
          </cell>
          <cell r="D6657" t="str">
            <v>NUTR.SEAL 3072 X</v>
          </cell>
        </row>
        <row r="6658">
          <cell r="C6658">
            <v>101049.41</v>
          </cell>
          <cell r="D6658" t="str">
            <v>NUTR.IR 20 A</v>
          </cell>
        </row>
        <row r="6659">
          <cell r="C6659">
            <v>201049.41</v>
          </cell>
          <cell r="D6659" t="str">
            <v>NUTR.OR 20 A</v>
          </cell>
        </row>
        <row r="6660">
          <cell r="C6660">
            <v>511484</v>
          </cell>
          <cell r="D6660" t="str">
            <v>RO 5X8</v>
          </cell>
        </row>
        <row r="6661">
          <cell r="C6661">
            <v>5221247</v>
          </cell>
          <cell r="D6661" t="str">
            <v>O G SHELL GADUS S2 V100 3</v>
          </cell>
        </row>
        <row r="6662">
          <cell r="C6662">
            <v>601049.41</v>
          </cell>
          <cell r="D6662" t="str">
            <v>NUTR.W 20 A</v>
          </cell>
        </row>
        <row r="6663">
          <cell r="C6663">
            <v>701049.41</v>
          </cell>
          <cell r="D6663" t="str">
            <v>NUTR.SEAL 20 A</v>
          </cell>
        </row>
        <row r="6664">
          <cell r="C6664">
            <v>101049.51</v>
          </cell>
          <cell r="D6664" t="str">
            <v>NUTR.IR 3580 A</v>
          </cell>
        </row>
        <row r="6665">
          <cell r="C6665">
            <v>201049.51</v>
          </cell>
          <cell r="D6665" t="str">
            <v>NUTR.OR 3580 A</v>
          </cell>
        </row>
        <row r="6666">
          <cell r="C6666">
            <v>511438</v>
          </cell>
          <cell r="D6666" t="str">
            <v>RO 6.5X9(BPM)</v>
          </cell>
        </row>
        <row r="6667">
          <cell r="C6667">
            <v>5221247</v>
          </cell>
          <cell r="D6667" t="str">
            <v>O G SHELL GADUS S2 V100 3</v>
          </cell>
        </row>
        <row r="6668">
          <cell r="C6668">
            <v>601049.51</v>
          </cell>
          <cell r="D6668" t="str">
            <v>NUTR.W 3580 A</v>
          </cell>
        </row>
        <row r="6669">
          <cell r="C6669">
            <v>701049.51</v>
          </cell>
          <cell r="D6669" t="str">
            <v>NUTR.SEAL 3580 A</v>
          </cell>
        </row>
        <row r="6670">
          <cell r="C6670">
            <v>101049.51</v>
          </cell>
          <cell r="D6670" t="str">
            <v>NUTR.IR 3580 A</v>
          </cell>
        </row>
        <row r="6671">
          <cell r="C6671">
            <v>201049.52</v>
          </cell>
          <cell r="D6671" t="str">
            <v>NUTR.OR 35 A</v>
          </cell>
        </row>
        <row r="6672">
          <cell r="C6672">
            <v>511438</v>
          </cell>
          <cell r="D6672" t="str">
            <v>RO 6.5X9(BPM)</v>
          </cell>
        </row>
        <row r="6673">
          <cell r="C6673">
            <v>5221247</v>
          </cell>
          <cell r="D6673" t="str">
            <v>O G SHELL GADUS S2 V100 3</v>
          </cell>
        </row>
        <row r="6674">
          <cell r="C6674">
            <v>601049.51</v>
          </cell>
          <cell r="D6674" t="str">
            <v>NUTR.W 3580 A</v>
          </cell>
        </row>
        <row r="6675">
          <cell r="C6675">
            <v>701049.51</v>
          </cell>
          <cell r="D6675" t="str">
            <v>NUTR.SEAL 3580 A</v>
          </cell>
        </row>
        <row r="6676">
          <cell r="C6676">
            <v>101050</v>
          </cell>
          <cell r="D6676" t="str">
            <v>NUTR.IR 50 A</v>
          </cell>
        </row>
        <row r="6677">
          <cell r="C6677">
            <v>201050</v>
          </cell>
          <cell r="D6677" t="str">
            <v>NUTR.OR 50 A</v>
          </cell>
        </row>
        <row r="6678">
          <cell r="C6678">
            <v>511604.07</v>
          </cell>
          <cell r="D6678" t="str">
            <v>RO 7.5X11 BPM</v>
          </cell>
        </row>
        <row r="6679">
          <cell r="C6679">
            <v>5221247</v>
          </cell>
          <cell r="D6679" t="str">
            <v>O G SHELL GADUS S2 V100 3</v>
          </cell>
        </row>
        <row r="6680">
          <cell r="C6680">
            <v>601050</v>
          </cell>
          <cell r="D6680" t="str">
            <v>NUTR.W 50 A</v>
          </cell>
        </row>
        <row r="6681">
          <cell r="C6681">
            <v>701050</v>
          </cell>
          <cell r="D6681" t="str">
            <v>NUTR.SEAL 50 A</v>
          </cell>
        </row>
        <row r="6682">
          <cell r="C6682">
            <v>101050</v>
          </cell>
          <cell r="D6682" t="str">
            <v>NUTR.IR 50 A</v>
          </cell>
        </row>
        <row r="6683">
          <cell r="C6683">
            <v>201050.01</v>
          </cell>
          <cell r="D6683" t="str">
            <v>NUTR.OR 50110 A</v>
          </cell>
        </row>
        <row r="6684">
          <cell r="C6684">
            <v>511604.07</v>
          </cell>
          <cell r="D6684" t="str">
            <v>RO 7.5X11 BPM</v>
          </cell>
        </row>
        <row r="6685">
          <cell r="C6685">
            <v>5221247</v>
          </cell>
          <cell r="D6685" t="str">
            <v>O G SHELL GADUS S2 V100 3</v>
          </cell>
        </row>
        <row r="6686">
          <cell r="C6686">
            <v>601050</v>
          </cell>
          <cell r="D6686" t="str">
            <v>NUTR.W 50 A</v>
          </cell>
        </row>
        <row r="6687">
          <cell r="C6687">
            <v>701050</v>
          </cell>
          <cell r="D6687" t="str">
            <v>NUTR.SEAL 50 A</v>
          </cell>
        </row>
        <row r="6688">
          <cell r="C6688">
            <v>1421051</v>
          </cell>
          <cell r="D6688" t="str">
            <v>TRANSLATING ARM SMALL</v>
          </cell>
        </row>
        <row r="6689">
          <cell r="C6689">
            <v>1421051.01</v>
          </cell>
          <cell r="D6689" t="str">
            <v>TRANSLATING ARM BIG</v>
          </cell>
        </row>
        <row r="6690">
          <cell r="C6690">
            <v>1421051</v>
          </cell>
          <cell r="D6690" t="str">
            <v>TRANSLATING ARM SMALL</v>
          </cell>
        </row>
        <row r="6691">
          <cell r="C6691">
            <v>1421051.01</v>
          </cell>
          <cell r="D6691" t="str">
            <v>TRANSLATING ARM BIG</v>
          </cell>
        </row>
        <row r="6692">
          <cell r="C6692">
            <v>1421052</v>
          </cell>
          <cell r="D6692" t="str">
            <v>940041940 B.L.ASSLY</v>
          </cell>
        </row>
        <row r="6693">
          <cell r="C6693">
            <v>201053</v>
          </cell>
          <cell r="D6693" t="str">
            <v>14519 material</v>
          </cell>
        </row>
        <row r="6694">
          <cell r="C6694">
            <v>201053.1</v>
          </cell>
          <cell r="D6694" t="str">
            <v>14519 SPL material</v>
          </cell>
        </row>
        <row r="6695">
          <cell r="C6695">
            <v>201053.5</v>
          </cell>
          <cell r="D6695" t="str">
            <v>150-310 MATERIAL</v>
          </cell>
        </row>
        <row r="6696">
          <cell r="C6696">
            <v>201053.6</v>
          </cell>
          <cell r="D6696" t="str">
            <v>Ring 30.60x32.60x3.55 MAT</v>
          </cell>
        </row>
        <row r="6697">
          <cell r="C6697">
            <v>501053.7</v>
          </cell>
          <cell r="D6697" t="str">
            <v>Pin 5.185x31.15 MATERIAL</v>
          </cell>
        </row>
        <row r="6698">
          <cell r="C6698">
            <v>1421054</v>
          </cell>
          <cell r="D6698" t="str">
            <v>940041546 (3920184) MATER</v>
          </cell>
        </row>
        <row r="6699">
          <cell r="C6699">
            <v>1421055</v>
          </cell>
          <cell r="D6699" t="str">
            <v>940041849 MATERIAL</v>
          </cell>
        </row>
        <row r="6700">
          <cell r="C6700">
            <v>1421056</v>
          </cell>
          <cell r="D6700" t="str">
            <v>940041326 material</v>
          </cell>
        </row>
        <row r="6701">
          <cell r="C6701">
            <v>101057</v>
          </cell>
          <cell r="D6701" t="str">
            <v>930041087 material</v>
          </cell>
        </row>
        <row r="6702">
          <cell r="C6702">
            <v>1421058</v>
          </cell>
          <cell r="D6702" t="str">
            <v>940041568 MATERIAL</v>
          </cell>
        </row>
        <row r="6703">
          <cell r="C6703">
            <v>1421058.01</v>
          </cell>
          <cell r="D6703">
            <v>940041646</v>
          </cell>
        </row>
        <row r="6704">
          <cell r="C6704">
            <v>101059</v>
          </cell>
          <cell r="D6704" t="str">
            <v>BUSH 7X14.7X8.8</v>
          </cell>
        </row>
        <row r="6705">
          <cell r="C6705">
            <v>101060</v>
          </cell>
          <cell r="D6705" t="str">
            <v>BUSH 7X14.4X8.8</v>
          </cell>
        </row>
        <row r="6706">
          <cell r="C6706">
            <v>1421061</v>
          </cell>
          <cell r="D6706" t="str">
            <v>5305 2Z MATERIAL</v>
          </cell>
        </row>
        <row r="6707">
          <cell r="C6707">
            <v>101061</v>
          </cell>
          <cell r="D6707" t="str">
            <v>IR.5305 2RS</v>
          </cell>
        </row>
        <row r="6708">
          <cell r="C6708">
            <v>201061</v>
          </cell>
          <cell r="D6708" t="str">
            <v>OR.5305 2RS</v>
          </cell>
        </row>
        <row r="6709">
          <cell r="C6709">
            <v>301061</v>
          </cell>
          <cell r="D6709" t="str">
            <v>NCG.5305 2RS</v>
          </cell>
        </row>
        <row r="6710">
          <cell r="C6710">
            <v>511180</v>
          </cell>
          <cell r="D6710" t="str">
            <v>BALL 3/8"(IS:2898-1976)</v>
          </cell>
        </row>
        <row r="6711">
          <cell r="C6711">
            <v>5221247</v>
          </cell>
          <cell r="D6711" t="str">
            <v>O G SHELL GADUS S2 V100 3</v>
          </cell>
        </row>
        <row r="6712">
          <cell r="C6712">
            <v>701061</v>
          </cell>
          <cell r="D6712" t="str">
            <v>SEAL.5305 2RS</v>
          </cell>
        </row>
        <row r="6713">
          <cell r="C6713">
            <v>101061.2</v>
          </cell>
          <cell r="D6713" t="str">
            <v>IR.5205 A-25°</v>
          </cell>
        </row>
        <row r="6714">
          <cell r="C6714">
            <v>201061.2</v>
          </cell>
          <cell r="D6714" t="str">
            <v>OR.5205 A-25°</v>
          </cell>
        </row>
        <row r="6715">
          <cell r="C6715">
            <v>301105.5</v>
          </cell>
          <cell r="D6715" t="str">
            <v>NCG. 3205 2RS</v>
          </cell>
        </row>
        <row r="6716">
          <cell r="C6716">
            <v>511993</v>
          </cell>
          <cell r="D6716" t="str">
            <v>BALL 5/16"(IS:2898-1976)</v>
          </cell>
        </row>
        <row r="6717">
          <cell r="C6717">
            <v>101061.3</v>
          </cell>
          <cell r="D6717" t="str">
            <v>IR.5204 A-20°</v>
          </cell>
        </row>
        <row r="6718">
          <cell r="C6718">
            <v>201061.3</v>
          </cell>
          <cell r="D6718" t="str">
            <v>OR.5204 A-20°</v>
          </cell>
        </row>
        <row r="6719">
          <cell r="C6719">
            <v>301104.5</v>
          </cell>
          <cell r="D6719" t="str">
            <v>NCG. 3204 2RS</v>
          </cell>
        </row>
        <row r="6720">
          <cell r="C6720">
            <v>511993</v>
          </cell>
          <cell r="D6720" t="str">
            <v>BALL 5/16"(IS:2898-1976)</v>
          </cell>
        </row>
        <row r="6721">
          <cell r="C6721">
            <v>101061.4</v>
          </cell>
          <cell r="D6721" t="str">
            <v>IR.5205 A-20°</v>
          </cell>
        </row>
        <row r="6722">
          <cell r="C6722">
            <v>201061.4</v>
          </cell>
          <cell r="D6722" t="str">
            <v>OR.5205 A-20°</v>
          </cell>
        </row>
        <row r="6723">
          <cell r="C6723">
            <v>301105.5</v>
          </cell>
          <cell r="D6723" t="str">
            <v>NCG. 3205 2RS</v>
          </cell>
        </row>
        <row r="6724">
          <cell r="C6724">
            <v>511993</v>
          </cell>
          <cell r="D6724" t="str">
            <v>BALL 5/16"(IS:2898-1976)</v>
          </cell>
        </row>
        <row r="6725">
          <cell r="C6725">
            <v>701061.4</v>
          </cell>
          <cell r="D6725" t="str">
            <v>SNAP RING (SP 52)</v>
          </cell>
        </row>
        <row r="6726">
          <cell r="C6726">
            <v>101062</v>
          </cell>
          <cell r="D6726" t="str">
            <v>IR.ER23NCRLC</v>
          </cell>
        </row>
        <row r="6727">
          <cell r="C6727">
            <v>201062</v>
          </cell>
          <cell r="D6727" t="str">
            <v>OR.ER23NCRLC</v>
          </cell>
        </row>
        <row r="6728">
          <cell r="C6728">
            <v>309353.07</v>
          </cell>
          <cell r="D6728" t="str">
            <v>MCG. 6207</v>
          </cell>
        </row>
        <row r="6729">
          <cell r="C6729">
            <v>511193</v>
          </cell>
          <cell r="D6729" t="str">
            <v>BALL 7/16"(IS:2898-1976)</v>
          </cell>
        </row>
        <row r="6730">
          <cell r="C6730">
            <v>601062</v>
          </cell>
          <cell r="D6730" t="str">
            <v>G.SCREW 5/16"-24 UNFX6.0</v>
          </cell>
        </row>
        <row r="6731">
          <cell r="C6731">
            <v>701062</v>
          </cell>
          <cell r="D6731" t="str">
            <v>SEAL.6207</v>
          </cell>
        </row>
        <row r="6732">
          <cell r="C6732">
            <v>701062.01</v>
          </cell>
          <cell r="D6732" t="str">
            <v>MC.ER23NCRLC</v>
          </cell>
        </row>
        <row r="6733">
          <cell r="C6733">
            <v>701062.02</v>
          </cell>
          <cell r="D6733" t="str">
            <v>SNAP RING.ER23NCRLC</v>
          </cell>
        </row>
        <row r="6734">
          <cell r="C6734">
            <v>101063</v>
          </cell>
          <cell r="D6734" t="str">
            <v>IR.ER12NCRLC</v>
          </cell>
        </row>
        <row r="6735">
          <cell r="C6735">
            <v>201063</v>
          </cell>
          <cell r="D6735" t="str">
            <v>OR.ER12NCRLC</v>
          </cell>
        </row>
        <row r="6736">
          <cell r="C6736">
            <v>309353.03999999998</v>
          </cell>
          <cell r="D6736" t="str">
            <v>MCG. 6204</v>
          </cell>
        </row>
        <row r="6737">
          <cell r="C6737">
            <v>511993</v>
          </cell>
          <cell r="D6737" t="str">
            <v>BALL 5/16"(IS:2898-1976)</v>
          </cell>
        </row>
        <row r="6738">
          <cell r="C6738">
            <v>601063</v>
          </cell>
          <cell r="D6738" t="str">
            <v>G.SCREW 1/4"-28 UNFX6.2</v>
          </cell>
        </row>
        <row r="6739">
          <cell r="C6739">
            <v>701063</v>
          </cell>
          <cell r="D6739" t="str">
            <v>SEAL.6204</v>
          </cell>
        </row>
        <row r="6740">
          <cell r="C6740">
            <v>701063.01</v>
          </cell>
          <cell r="D6740" t="str">
            <v>MC.ER12NCRLC</v>
          </cell>
        </row>
        <row r="6741">
          <cell r="C6741">
            <v>701063.02</v>
          </cell>
          <cell r="D6741" t="str">
            <v>SNAP RING.ER12NCRLC</v>
          </cell>
        </row>
        <row r="6742">
          <cell r="C6742">
            <v>101064</v>
          </cell>
          <cell r="D6742" t="str">
            <v>IR.ER16NCRLC</v>
          </cell>
        </row>
        <row r="6743">
          <cell r="C6743">
            <v>201064</v>
          </cell>
          <cell r="D6743" t="str">
            <v>OR.ER16NCRLC</v>
          </cell>
        </row>
        <row r="6744">
          <cell r="C6744">
            <v>309353.05</v>
          </cell>
          <cell r="D6744" t="str">
            <v>MCG. 6205</v>
          </cell>
        </row>
        <row r="6745">
          <cell r="C6745">
            <v>511993</v>
          </cell>
          <cell r="D6745" t="str">
            <v>BALL 5/16"(IS:2898-1976)</v>
          </cell>
        </row>
        <row r="6746">
          <cell r="C6746">
            <v>601064</v>
          </cell>
          <cell r="D6746" t="str">
            <v>G.SCREW 1/4"-28 UNFX5.2</v>
          </cell>
        </row>
        <row r="6747">
          <cell r="C6747">
            <v>701064</v>
          </cell>
          <cell r="D6747" t="str">
            <v>SEAL.6205</v>
          </cell>
        </row>
        <row r="6748">
          <cell r="C6748">
            <v>701064.01</v>
          </cell>
          <cell r="D6748" t="str">
            <v>MC.ER16NCRLC</v>
          </cell>
        </row>
        <row r="6749">
          <cell r="C6749">
            <v>701064.02</v>
          </cell>
          <cell r="D6749" t="str">
            <v>SNAP RING.ER16NCRLC</v>
          </cell>
        </row>
        <row r="6750">
          <cell r="C6750">
            <v>101065</v>
          </cell>
          <cell r="D6750" t="str">
            <v>IR.ER19NCRLC</v>
          </cell>
        </row>
        <row r="6751">
          <cell r="C6751">
            <v>201065</v>
          </cell>
          <cell r="D6751" t="str">
            <v>OR.ER19NCRLC</v>
          </cell>
        </row>
        <row r="6752">
          <cell r="C6752">
            <v>309353.06</v>
          </cell>
          <cell r="D6752" t="str">
            <v>MCG. 6206</v>
          </cell>
        </row>
        <row r="6753">
          <cell r="C6753">
            <v>601063</v>
          </cell>
          <cell r="D6753" t="str">
            <v>G.SCREW 1/4"-28 UNFX6.2</v>
          </cell>
        </row>
        <row r="6754">
          <cell r="C6754">
            <v>701065</v>
          </cell>
          <cell r="D6754" t="str">
            <v>SEAL.6206</v>
          </cell>
        </row>
        <row r="6755">
          <cell r="C6755">
            <v>701065.01</v>
          </cell>
          <cell r="D6755" t="str">
            <v>MC.ER19NCRLC</v>
          </cell>
        </row>
        <row r="6756">
          <cell r="C6756">
            <v>701065.02</v>
          </cell>
          <cell r="D6756" t="str">
            <v>SNAP RING.ER19NCRLC</v>
          </cell>
        </row>
        <row r="6757">
          <cell r="C6757">
            <v>101066</v>
          </cell>
          <cell r="D6757" t="str">
            <v>IR.ER20NCRLC</v>
          </cell>
        </row>
        <row r="6758">
          <cell r="C6758">
            <v>201062</v>
          </cell>
          <cell r="D6758" t="str">
            <v>OR.ER23NCRLC</v>
          </cell>
        </row>
        <row r="6759">
          <cell r="C6759">
            <v>309353.07</v>
          </cell>
          <cell r="D6759" t="str">
            <v>MCG. 6207</v>
          </cell>
        </row>
        <row r="6760">
          <cell r="C6760">
            <v>511193</v>
          </cell>
          <cell r="D6760" t="str">
            <v>BALL 7/16"(IS:2898-1976)</v>
          </cell>
        </row>
        <row r="6761">
          <cell r="C6761">
            <v>601062</v>
          </cell>
          <cell r="D6761" t="str">
            <v>G.SCREW 5/16"-24 UNFX6.0</v>
          </cell>
        </row>
        <row r="6762">
          <cell r="C6762">
            <v>701062</v>
          </cell>
          <cell r="D6762" t="str">
            <v>SEAL.6207</v>
          </cell>
        </row>
        <row r="6763">
          <cell r="C6763">
            <v>701062.01</v>
          </cell>
          <cell r="D6763" t="str">
            <v>MC.ER23NCRLC</v>
          </cell>
        </row>
        <row r="6764">
          <cell r="C6764">
            <v>701062.02</v>
          </cell>
          <cell r="D6764" t="str">
            <v>SNAP RING.ER23NCRLC</v>
          </cell>
        </row>
        <row r="6765">
          <cell r="C6765">
            <v>101067</v>
          </cell>
          <cell r="D6765" t="str">
            <v>IR.ER31NCRLC</v>
          </cell>
        </row>
        <row r="6766">
          <cell r="C6766">
            <v>201067</v>
          </cell>
          <cell r="D6766" t="str">
            <v>OR.ER31NCRLC</v>
          </cell>
        </row>
        <row r="6767">
          <cell r="C6767">
            <v>309353.09999999998</v>
          </cell>
          <cell r="D6767" t="str">
            <v>MCG. 6210</v>
          </cell>
        </row>
        <row r="6768">
          <cell r="C6768">
            <v>601067</v>
          </cell>
          <cell r="D6768" t="str">
            <v>G.SCREW 5/16"-24 UNFX7.4</v>
          </cell>
        </row>
        <row r="6769">
          <cell r="C6769">
            <v>701067</v>
          </cell>
          <cell r="D6769" t="str">
            <v>SEAL.6210</v>
          </cell>
        </row>
        <row r="6770">
          <cell r="C6770">
            <v>701067.01</v>
          </cell>
          <cell r="D6770" t="str">
            <v>MC.ER31NCRLC</v>
          </cell>
        </row>
        <row r="6771">
          <cell r="C6771">
            <v>701067.02</v>
          </cell>
          <cell r="D6771" t="str">
            <v>SNAP RING.ER31NCRLC</v>
          </cell>
        </row>
        <row r="6772">
          <cell r="C6772">
            <v>101068</v>
          </cell>
          <cell r="D6772" t="str">
            <v>SEATING W.53203U</v>
          </cell>
        </row>
        <row r="6773">
          <cell r="C6773">
            <v>101068.01</v>
          </cell>
          <cell r="D6773" t="str">
            <v>SHAFT W.53203U</v>
          </cell>
        </row>
        <row r="6774">
          <cell r="C6774">
            <v>201068</v>
          </cell>
          <cell r="D6774" t="str">
            <v>HOUSING W.53203U</v>
          </cell>
        </row>
        <row r="6775">
          <cell r="C6775">
            <v>301068</v>
          </cell>
          <cell r="D6775" t="str">
            <v>CAGE.53203U</v>
          </cell>
        </row>
        <row r="6776">
          <cell r="C6776">
            <v>511182</v>
          </cell>
          <cell r="D6776" t="str">
            <v>BALL 1/4" (IS:2898-1976)</v>
          </cell>
        </row>
        <row r="6777">
          <cell r="C6777">
            <v>101069</v>
          </cell>
          <cell r="D6777" t="str">
            <v>IR.215514-2RS</v>
          </cell>
        </row>
        <row r="6778">
          <cell r="C6778">
            <v>201069</v>
          </cell>
          <cell r="D6778" t="str">
            <v>OR.215514-2RS</v>
          </cell>
        </row>
        <row r="6779">
          <cell r="C6779">
            <v>301069</v>
          </cell>
          <cell r="D6779" t="str">
            <v>NCG.215514-2RS</v>
          </cell>
        </row>
        <row r="6780">
          <cell r="C6780">
            <v>511181</v>
          </cell>
          <cell r="D6780" t="str">
            <v>BALL 15/32"(IS:2898-1976)</v>
          </cell>
        </row>
        <row r="6781">
          <cell r="C6781">
            <v>5221247</v>
          </cell>
          <cell r="D6781" t="str">
            <v>O G SHELL GADUS S2 V100 3</v>
          </cell>
        </row>
        <row r="6782">
          <cell r="C6782">
            <v>701069</v>
          </cell>
          <cell r="D6782" t="str">
            <v>SEAL.215514-2RS</v>
          </cell>
        </row>
        <row r="6783">
          <cell r="C6783">
            <v>701069.1</v>
          </cell>
          <cell r="D6783" t="str">
            <v>SNAP RING.215514-2RS</v>
          </cell>
        </row>
        <row r="6784">
          <cell r="C6784">
            <v>101049.41</v>
          </cell>
          <cell r="D6784" t="str">
            <v>NUTR.IR 20 A</v>
          </cell>
        </row>
        <row r="6785">
          <cell r="C6785">
            <v>201070</v>
          </cell>
          <cell r="D6785" t="str">
            <v>NUTR.OR 2052</v>
          </cell>
        </row>
        <row r="6786">
          <cell r="C6786">
            <v>511484</v>
          </cell>
          <cell r="D6786" t="str">
            <v>RO 5X8</v>
          </cell>
        </row>
        <row r="6787">
          <cell r="C6787">
            <v>601049.41</v>
          </cell>
          <cell r="D6787" t="str">
            <v>NUTR.W 20 A</v>
          </cell>
        </row>
        <row r="6788">
          <cell r="C6788">
            <v>701049.41</v>
          </cell>
          <cell r="D6788" t="str">
            <v>NUTR.SEAL 20 A</v>
          </cell>
        </row>
        <row r="6789">
          <cell r="C6789">
            <v>101049.01</v>
          </cell>
          <cell r="D6789" t="str">
            <v>NUTR.IR 45100 A</v>
          </cell>
        </row>
        <row r="6790">
          <cell r="C6790">
            <v>201071</v>
          </cell>
          <cell r="D6790" t="str">
            <v>NUTR.OR 45</v>
          </cell>
        </row>
        <row r="6791">
          <cell r="C6791">
            <v>511604.07</v>
          </cell>
          <cell r="D6791" t="str">
            <v>RO 7.5X11 BPM</v>
          </cell>
        </row>
        <row r="6792">
          <cell r="C6792">
            <v>601049.01</v>
          </cell>
          <cell r="D6792" t="str">
            <v>NUTR.W 45100 A</v>
          </cell>
        </row>
        <row r="6793">
          <cell r="C6793">
            <v>701049.01</v>
          </cell>
          <cell r="D6793" t="str">
            <v>NUTR.SEAL 45100 A</v>
          </cell>
        </row>
        <row r="6794">
          <cell r="C6794">
            <v>101049</v>
          </cell>
          <cell r="D6794" t="str">
            <v>NUTR.IR 40 A</v>
          </cell>
        </row>
        <row r="6795">
          <cell r="C6795">
            <v>201072</v>
          </cell>
          <cell r="D6795" t="str">
            <v>NUTR.OR 4090</v>
          </cell>
        </row>
        <row r="6796">
          <cell r="C6796">
            <v>511604.07</v>
          </cell>
          <cell r="D6796" t="str">
            <v>RO 7.5X11 BPM</v>
          </cell>
        </row>
        <row r="6797">
          <cell r="C6797">
            <v>601049</v>
          </cell>
          <cell r="D6797" t="str">
            <v>NUTR.W 40 A</v>
          </cell>
        </row>
        <row r="6798">
          <cell r="C6798">
            <v>701049</v>
          </cell>
          <cell r="D6798" t="str">
            <v>NUTR.SEAL 40 A</v>
          </cell>
        </row>
        <row r="6799">
          <cell r="C6799">
            <v>1421073</v>
          </cell>
          <cell r="D6799" t="str">
            <v>F00WJ009.0 MATERIAL</v>
          </cell>
        </row>
        <row r="6800">
          <cell r="C6800">
            <v>101074</v>
          </cell>
          <cell r="D6800" t="str">
            <v>BUSH.IR 80X89.943X41</v>
          </cell>
        </row>
        <row r="6801">
          <cell r="C6801">
            <v>101075</v>
          </cell>
          <cell r="D6801" t="str">
            <v>BUSH.IR 60X94X45.65</v>
          </cell>
        </row>
        <row r="6802">
          <cell r="C6802">
            <v>101076</v>
          </cell>
          <cell r="D6802" t="str">
            <v>BUSH.IR 67X77X54.16</v>
          </cell>
        </row>
        <row r="6803">
          <cell r="C6803">
            <v>301099</v>
          </cell>
          <cell r="D6803" t="str">
            <v>MCG 25X30X26</v>
          </cell>
        </row>
        <row r="6804">
          <cell r="C6804">
            <v>511446</v>
          </cell>
          <cell r="D6804" t="str">
            <v>RO 2.5X23.8</v>
          </cell>
        </row>
        <row r="6805">
          <cell r="C6805">
            <v>101100.5</v>
          </cell>
          <cell r="D6805" t="str">
            <v>IR. 3200</v>
          </cell>
        </row>
        <row r="6806">
          <cell r="C6806">
            <v>201100.5</v>
          </cell>
          <cell r="D6806" t="str">
            <v>OR. 3200</v>
          </cell>
        </row>
        <row r="6807">
          <cell r="C6807">
            <v>301100.5</v>
          </cell>
          <cell r="D6807" t="str">
            <v>NCG. 3200</v>
          </cell>
        </row>
        <row r="6808">
          <cell r="C6808">
            <v>101101.5</v>
          </cell>
          <cell r="D6808" t="str">
            <v>IR. 3201</v>
          </cell>
        </row>
        <row r="6809">
          <cell r="C6809">
            <v>201101.5</v>
          </cell>
          <cell r="D6809" t="str">
            <v>OR. 3201</v>
          </cell>
        </row>
        <row r="6810">
          <cell r="C6810">
            <v>301101.5</v>
          </cell>
          <cell r="D6810" t="str">
            <v>NCG. 3201</v>
          </cell>
        </row>
        <row r="6811">
          <cell r="C6811">
            <v>101102.5</v>
          </cell>
          <cell r="D6811" t="str">
            <v>IR. 3202 2RS</v>
          </cell>
        </row>
        <row r="6812">
          <cell r="C6812">
            <v>201102.5</v>
          </cell>
          <cell r="D6812" t="str">
            <v>OR. 3202 2RS</v>
          </cell>
        </row>
        <row r="6813">
          <cell r="C6813">
            <v>301102.5</v>
          </cell>
          <cell r="D6813" t="str">
            <v>NCG. 3202 2RS</v>
          </cell>
        </row>
        <row r="6814">
          <cell r="C6814">
            <v>511190</v>
          </cell>
          <cell r="D6814" t="str">
            <v>BALL 15/64"(IS:2898-1976</v>
          </cell>
        </row>
        <row r="6815">
          <cell r="C6815">
            <v>101102.5</v>
          </cell>
          <cell r="D6815" t="str">
            <v>IR. 3202 2RS</v>
          </cell>
        </row>
        <row r="6816">
          <cell r="C6816">
            <v>201102.5</v>
          </cell>
          <cell r="D6816" t="str">
            <v>OR. 3202 2RS</v>
          </cell>
        </row>
        <row r="6817">
          <cell r="C6817">
            <v>301102.5</v>
          </cell>
          <cell r="D6817" t="str">
            <v>NCG. 3202 2RS</v>
          </cell>
        </row>
        <row r="6818">
          <cell r="C6818">
            <v>511190</v>
          </cell>
          <cell r="D6818" t="str">
            <v>BALL 15/64"(IS:2898-1976</v>
          </cell>
        </row>
        <row r="6819">
          <cell r="C6819">
            <v>701102.5</v>
          </cell>
          <cell r="D6819" t="str">
            <v>SEAL. 3202 2RS</v>
          </cell>
        </row>
        <row r="6820">
          <cell r="C6820">
            <v>101103.5</v>
          </cell>
          <cell r="D6820" t="str">
            <v>IR. 3203 2RS</v>
          </cell>
        </row>
        <row r="6821">
          <cell r="C6821">
            <v>201103.5</v>
          </cell>
          <cell r="D6821" t="str">
            <v>OR. 3203 2RS</v>
          </cell>
        </row>
        <row r="6822">
          <cell r="C6822">
            <v>301103.5</v>
          </cell>
          <cell r="D6822" t="str">
            <v>NCG. 3203 2RS</v>
          </cell>
        </row>
        <row r="6823">
          <cell r="C6823">
            <v>501103.5</v>
          </cell>
          <cell r="D6823" t="str">
            <v>BALL 17/64"(IS:2898-1976)</v>
          </cell>
        </row>
        <row r="6824">
          <cell r="C6824">
            <v>101103.5</v>
          </cell>
          <cell r="D6824" t="str">
            <v>IR. 3203 2RS</v>
          </cell>
        </row>
        <row r="6825">
          <cell r="C6825">
            <v>201103.5</v>
          </cell>
          <cell r="D6825" t="str">
            <v>OR. 3203 2RS</v>
          </cell>
        </row>
        <row r="6826">
          <cell r="C6826">
            <v>301103.5</v>
          </cell>
          <cell r="D6826" t="str">
            <v>NCG. 3203 2RS</v>
          </cell>
        </row>
        <row r="6827">
          <cell r="C6827">
            <v>501103.5</v>
          </cell>
          <cell r="D6827" t="str">
            <v>BALL 17/64"(IS:2898-1976)</v>
          </cell>
        </row>
        <row r="6828">
          <cell r="C6828">
            <v>5221247</v>
          </cell>
          <cell r="D6828" t="str">
            <v>O G SHELL GADUS S2 V100 3</v>
          </cell>
        </row>
        <row r="6829">
          <cell r="C6829">
            <v>701103.5</v>
          </cell>
          <cell r="D6829" t="str">
            <v>SEAL. 3203 2RS</v>
          </cell>
        </row>
        <row r="6830">
          <cell r="C6830">
            <v>101104.5</v>
          </cell>
          <cell r="D6830" t="str">
            <v>IR. 3204 2RS</v>
          </cell>
        </row>
        <row r="6831">
          <cell r="C6831">
            <v>201104.5</v>
          </cell>
          <cell r="D6831" t="str">
            <v>OR. 3204 2RS</v>
          </cell>
        </row>
        <row r="6832">
          <cell r="C6832">
            <v>301104.5</v>
          </cell>
          <cell r="D6832" t="str">
            <v>NCG. 3204 2RS</v>
          </cell>
        </row>
        <row r="6833">
          <cell r="C6833">
            <v>511993</v>
          </cell>
          <cell r="D6833" t="str">
            <v>BALL 5/16"(IS:2898-1976)</v>
          </cell>
        </row>
        <row r="6834">
          <cell r="C6834">
            <v>101104.5</v>
          </cell>
          <cell r="D6834" t="str">
            <v>IR. 3204 2RS</v>
          </cell>
        </row>
        <row r="6835">
          <cell r="C6835">
            <v>201104.5</v>
          </cell>
          <cell r="D6835" t="str">
            <v>OR. 3204 2RS</v>
          </cell>
        </row>
        <row r="6836">
          <cell r="C6836">
            <v>301104.5</v>
          </cell>
          <cell r="D6836" t="str">
            <v>NCG. 3204 2RS</v>
          </cell>
        </row>
        <row r="6837">
          <cell r="C6837">
            <v>511993</v>
          </cell>
          <cell r="D6837" t="str">
            <v>BALL 5/16"(IS:2898-1976)</v>
          </cell>
        </row>
        <row r="6838">
          <cell r="C6838">
            <v>5221247</v>
          </cell>
          <cell r="D6838" t="str">
            <v>O G SHELL GADUS S2 V100 3</v>
          </cell>
        </row>
        <row r="6839">
          <cell r="C6839">
            <v>701104.5</v>
          </cell>
          <cell r="D6839" t="str">
            <v>SEAL. 3204 2RS</v>
          </cell>
        </row>
        <row r="6840">
          <cell r="C6840">
            <v>101104.7</v>
          </cell>
          <cell r="D6840" t="str">
            <v>IR.5204D1</v>
          </cell>
        </row>
        <row r="6841">
          <cell r="C6841">
            <v>201104.7</v>
          </cell>
          <cell r="D6841" t="str">
            <v>OR.5204D1</v>
          </cell>
        </row>
        <row r="6842">
          <cell r="C6842">
            <v>301104.5</v>
          </cell>
          <cell r="D6842" t="str">
            <v>NCG. 3204 2RS</v>
          </cell>
        </row>
        <row r="6843">
          <cell r="C6843">
            <v>511993</v>
          </cell>
          <cell r="D6843" t="str">
            <v>BALL 5/16"(IS:2898-1976)</v>
          </cell>
        </row>
        <row r="6844">
          <cell r="C6844">
            <v>101105</v>
          </cell>
          <cell r="D6844" t="str">
            <v>IR. 3205</v>
          </cell>
        </row>
        <row r="6845">
          <cell r="C6845">
            <v>201105</v>
          </cell>
          <cell r="D6845" t="str">
            <v>OR. 3205</v>
          </cell>
        </row>
        <row r="6846">
          <cell r="C6846">
            <v>301105.5</v>
          </cell>
          <cell r="D6846" t="str">
            <v>NCG. 3205 2RS</v>
          </cell>
        </row>
        <row r="6847">
          <cell r="C6847">
            <v>511993</v>
          </cell>
          <cell r="D6847" t="str">
            <v>BALL 5/16"(IS:2898-1976)</v>
          </cell>
        </row>
        <row r="6848">
          <cell r="C6848">
            <v>101106.5</v>
          </cell>
          <cell r="D6848" t="str">
            <v>IR. 3206 2RS</v>
          </cell>
        </row>
        <row r="6849">
          <cell r="C6849">
            <v>201106.5</v>
          </cell>
          <cell r="D6849" t="str">
            <v>OR. 3206 2RS</v>
          </cell>
        </row>
        <row r="6850">
          <cell r="C6850">
            <v>301106.5</v>
          </cell>
          <cell r="D6850" t="str">
            <v>NCG. 3206 2RS</v>
          </cell>
        </row>
        <row r="6851">
          <cell r="C6851">
            <v>511180</v>
          </cell>
          <cell r="D6851" t="str">
            <v>BALL 3/8"(IS:2898-1976)</v>
          </cell>
        </row>
        <row r="6852">
          <cell r="C6852">
            <v>101106.5</v>
          </cell>
          <cell r="D6852" t="str">
            <v>IR. 3206 2RS</v>
          </cell>
        </row>
        <row r="6853">
          <cell r="C6853">
            <v>201106.5</v>
          </cell>
          <cell r="D6853" t="str">
            <v>OR. 3206 2RS</v>
          </cell>
        </row>
        <row r="6854">
          <cell r="C6854">
            <v>301106.5</v>
          </cell>
          <cell r="D6854" t="str">
            <v>NCG. 3206 2RS</v>
          </cell>
        </row>
        <row r="6855">
          <cell r="C6855">
            <v>511180</v>
          </cell>
          <cell r="D6855" t="str">
            <v>BALL 3/8"(IS:2898-1976)</v>
          </cell>
        </row>
        <row r="6856">
          <cell r="C6856">
            <v>5221247</v>
          </cell>
          <cell r="D6856" t="str">
            <v>O G SHELL GADUS S2 V100 3</v>
          </cell>
        </row>
        <row r="6857">
          <cell r="C6857">
            <v>701106.5</v>
          </cell>
          <cell r="D6857" t="str">
            <v>SEAL. 3206 2RS</v>
          </cell>
        </row>
        <row r="6858">
          <cell r="C6858">
            <v>101107.5</v>
          </cell>
          <cell r="D6858" t="str">
            <v>IR. 3207 2RS</v>
          </cell>
        </row>
        <row r="6859">
          <cell r="C6859">
            <v>201107.5</v>
          </cell>
          <cell r="D6859" t="str">
            <v>OR. 3207 2RS</v>
          </cell>
        </row>
        <row r="6860">
          <cell r="C6860">
            <v>301107.5</v>
          </cell>
          <cell r="D6860" t="str">
            <v>NCG.3207 2RS</v>
          </cell>
        </row>
        <row r="6861">
          <cell r="C6861">
            <v>511193</v>
          </cell>
          <cell r="D6861" t="str">
            <v>BALL 7/16"(IS:2898-1976)</v>
          </cell>
        </row>
        <row r="6862">
          <cell r="C6862">
            <v>101107.5</v>
          </cell>
          <cell r="D6862" t="str">
            <v>IR. 3207 2RS</v>
          </cell>
        </row>
        <row r="6863">
          <cell r="C6863">
            <v>201107.5</v>
          </cell>
          <cell r="D6863" t="str">
            <v>OR. 3207 2RS</v>
          </cell>
        </row>
        <row r="6864">
          <cell r="C6864">
            <v>301107.5</v>
          </cell>
          <cell r="D6864" t="str">
            <v>NCG.3207 2RS</v>
          </cell>
        </row>
        <row r="6865">
          <cell r="C6865">
            <v>511193</v>
          </cell>
          <cell r="D6865" t="str">
            <v>BALL 7/16"(IS:2898-1976)</v>
          </cell>
        </row>
        <row r="6866">
          <cell r="C6866">
            <v>5221247</v>
          </cell>
          <cell r="D6866" t="str">
            <v>O G SHELL GADUS S2 V100 3</v>
          </cell>
        </row>
        <row r="6867">
          <cell r="C6867">
            <v>701107.5</v>
          </cell>
          <cell r="D6867" t="str">
            <v>SEAL. 3207 2RS</v>
          </cell>
        </row>
        <row r="6868">
          <cell r="C6868">
            <v>101108.5</v>
          </cell>
          <cell r="D6868" t="str">
            <v>IR. 3208 2RS</v>
          </cell>
        </row>
        <row r="6869">
          <cell r="C6869">
            <v>201108.5</v>
          </cell>
          <cell r="D6869" t="str">
            <v>OR. 3208 2RS</v>
          </cell>
        </row>
        <row r="6870">
          <cell r="C6870">
            <v>301108.5</v>
          </cell>
          <cell r="D6870" t="str">
            <v>NCG. 3208 2RS</v>
          </cell>
        </row>
        <row r="6871">
          <cell r="C6871">
            <v>511403</v>
          </cell>
          <cell r="D6871" t="str">
            <v>BALL 31/64"(IS:2898-1976)</v>
          </cell>
        </row>
        <row r="6872">
          <cell r="C6872">
            <v>101108.5</v>
          </cell>
          <cell r="D6872" t="str">
            <v>IR. 3208 2RS</v>
          </cell>
        </row>
        <row r="6873">
          <cell r="C6873">
            <v>201108.5</v>
          </cell>
          <cell r="D6873" t="str">
            <v>OR. 3208 2RS</v>
          </cell>
        </row>
        <row r="6874">
          <cell r="C6874">
            <v>301108.5</v>
          </cell>
          <cell r="D6874" t="str">
            <v>NCG. 3208 2RS</v>
          </cell>
        </row>
        <row r="6875">
          <cell r="C6875">
            <v>511403</v>
          </cell>
          <cell r="D6875" t="str">
            <v>BALL 31/64"(IS:2898-1976)</v>
          </cell>
        </row>
        <row r="6876">
          <cell r="C6876">
            <v>701108.5</v>
          </cell>
          <cell r="D6876" t="str">
            <v>SEAL. 3208 2RS</v>
          </cell>
        </row>
        <row r="6877">
          <cell r="C6877">
            <v>101109.5</v>
          </cell>
          <cell r="D6877" t="str">
            <v>IR. 3209</v>
          </cell>
        </row>
        <row r="6878">
          <cell r="C6878">
            <v>201109.5</v>
          </cell>
          <cell r="D6878" t="str">
            <v>OR. 3209</v>
          </cell>
        </row>
        <row r="6879">
          <cell r="C6879">
            <v>301109.5</v>
          </cell>
          <cell r="D6879" t="str">
            <v>NCG. 3209</v>
          </cell>
        </row>
        <row r="6880">
          <cell r="C6880">
            <v>511403</v>
          </cell>
          <cell r="D6880" t="str">
            <v>BALL 31/64"(IS:2898-1976)</v>
          </cell>
        </row>
        <row r="6881">
          <cell r="C6881">
            <v>101109.5</v>
          </cell>
          <cell r="D6881" t="str">
            <v>IR. 3209</v>
          </cell>
        </row>
        <row r="6882">
          <cell r="C6882">
            <v>201109.5</v>
          </cell>
          <cell r="D6882" t="str">
            <v>OR. 3209</v>
          </cell>
        </row>
        <row r="6883">
          <cell r="C6883">
            <v>301109.5</v>
          </cell>
          <cell r="D6883" t="str">
            <v>NCG. 3209</v>
          </cell>
        </row>
        <row r="6884">
          <cell r="C6884">
            <v>511403</v>
          </cell>
          <cell r="D6884" t="str">
            <v>BALL 31/64"(IS:2898-1976)</v>
          </cell>
        </row>
        <row r="6885">
          <cell r="C6885">
            <v>701109.5</v>
          </cell>
          <cell r="D6885" t="str">
            <v>SEAL. 3209 2RS</v>
          </cell>
        </row>
        <row r="6886">
          <cell r="C6886">
            <v>101110.5</v>
          </cell>
          <cell r="D6886" t="str">
            <v>IR. 3210</v>
          </cell>
        </row>
        <row r="6887">
          <cell r="C6887">
            <v>201110.5</v>
          </cell>
          <cell r="D6887" t="str">
            <v>OR. 3210</v>
          </cell>
        </row>
        <row r="6888">
          <cell r="C6888">
            <v>301110.5</v>
          </cell>
          <cell r="D6888" t="str">
            <v>NCG. 3210</v>
          </cell>
        </row>
        <row r="6889">
          <cell r="C6889">
            <v>511181</v>
          </cell>
          <cell r="D6889" t="str">
            <v>BALL 15/32"(IS:2898-1976)</v>
          </cell>
        </row>
        <row r="6890">
          <cell r="C6890">
            <v>101110.5</v>
          </cell>
          <cell r="D6890" t="str">
            <v>IR. 3210</v>
          </cell>
        </row>
        <row r="6891">
          <cell r="C6891">
            <v>201110.5</v>
          </cell>
          <cell r="D6891" t="str">
            <v>OR. 3210</v>
          </cell>
        </row>
        <row r="6892">
          <cell r="C6892">
            <v>301110.5</v>
          </cell>
          <cell r="D6892" t="str">
            <v>NCG. 3210</v>
          </cell>
        </row>
        <row r="6893">
          <cell r="C6893">
            <v>511181</v>
          </cell>
          <cell r="D6893" t="str">
            <v>BALL 15/32"(IS:2898-1976)</v>
          </cell>
        </row>
        <row r="6894">
          <cell r="C6894">
            <v>701110.5</v>
          </cell>
          <cell r="D6894" t="str">
            <v>SEAL. 3210 2RS</v>
          </cell>
        </row>
        <row r="6895">
          <cell r="C6895">
            <v>101111.5</v>
          </cell>
          <cell r="D6895" t="str">
            <v>IR. 3211</v>
          </cell>
        </row>
        <row r="6896">
          <cell r="C6896">
            <v>201111.5</v>
          </cell>
          <cell r="D6896" t="str">
            <v>OR. 3211</v>
          </cell>
        </row>
        <row r="6897">
          <cell r="C6897">
            <v>301111.5</v>
          </cell>
          <cell r="D6897" t="str">
            <v>NCG. 3211</v>
          </cell>
        </row>
        <row r="6898">
          <cell r="C6898">
            <v>511192</v>
          </cell>
          <cell r="D6898" t="str">
            <v>BALL 1/2" (IS:2898-1976)</v>
          </cell>
        </row>
        <row r="6899">
          <cell r="C6899">
            <v>101111.5</v>
          </cell>
          <cell r="D6899" t="str">
            <v>IR. 3211</v>
          </cell>
        </row>
        <row r="6900">
          <cell r="C6900">
            <v>201111.5</v>
          </cell>
          <cell r="D6900" t="str">
            <v>OR. 3211</v>
          </cell>
        </row>
        <row r="6901">
          <cell r="C6901">
            <v>301111.5</v>
          </cell>
          <cell r="D6901" t="str">
            <v>NCG. 3211</v>
          </cell>
        </row>
        <row r="6902">
          <cell r="C6902">
            <v>511192</v>
          </cell>
          <cell r="D6902" t="str">
            <v>BALL 1/2" (IS:2898-1976)</v>
          </cell>
        </row>
        <row r="6903">
          <cell r="C6903">
            <v>701111.5</v>
          </cell>
          <cell r="D6903" t="str">
            <v>SEAL. 3211 2RS</v>
          </cell>
        </row>
        <row r="6904">
          <cell r="C6904">
            <v>101112.5</v>
          </cell>
          <cell r="D6904" t="str">
            <v>IR. 3212</v>
          </cell>
        </row>
        <row r="6905">
          <cell r="C6905">
            <v>201112.5</v>
          </cell>
          <cell r="D6905" t="str">
            <v>OR. 3212</v>
          </cell>
        </row>
        <row r="6906">
          <cell r="C6906">
            <v>301112.5</v>
          </cell>
          <cell r="D6906" t="str">
            <v>NCG. 3212</v>
          </cell>
        </row>
        <row r="6907">
          <cell r="C6907">
            <v>101112.5</v>
          </cell>
          <cell r="D6907" t="str">
            <v>IR. 3212</v>
          </cell>
        </row>
        <row r="6908">
          <cell r="C6908">
            <v>201112.5</v>
          </cell>
          <cell r="D6908" t="str">
            <v>OR. 3212</v>
          </cell>
        </row>
        <row r="6909">
          <cell r="C6909">
            <v>301112.5</v>
          </cell>
          <cell r="D6909" t="str">
            <v>NCG. 3212</v>
          </cell>
        </row>
        <row r="6910">
          <cell r="C6910">
            <v>701112.5</v>
          </cell>
          <cell r="D6910" t="str">
            <v>SEAL. 3212 2RS</v>
          </cell>
        </row>
        <row r="6911">
          <cell r="C6911">
            <v>101113.5</v>
          </cell>
          <cell r="D6911" t="str">
            <v>IR. 3213</v>
          </cell>
        </row>
        <row r="6912">
          <cell r="C6912">
            <v>201113.5</v>
          </cell>
          <cell r="D6912" t="str">
            <v>OR. 3213</v>
          </cell>
        </row>
        <row r="6913">
          <cell r="C6913">
            <v>301113.5</v>
          </cell>
          <cell r="D6913" t="str">
            <v>NCG. 3213</v>
          </cell>
        </row>
        <row r="6914">
          <cell r="C6914">
            <v>101114.5</v>
          </cell>
          <cell r="D6914" t="str">
            <v>IR. 3214</v>
          </cell>
        </row>
        <row r="6915">
          <cell r="C6915">
            <v>201114.5</v>
          </cell>
          <cell r="D6915" t="str">
            <v>OR. 3214</v>
          </cell>
        </row>
        <row r="6916">
          <cell r="C6916">
            <v>301114.5</v>
          </cell>
          <cell r="D6916" t="str">
            <v>NCG. 3214</v>
          </cell>
        </row>
        <row r="6917">
          <cell r="C6917">
            <v>101115.5</v>
          </cell>
          <cell r="D6917" t="str">
            <v>IR. 3215</v>
          </cell>
        </row>
        <row r="6918">
          <cell r="C6918">
            <v>201115.5</v>
          </cell>
          <cell r="D6918" t="str">
            <v>OR. 3215</v>
          </cell>
        </row>
        <row r="6919">
          <cell r="C6919">
            <v>301115.5</v>
          </cell>
          <cell r="D6919" t="str">
            <v>NCG. 3215</v>
          </cell>
        </row>
        <row r="6920">
          <cell r="C6920">
            <v>101116.5</v>
          </cell>
          <cell r="D6920" t="str">
            <v>IR. 3302 2RS</v>
          </cell>
        </row>
        <row r="6921">
          <cell r="C6921">
            <v>201116.5</v>
          </cell>
          <cell r="D6921" t="str">
            <v>OR. 3302 2RS</v>
          </cell>
        </row>
        <row r="6922">
          <cell r="C6922">
            <v>301116.5</v>
          </cell>
          <cell r="D6922" t="str">
            <v>NCG. 3302 2RS</v>
          </cell>
        </row>
        <row r="6923">
          <cell r="C6923">
            <v>511993</v>
          </cell>
          <cell r="D6923" t="str">
            <v>BALL 5/16"(IS:2898-1976)</v>
          </cell>
        </row>
        <row r="6924">
          <cell r="C6924">
            <v>101117.5</v>
          </cell>
          <cell r="D6924" t="str">
            <v>IR. 3303 2RS</v>
          </cell>
        </row>
        <row r="6925">
          <cell r="C6925">
            <v>201117.5</v>
          </cell>
          <cell r="D6925" t="str">
            <v>OR. 3303 2RS</v>
          </cell>
        </row>
        <row r="6926">
          <cell r="C6926">
            <v>301117.5</v>
          </cell>
          <cell r="D6926" t="str">
            <v>NCG. 3303 2RS</v>
          </cell>
        </row>
        <row r="6927">
          <cell r="C6927">
            <v>101117.5</v>
          </cell>
          <cell r="D6927" t="str">
            <v>IR. 3303 2RS</v>
          </cell>
        </row>
        <row r="6928">
          <cell r="C6928">
            <v>201117.5</v>
          </cell>
          <cell r="D6928" t="str">
            <v>OR. 3303 2RS</v>
          </cell>
        </row>
        <row r="6929">
          <cell r="C6929">
            <v>301117.5</v>
          </cell>
          <cell r="D6929" t="str">
            <v>NCG. 3303 2RS</v>
          </cell>
        </row>
        <row r="6930">
          <cell r="C6930">
            <v>701117.5</v>
          </cell>
          <cell r="D6930" t="str">
            <v>SEAL. 3303 2RS</v>
          </cell>
        </row>
        <row r="6931">
          <cell r="C6931">
            <v>101118.5</v>
          </cell>
          <cell r="D6931" t="str">
            <v>IR. 3304 2RS</v>
          </cell>
        </row>
        <row r="6932">
          <cell r="C6932">
            <v>201118.5</v>
          </cell>
          <cell r="D6932" t="str">
            <v>OR. 3304 2RS</v>
          </cell>
        </row>
        <row r="6933">
          <cell r="C6933">
            <v>301118.5</v>
          </cell>
          <cell r="D6933" t="str">
            <v>NCG. 3304 2RS</v>
          </cell>
        </row>
        <row r="6934">
          <cell r="C6934">
            <v>101118.5</v>
          </cell>
          <cell r="D6934" t="str">
            <v>IR. 3304 2RS</v>
          </cell>
        </row>
        <row r="6935">
          <cell r="C6935">
            <v>201118.5</v>
          </cell>
          <cell r="D6935" t="str">
            <v>OR. 3304 2RS</v>
          </cell>
        </row>
        <row r="6936">
          <cell r="C6936">
            <v>301118.5</v>
          </cell>
          <cell r="D6936" t="str">
            <v>NCG. 3304 2RS</v>
          </cell>
        </row>
        <row r="6937">
          <cell r="C6937">
            <v>701118.5</v>
          </cell>
          <cell r="D6937" t="str">
            <v>SEAL. 3304 2RS</v>
          </cell>
        </row>
        <row r="6938">
          <cell r="C6938">
            <v>101119.5</v>
          </cell>
          <cell r="D6938" t="str">
            <v>IR. 3305 2RS</v>
          </cell>
        </row>
        <row r="6939">
          <cell r="C6939">
            <v>201119.5</v>
          </cell>
          <cell r="D6939" t="str">
            <v>OR. 3305 2RS</v>
          </cell>
        </row>
        <row r="6940">
          <cell r="C6940">
            <v>301119.5</v>
          </cell>
          <cell r="D6940" t="str">
            <v>NCG. 3305 2RS</v>
          </cell>
        </row>
        <row r="6941">
          <cell r="C6941">
            <v>511257</v>
          </cell>
          <cell r="D6941" t="str">
            <v>BALL 13/32"(IS:2898-1976)</v>
          </cell>
        </row>
        <row r="6942">
          <cell r="C6942">
            <v>101119.5</v>
          </cell>
          <cell r="D6942" t="str">
            <v>IR. 3305 2RS</v>
          </cell>
        </row>
        <row r="6943">
          <cell r="C6943">
            <v>201119.5</v>
          </cell>
          <cell r="D6943" t="str">
            <v>OR. 3305 2RS</v>
          </cell>
        </row>
        <row r="6944">
          <cell r="C6944">
            <v>301119.5</v>
          </cell>
          <cell r="D6944" t="str">
            <v>NCG. 3305 2RS</v>
          </cell>
        </row>
        <row r="6945">
          <cell r="C6945">
            <v>511257</v>
          </cell>
          <cell r="D6945" t="str">
            <v>BALL 13/32"(IS:2898-1976)</v>
          </cell>
        </row>
        <row r="6946">
          <cell r="C6946">
            <v>701119.5</v>
          </cell>
          <cell r="D6946" t="str">
            <v>SEAL. 3305 2RS</v>
          </cell>
        </row>
        <row r="6947">
          <cell r="C6947">
            <v>101120.5</v>
          </cell>
          <cell r="D6947" t="str">
            <v>IR. 3306 2RS</v>
          </cell>
        </row>
        <row r="6948">
          <cell r="C6948">
            <v>201120.5</v>
          </cell>
          <cell r="D6948" t="str">
            <v>OR. 3306 2RS</v>
          </cell>
        </row>
        <row r="6949">
          <cell r="C6949">
            <v>301120.5</v>
          </cell>
          <cell r="D6949" t="str">
            <v>NCG. 3306 2RS</v>
          </cell>
        </row>
        <row r="6950">
          <cell r="C6950">
            <v>511181</v>
          </cell>
          <cell r="D6950" t="str">
            <v>BALL 15/32"(IS:2898-1976)</v>
          </cell>
        </row>
        <row r="6951">
          <cell r="C6951">
            <v>101121.5</v>
          </cell>
          <cell r="D6951" t="str">
            <v>IR. 3307 2RS</v>
          </cell>
        </row>
        <row r="6952">
          <cell r="C6952">
            <v>201121.5</v>
          </cell>
          <cell r="D6952" t="str">
            <v>3307 2RS</v>
          </cell>
        </row>
        <row r="6953">
          <cell r="C6953">
            <v>301121.5</v>
          </cell>
          <cell r="D6953" t="str">
            <v>NCG. 3307 2RS</v>
          </cell>
        </row>
        <row r="6954">
          <cell r="C6954">
            <v>511237</v>
          </cell>
          <cell r="D6954" t="str">
            <v>BALL 17/32" (IS:2898-1976</v>
          </cell>
        </row>
        <row r="6955">
          <cell r="C6955">
            <v>101121.5</v>
          </cell>
          <cell r="D6955" t="str">
            <v>IR. 3307 2RS</v>
          </cell>
        </row>
        <row r="6956">
          <cell r="C6956">
            <v>201121.5</v>
          </cell>
          <cell r="D6956" t="str">
            <v>3307 2RS</v>
          </cell>
        </row>
        <row r="6957">
          <cell r="C6957">
            <v>301121.5</v>
          </cell>
          <cell r="D6957" t="str">
            <v>NCG. 3307 2RS</v>
          </cell>
        </row>
        <row r="6958">
          <cell r="C6958">
            <v>511237</v>
          </cell>
          <cell r="D6958" t="str">
            <v>BALL 17/32" (IS:2898-1976</v>
          </cell>
        </row>
        <row r="6959">
          <cell r="C6959">
            <v>701121.5</v>
          </cell>
          <cell r="D6959" t="str">
            <v>SEAL. 3307 2RS</v>
          </cell>
        </row>
        <row r="6960">
          <cell r="C6960">
            <v>101122.5</v>
          </cell>
          <cell r="D6960" t="str">
            <v>IR. 3308</v>
          </cell>
        </row>
        <row r="6961">
          <cell r="C6961">
            <v>201122.5</v>
          </cell>
          <cell r="D6961" t="str">
            <v>OR. 3308</v>
          </cell>
        </row>
        <row r="6962">
          <cell r="C6962">
            <v>301122.5</v>
          </cell>
          <cell r="D6962" t="str">
            <v>NCG. 3308</v>
          </cell>
        </row>
        <row r="6963">
          <cell r="C6963">
            <v>501122</v>
          </cell>
          <cell r="D6963" t="str">
            <v>BALL 19/32"(IS:2898-1976)</v>
          </cell>
        </row>
        <row r="6964">
          <cell r="C6964">
            <v>101122.5</v>
          </cell>
          <cell r="D6964" t="str">
            <v>IR. 3308</v>
          </cell>
        </row>
        <row r="6965">
          <cell r="C6965">
            <v>201122.5</v>
          </cell>
          <cell r="D6965" t="str">
            <v>OR. 3308</v>
          </cell>
        </row>
        <row r="6966">
          <cell r="C6966">
            <v>301122.5</v>
          </cell>
          <cell r="D6966" t="str">
            <v>NCG. 3308</v>
          </cell>
        </row>
        <row r="6967">
          <cell r="C6967">
            <v>501122</v>
          </cell>
          <cell r="D6967" t="str">
            <v>BALL 19/32"(IS:2898-1976)</v>
          </cell>
        </row>
        <row r="6968">
          <cell r="C6968">
            <v>701122.5</v>
          </cell>
          <cell r="D6968" t="str">
            <v>SEAL. 3308 2RS</v>
          </cell>
        </row>
        <row r="6969">
          <cell r="C6969">
            <v>101123.5</v>
          </cell>
          <cell r="D6969" t="str">
            <v>IR. 3309</v>
          </cell>
        </row>
        <row r="6970">
          <cell r="C6970">
            <v>201123.5</v>
          </cell>
          <cell r="D6970" t="str">
            <v>OR. 3309</v>
          </cell>
        </row>
        <row r="6971">
          <cell r="C6971">
            <v>301123.5</v>
          </cell>
          <cell r="D6971" t="str">
            <v>NCG. 3309</v>
          </cell>
        </row>
        <row r="6972">
          <cell r="C6972">
            <v>501123</v>
          </cell>
          <cell r="D6972" t="str">
            <v>BALL 21/32"(IS:2898-1976)</v>
          </cell>
        </row>
        <row r="6973">
          <cell r="C6973">
            <v>101123.5</v>
          </cell>
          <cell r="D6973" t="str">
            <v>IR. 3309</v>
          </cell>
        </row>
        <row r="6974">
          <cell r="C6974">
            <v>201123.5</v>
          </cell>
          <cell r="D6974" t="str">
            <v>OR. 3309</v>
          </cell>
        </row>
        <row r="6975">
          <cell r="C6975">
            <v>301123.5</v>
          </cell>
          <cell r="D6975" t="str">
            <v>NCG. 3309</v>
          </cell>
        </row>
        <row r="6976">
          <cell r="C6976">
            <v>501123</v>
          </cell>
          <cell r="D6976" t="str">
            <v>BALL 21/32"(IS:2898-1976)</v>
          </cell>
        </row>
        <row r="6977">
          <cell r="C6977">
            <v>701123.5</v>
          </cell>
          <cell r="D6977" t="str">
            <v>SEAL. 3309 2RS</v>
          </cell>
        </row>
        <row r="6978">
          <cell r="C6978">
            <v>101124.5</v>
          </cell>
          <cell r="D6978" t="str">
            <v>IR. 3310</v>
          </cell>
        </row>
        <row r="6979">
          <cell r="C6979">
            <v>201124.5</v>
          </cell>
          <cell r="D6979" t="str">
            <v>OR. 3310</v>
          </cell>
        </row>
        <row r="6980">
          <cell r="C6980">
            <v>301124.5</v>
          </cell>
          <cell r="D6980" t="str">
            <v>NCG. 3310</v>
          </cell>
        </row>
        <row r="6981">
          <cell r="C6981">
            <v>501124.5</v>
          </cell>
          <cell r="D6981" t="str">
            <v>BALL 3/4"(IS:2898-1976)</v>
          </cell>
        </row>
        <row r="6982">
          <cell r="C6982">
            <v>101124.5</v>
          </cell>
          <cell r="D6982" t="str">
            <v>IR. 3310</v>
          </cell>
        </row>
        <row r="6983">
          <cell r="C6983">
            <v>201124.5</v>
          </cell>
          <cell r="D6983" t="str">
            <v>OR. 3310</v>
          </cell>
        </row>
        <row r="6984">
          <cell r="C6984">
            <v>301124.5</v>
          </cell>
          <cell r="D6984" t="str">
            <v>NCG. 3310</v>
          </cell>
        </row>
        <row r="6985">
          <cell r="C6985">
            <v>501124.5</v>
          </cell>
          <cell r="D6985" t="str">
            <v>BALL 3/4"(IS:2898-1976)</v>
          </cell>
        </row>
        <row r="6986">
          <cell r="C6986">
            <v>701124.5</v>
          </cell>
          <cell r="D6986" t="str">
            <v>SEAL. 3310 2RS</v>
          </cell>
        </row>
        <row r="6987">
          <cell r="C6987">
            <v>101125.5</v>
          </cell>
          <cell r="D6987" t="str">
            <v>IR. 3311</v>
          </cell>
        </row>
        <row r="6988">
          <cell r="C6988">
            <v>201125.5</v>
          </cell>
          <cell r="D6988" t="str">
            <v>OR. 3311</v>
          </cell>
        </row>
        <row r="6989">
          <cell r="C6989">
            <v>301125.5</v>
          </cell>
          <cell r="D6989" t="str">
            <v>NCG. 3311</v>
          </cell>
        </row>
        <row r="6990">
          <cell r="C6990">
            <v>501154</v>
          </cell>
          <cell r="D6990" t="str">
            <v>BALL 25/32"(IS:2898-1976)</v>
          </cell>
        </row>
        <row r="6991">
          <cell r="C6991">
            <v>101125.5</v>
          </cell>
          <cell r="D6991" t="str">
            <v>IR. 3311</v>
          </cell>
        </row>
        <row r="6992">
          <cell r="C6992">
            <v>201125.5</v>
          </cell>
          <cell r="D6992" t="str">
            <v>OR. 3311</v>
          </cell>
        </row>
        <row r="6993">
          <cell r="C6993">
            <v>301125.5</v>
          </cell>
          <cell r="D6993" t="str">
            <v>NCG. 3311</v>
          </cell>
        </row>
        <row r="6994">
          <cell r="C6994">
            <v>701125.5</v>
          </cell>
          <cell r="D6994" t="str">
            <v>SEAL. 3311 2RS</v>
          </cell>
        </row>
        <row r="6995">
          <cell r="C6995">
            <v>101126.5</v>
          </cell>
          <cell r="D6995" t="str">
            <v>IR. 3312</v>
          </cell>
        </row>
        <row r="6996">
          <cell r="C6996">
            <v>201126.5</v>
          </cell>
          <cell r="D6996" t="str">
            <v>OR. 3312</v>
          </cell>
        </row>
        <row r="6997">
          <cell r="C6997">
            <v>301126.5</v>
          </cell>
          <cell r="D6997" t="str">
            <v>NCG. 3312</v>
          </cell>
        </row>
        <row r="6998">
          <cell r="C6998">
            <v>101126.5</v>
          </cell>
          <cell r="D6998" t="str">
            <v>IR. 3312</v>
          </cell>
        </row>
        <row r="6999">
          <cell r="C6999">
            <v>201126.5</v>
          </cell>
          <cell r="D6999" t="str">
            <v>OR. 3312</v>
          </cell>
        </row>
        <row r="7000">
          <cell r="C7000">
            <v>301126.5</v>
          </cell>
          <cell r="D7000" t="str">
            <v>NCG. 3312</v>
          </cell>
        </row>
        <row r="7001">
          <cell r="C7001">
            <v>701126.5</v>
          </cell>
          <cell r="D7001" t="str">
            <v>SEAL. 3312 2RS</v>
          </cell>
        </row>
        <row r="7002">
          <cell r="C7002">
            <v>101127.5</v>
          </cell>
          <cell r="D7002" t="str">
            <v>IR. 3313</v>
          </cell>
        </row>
        <row r="7003">
          <cell r="C7003">
            <v>201127.5</v>
          </cell>
          <cell r="D7003" t="str">
            <v>OR. 3313</v>
          </cell>
        </row>
        <row r="7004">
          <cell r="C7004">
            <v>301127.5</v>
          </cell>
          <cell r="D7004" t="str">
            <v>NCG. 3313</v>
          </cell>
        </row>
        <row r="7005">
          <cell r="C7005">
            <v>101128.5</v>
          </cell>
          <cell r="D7005" t="str">
            <v>IR. 3314</v>
          </cell>
        </row>
        <row r="7006">
          <cell r="C7006">
            <v>201128.5</v>
          </cell>
          <cell r="D7006" t="str">
            <v>OR. 3314</v>
          </cell>
        </row>
        <row r="7007">
          <cell r="C7007">
            <v>301128.5</v>
          </cell>
          <cell r="D7007" t="str">
            <v>NCG. 3314</v>
          </cell>
        </row>
        <row r="7008">
          <cell r="C7008">
            <v>101129</v>
          </cell>
          <cell r="D7008" t="str">
            <v>IR. 7200</v>
          </cell>
        </row>
        <row r="7009">
          <cell r="C7009">
            <v>201129</v>
          </cell>
          <cell r="D7009" t="str">
            <v>OR. 7200</v>
          </cell>
        </row>
        <row r="7010">
          <cell r="C7010">
            <v>301129</v>
          </cell>
          <cell r="D7010" t="str">
            <v>NCG. 7200</v>
          </cell>
        </row>
        <row r="7011">
          <cell r="C7011">
            <v>101130</v>
          </cell>
          <cell r="D7011" t="str">
            <v>IR. 7201</v>
          </cell>
        </row>
        <row r="7012">
          <cell r="C7012">
            <v>201130</v>
          </cell>
          <cell r="D7012" t="str">
            <v>OR. 7201</v>
          </cell>
        </row>
        <row r="7013">
          <cell r="C7013">
            <v>301130</v>
          </cell>
          <cell r="D7013" t="str">
            <v>NCG. 7201</v>
          </cell>
        </row>
        <row r="7014">
          <cell r="C7014">
            <v>101131</v>
          </cell>
          <cell r="D7014" t="str">
            <v>IR. 7202</v>
          </cell>
        </row>
        <row r="7015">
          <cell r="C7015">
            <v>201131</v>
          </cell>
          <cell r="D7015" t="str">
            <v>OR. 7202</v>
          </cell>
        </row>
        <row r="7016">
          <cell r="C7016">
            <v>301131</v>
          </cell>
          <cell r="D7016" t="str">
            <v>NCG. 7202</v>
          </cell>
        </row>
        <row r="7017">
          <cell r="C7017">
            <v>511182</v>
          </cell>
          <cell r="D7017" t="str">
            <v>BALL 1/4" (IS:2898-1976)</v>
          </cell>
        </row>
        <row r="7018">
          <cell r="C7018">
            <v>101132</v>
          </cell>
          <cell r="D7018" t="str">
            <v>IR. 7203</v>
          </cell>
        </row>
        <row r="7019">
          <cell r="C7019">
            <v>201132</v>
          </cell>
          <cell r="D7019" t="str">
            <v>OR. 7203</v>
          </cell>
        </row>
        <row r="7020">
          <cell r="C7020">
            <v>301132</v>
          </cell>
          <cell r="D7020" t="str">
            <v>NCG. 7203</v>
          </cell>
        </row>
        <row r="7021">
          <cell r="C7021">
            <v>501103.5</v>
          </cell>
          <cell r="D7021" t="str">
            <v>BALL 17/64"(IS:2898-1976)</v>
          </cell>
        </row>
        <row r="7022">
          <cell r="C7022">
            <v>101133</v>
          </cell>
          <cell r="D7022" t="str">
            <v>IR. 7204</v>
          </cell>
        </row>
        <row r="7023">
          <cell r="C7023">
            <v>201133</v>
          </cell>
          <cell r="D7023" t="str">
            <v>OR. 7204</v>
          </cell>
        </row>
        <row r="7024">
          <cell r="C7024">
            <v>301133</v>
          </cell>
          <cell r="D7024" t="str">
            <v>NCG. 7204</v>
          </cell>
        </row>
        <row r="7025">
          <cell r="C7025">
            <v>511993</v>
          </cell>
          <cell r="D7025" t="str">
            <v>BALL 5/16"(IS:2898-1976)</v>
          </cell>
        </row>
        <row r="7026">
          <cell r="C7026">
            <v>101134</v>
          </cell>
          <cell r="D7026" t="str">
            <v>IR. 7205</v>
          </cell>
        </row>
        <row r="7027">
          <cell r="C7027">
            <v>201134</v>
          </cell>
          <cell r="D7027" t="str">
            <v>OR. 7205</v>
          </cell>
        </row>
        <row r="7028">
          <cell r="C7028">
            <v>301134</v>
          </cell>
          <cell r="D7028" t="str">
            <v>NCG. 7205</v>
          </cell>
        </row>
        <row r="7029">
          <cell r="C7029">
            <v>511993</v>
          </cell>
          <cell r="D7029" t="str">
            <v>BALL 5/16"(IS:2898-1976)</v>
          </cell>
        </row>
        <row r="7030">
          <cell r="C7030">
            <v>101135</v>
          </cell>
          <cell r="D7030" t="str">
            <v>IR. 7206</v>
          </cell>
        </row>
        <row r="7031">
          <cell r="C7031">
            <v>201135</v>
          </cell>
          <cell r="D7031" t="str">
            <v>OR. 7206</v>
          </cell>
        </row>
        <row r="7032">
          <cell r="C7032">
            <v>301135</v>
          </cell>
          <cell r="D7032" t="str">
            <v>NCG. 7206</v>
          </cell>
        </row>
        <row r="7033">
          <cell r="C7033">
            <v>511180</v>
          </cell>
          <cell r="D7033" t="str">
            <v>BALL 3/8"(IS:2898-1976)</v>
          </cell>
        </row>
        <row r="7034">
          <cell r="C7034">
            <v>101136</v>
          </cell>
          <cell r="D7034" t="str">
            <v>IR. 7207</v>
          </cell>
        </row>
        <row r="7035">
          <cell r="C7035">
            <v>201136</v>
          </cell>
          <cell r="D7035" t="str">
            <v>OR. 7207</v>
          </cell>
        </row>
        <row r="7036">
          <cell r="C7036">
            <v>301136</v>
          </cell>
          <cell r="D7036" t="str">
            <v>NCG. 7207</v>
          </cell>
        </row>
        <row r="7037">
          <cell r="C7037">
            <v>511181</v>
          </cell>
          <cell r="D7037" t="str">
            <v>BALL 15/32"(IS:2898-1976)</v>
          </cell>
        </row>
        <row r="7038">
          <cell r="C7038">
            <v>101137</v>
          </cell>
          <cell r="D7038" t="str">
            <v>IR. 7208</v>
          </cell>
        </row>
        <row r="7039">
          <cell r="C7039">
            <v>201137</v>
          </cell>
          <cell r="D7039" t="str">
            <v>OR. 7208</v>
          </cell>
        </row>
        <row r="7040">
          <cell r="C7040">
            <v>301137</v>
          </cell>
          <cell r="D7040" t="str">
            <v>NCG. 7208</v>
          </cell>
        </row>
        <row r="7041">
          <cell r="C7041">
            <v>511192</v>
          </cell>
          <cell r="D7041" t="str">
            <v>BALL 1/2" (IS:2898-1976)</v>
          </cell>
        </row>
        <row r="7042">
          <cell r="C7042">
            <v>101138</v>
          </cell>
          <cell r="D7042" t="str">
            <v>IR. 7209</v>
          </cell>
        </row>
        <row r="7043">
          <cell r="C7043">
            <v>201138</v>
          </cell>
          <cell r="D7043" t="str">
            <v>OR. 7209</v>
          </cell>
        </row>
        <row r="7044">
          <cell r="C7044">
            <v>301138</v>
          </cell>
          <cell r="D7044" t="str">
            <v>NCG. 7209</v>
          </cell>
        </row>
        <row r="7045">
          <cell r="C7045">
            <v>511192</v>
          </cell>
          <cell r="D7045" t="str">
            <v>BALL 1/2" (IS:2898-1976)</v>
          </cell>
        </row>
        <row r="7046">
          <cell r="C7046">
            <v>101139</v>
          </cell>
          <cell r="D7046" t="str">
            <v>IR. 7210</v>
          </cell>
        </row>
        <row r="7047">
          <cell r="C7047">
            <v>201139</v>
          </cell>
          <cell r="D7047" t="str">
            <v>OR. 7210</v>
          </cell>
        </row>
        <row r="7048">
          <cell r="C7048">
            <v>301139</v>
          </cell>
          <cell r="D7048" t="str">
            <v>NCG. 7210</v>
          </cell>
        </row>
        <row r="7049">
          <cell r="C7049">
            <v>511192</v>
          </cell>
          <cell r="D7049" t="str">
            <v>BALL 1/2" (IS:2898-1976)</v>
          </cell>
        </row>
        <row r="7050">
          <cell r="C7050">
            <v>101140</v>
          </cell>
          <cell r="D7050" t="str">
            <v>IR. 7211</v>
          </cell>
        </row>
        <row r="7051">
          <cell r="C7051">
            <v>201140</v>
          </cell>
          <cell r="D7051" t="str">
            <v>OR. 7211</v>
          </cell>
        </row>
        <row r="7052">
          <cell r="C7052">
            <v>301140</v>
          </cell>
          <cell r="D7052" t="str">
            <v>NCG. 7211</v>
          </cell>
        </row>
        <row r="7053">
          <cell r="C7053">
            <v>511357</v>
          </cell>
          <cell r="D7053" t="str">
            <v>BALL 9/16" (IS:2898-1976)</v>
          </cell>
        </row>
        <row r="7054">
          <cell r="C7054">
            <v>101141</v>
          </cell>
          <cell r="D7054" t="str">
            <v>IR. 7212</v>
          </cell>
        </row>
        <row r="7055">
          <cell r="C7055">
            <v>201141</v>
          </cell>
          <cell r="D7055" t="str">
            <v>OR. 7212</v>
          </cell>
        </row>
        <row r="7056">
          <cell r="C7056">
            <v>301141</v>
          </cell>
          <cell r="D7056" t="str">
            <v>NCG. 7212</v>
          </cell>
        </row>
        <row r="7057">
          <cell r="C7057">
            <v>511296</v>
          </cell>
          <cell r="D7057" t="str">
            <v>BALL 5/8"</v>
          </cell>
        </row>
        <row r="7058">
          <cell r="C7058">
            <v>101142</v>
          </cell>
          <cell r="D7058" t="str">
            <v>IR. 7213</v>
          </cell>
        </row>
        <row r="7059">
          <cell r="C7059">
            <v>201142</v>
          </cell>
          <cell r="D7059" t="str">
            <v>OR. 7213</v>
          </cell>
        </row>
        <row r="7060">
          <cell r="C7060">
            <v>301142</v>
          </cell>
          <cell r="D7060" t="str">
            <v>NCG. 7213</v>
          </cell>
        </row>
        <row r="7061">
          <cell r="C7061">
            <v>501142</v>
          </cell>
          <cell r="D7061" t="str">
            <v>BALL 11/16"(IS:2898-1976)</v>
          </cell>
        </row>
        <row r="7062">
          <cell r="C7062">
            <v>101143</v>
          </cell>
          <cell r="D7062" t="str">
            <v>IR. 7214</v>
          </cell>
        </row>
        <row r="7063">
          <cell r="C7063">
            <v>201143</v>
          </cell>
          <cell r="D7063" t="str">
            <v>OR. 7214</v>
          </cell>
        </row>
        <row r="7064">
          <cell r="C7064">
            <v>301143</v>
          </cell>
          <cell r="D7064" t="str">
            <v>NCG. 7214</v>
          </cell>
        </row>
        <row r="7065">
          <cell r="C7065">
            <v>501142</v>
          </cell>
          <cell r="D7065" t="str">
            <v>BALL 11/16"(IS:2898-1976)</v>
          </cell>
        </row>
        <row r="7066">
          <cell r="C7066">
            <v>101144</v>
          </cell>
          <cell r="D7066" t="str">
            <v>IR. 7215</v>
          </cell>
        </row>
        <row r="7067">
          <cell r="C7067">
            <v>201144</v>
          </cell>
          <cell r="D7067" t="str">
            <v>OR. 7215</v>
          </cell>
        </row>
        <row r="7068">
          <cell r="C7068">
            <v>301144</v>
          </cell>
          <cell r="D7068" t="str">
            <v>NCG. 7215</v>
          </cell>
        </row>
        <row r="7069">
          <cell r="C7069">
            <v>501142</v>
          </cell>
          <cell r="D7069" t="str">
            <v>BALL 11/16"(IS:2898-1976)</v>
          </cell>
        </row>
        <row r="7070">
          <cell r="C7070">
            <v>101145</v>
          </cell>
          <cell r="D7070" t="str">
            <v>IR. 7301</v>
          </cell>
        </row>
        <row r="7071">
          <cell r="C7071">
            <v>201145</v>
          </cell>
          <cell r="D7071" t="str">
            <v>OR. 7301</v>
          </cell>
        </row>
        <row r="7072">
          <cell r="C7072">
            <v>301145</v>
          </cell>
          <cell r="D7072" t="str">
            <v>NCG. 7301</v>
          </cell>
        </row>
        <row r="7073">
          <cell r="C7073">
            <v>101146</v>
          </cell>
          <cell r="D7073" t="str">
            <v>IR. 7302</v>
          </cell>
        </row>
        <row r="7074">
          <cell r="C7074">
            <v>201146</v>
          </cell>
          <cell r="D7074" t="str">
            <v>OR. 7302</v>
          </cell>
        </row>
        <row r="7075">
          <cell r="C7075">
            <v>301146</v>
          </cell>
          <cell r="D7075" t="str">
            <v>NCG. 7302</v>
          </cell>
        </row>
        <row r="7076">
          <cell r="C7076">
            <v>511993</v>
          </cell>
          <cell r="D7076" t="str">
            <v>BALL 5/16"(IS:2898-1976)</v>
          </cell>
        </row>
        <row r="7077">
          <cell r="C7077">
            <v>101147</v>
          </cell>
          <cell r="D7077" t="str">
            <v>IR. 7303</v>
          </cell>
        </row>
        <row r="7078">
          <cell r="C7078">
            <v>201147</v>
          </cell>
          <cell r="D7078" t="str">
            <v>OR. 7303</v>
          </cell>
        </row>
        <row r="7079">
          <cell r="C7079">
            <v>301147</v>
          </cell>
          <cell r="D7079" t="str">
            <v>NCG. 7303</v>
          </cell>
        </row>
        <row r="7080">
          <cell r="C7080">
            <v>511180</v>
          </cell>
          <cell r="D7080" t="str">
            <v>BALL 3/8"(IS:2898-1976)</v>
          </cell>
        </row>
        <row r="7081">
          <cell r="C7081">
            <v>101148</v>
          </cell>
          <cell r="D7081" t="str">
            <v>IR. 7304</v>
          </cell>
        </row>
        <row r="7082">
          <cell r="C7082">
            <v>201148</v>
          </cell>
          <cell r="D7082" t="str">
            <v>OR. 7304</v>
          </cell>
        </row>
        <row r="7083">
          <cell r="C7083">
            <v>301148</v>
          </cell>
          <cell r="D7083" t="str">
            <v>NCG. 7304</v>
          </cell>
        </row>
        <row r="7084">
          <cell r="C7084">
            <v>511257</v>
          </cell>
          <cell r="D7084" t="str">
            <v>BALL 13/32"(IS:2898-1976)</v>
          </cell>
        </row>
        <row r="7085">
          <cell r="C7085">
            <v>101149</v>
          </cell>
          <cell r="D7085" t="str">
            <v>IR. 7305</v>
          </cell>
        </row>
        <row r="7086">
          <cell r="C7086">
            <v>201149</v>
          </cell>
          <cell r="D7086" t="str">
            <v>OR. 7305</v>
          </cell>
        </row>
        <row r="7087">
          <cell r="C7087">
            <v>301149</v>
          </cell>
          <cell r="D7087" t="str">
            <v>NCG. 7305</v>
          </cell>
        </row>
        <row r="7088">
          <cell r="C7088">
            <v>500355.1</v>
          </cell>
          <cell r="D7088" t="str">
            <v>BALL 29/64"(IS:2898-1976)</v>
          </cell>
        </row>
        <row r="7089">
          <cell r="C7089">
            <v>101150</v>
          </cell>
          <cell r="D7089" t="str">
            <v>IR. 7306</v>
          </cell>
        </row>
        <row r="7090">
          <cell r="C7090">
            <v>201150</v>
          </cell>
          <cell r="D7090" t="str">
            <v>OR. 7306</v>
          </cell>
        </row>
        <row r="7091">
          <cell r="C7091">
            <v>301150</v>
          </cell>
          <cell r="D7091" t="str">
            <v>NCG. 7306</v>
          </cell>
        </row>
        <row r="7092">
          <cell r="C7092">
            <v>511237</v>
          </cell>
          <cell r="D7092" t="str">
            <v>BALL 17/32" (IS:2898-1976</v>
          </cell>
        </row>
        <row r="7093">
          <cell r="C7093">
            <v>101151</v>
          </cell>
          <cell r="D7093" t="str">
            <v>IR. 7307</v>
          </cell>
        </row>
        <row r="7094">
          <cell r="C7094">
            <v>201151</v>
          </cell>
          <cell r="D7094" t="str">
            <v>OR. 7307</v>
          </cell>
        </row>
        <row r="7095">
          <cell r="C7095">
            <v>301151</v>
          </cell>
          <cell r="D7095" t="str">
            <v>NCG. 7307</v>
          </cell>
        </row>
        <row r="7096">
          <cell r="C7096">
            <v>511357</v>
          </cell>
          <cell r="D7096" t="str">
            <v>BALL 9/16" (IS:2898-1976)</v>
          </cell>
        </row>
        <row r="7097">
          <cell r="C7097">
            <v>101152</v>
          </cell>
          <cell r="D7097" t="str">
            <v>IR. 7308</v>
          </cell>
        </row>
        <row r="7098">
          <cell r="C7098">
            <v>201152</v>
          </cell>
          <cell r="D7098" t="str">
            <v>OR. 7308</v>
          </cell>
        </row>
        <row r="7099">
          <cell r="C7099">
            <v>301152</v>
          </cell>
          <cell r="D7099" t="str">
            <v>NCG. 7308</v>
          </cell>
        </row>
        <row r="7100">
          <cell r="C7100">
            <v>511296</v>
          </cell>
          <cell r="D7100" t="str">
            <v>BALL 5/8"</v>
          </cell>
        </row>
        <row r="7101">
          <cell r="C7101">
            <v>101153</v>
          </cell>
          <cell r="D7101" t="str">
            <v>IR. 7309</v>
          </cell>
        </row>
        <row r="7102">
          <cell r="C7102">
            <v>201153</v>
          </cell>
          <cell r="D7102" t="str">
            <v>OR. 7309</v>
          </cell>
        </row>
        <row r="7103">
          <cell r="C7103">
            <v>301153</v>
          </cell>
          <cell r="D7103" t="str">
            <v>NCG. 7309</v>
          </cell>
        </row>
        <row r="7104">
          <cell r="C7104">
            <v>501142</v>
          </cell>
          <cell r="D7104" t="str">
            <v>BALL 11/16"(IS:2898-1976)</v>
          </cell>
        </row>
        <row r="7105">
          <cell r="C7105">
            <v>101154</v>
          </cell>
          <cell r="D7105" t="str">
            <v>IR. 7310</v>
          </cell>
        </row>
        <row r="7106">
          <cell r="C7106">
            <v>201154</v>
          </cell>
          <cell r="D7106" t="str">
            <v>OR. 7310</v>
          </cell>
        </row>
        <row r="7107">
          <cell r="C7107">
            <v>301154</v>
          </cell>
          <cell r="D7107" t="str">
            <v>NCG.7310</v>
          </cell>
        </row>
        <row r="7108">
          <cell r="C7108">
            <v>501154</v>
          </cell>
          <cell r="D7108" t="str">
            <v>BALL 25/32"(IS:2898-1976)</v>
          </cell>
        </row>
        <row r="7109">
          <cell r="C7109">
            <v>101155</v>
          </cell>
          <cell r="D7109" t="str">
            <v>IR. 7311</v>
          </cell>
        </row>
        <row r="7110">
          <cell r="C7110">
            <v>201155</v>
          </cell>
          <cell r="D7110" t="str">
            <v>OR. 7311</v>
          </cell>
        </row>
        <row r="7111">
          <cell r="C7111">
            <v>301155</v>
          </cell>
          <cell r="D7111" t="str">
            <v>NCG. 7311</v>
          </cell>
        </row>
        <row r="7112">
          <cell r="C7112">
            <v>501155</v>
          </cell>
          <cell r="D7112" t="str">
            <v>BALL 27/32"(IS:2898-1976)</v>
          </cell>
        </row>
        <row r="7113">
          <cell r="C7113">
            <v>101156</v>
          </cell>
          <cell r="D7113" t="str">
            <v>IR. 7312</v>
          </cell>
        </row>
        <row r="7114">
          <cell r="C7114">
            <v>201156</v>
          </cell>
          <cell r="D7114" t="str">
            <v>OR. 7312</v>
          </cell>
        </row>
        <row r="7115">
          <cell r="C7115">
            <v>301156</v>
          </cell>
          <cell r="D7115" t="str">
            <v>NCG. 7312</v>
          </cell>
        </row>
        <row r="7116">
          <cell r="C7116">
            <v>501156</v>
          </cell>
          <cell r="D7116" t="str">
            <v>BALL 15/16"(IS:2898-1976)</v>
          </cell>
        </row>
        <row r="7117">
          <cell r="C7117">
            <v>101157</v>
          </cell>
          <cell r="D7117" t="str">
            <v>IR. 7313</v>
          </cell>
        </row>
        <row r="7118">
          <cell r="C7118">
            <v>201157</v>
          </cell>
          <cell r="D7118" t="str">
            <v>OR. 7313</v>
          </cell>
        </row>
        <row r="7119">
          <cell r="C7119">
            <v>301157</v>
          </cell>
          <cell r="D7119" t="str">
            <v>NCG. 7313</v>
          </cell>
        </row>
        <row r="7120">
          <cell r="C7120">
            <v>501157</v>
          </cell>
          <cell r="D7120" t="str">
            <v>BALL 1"(IS:2898-1976)</v>
          </cell>
        </row>
        <row r="7121">
          <cell r="C7121">
            <v>101158</v>
          </cell>
          <cell r="D7121" t="str">
            <v>IR.62206 2RS</v>
          </cell>
        </row>
        <row r="7122">
          <cell r="C7122">
            <v>201158</v>
          </cell>
          <cell r="D7122" t="str">
            <v>OR.62206 2RS</v>
          </cell>
        </row>
        <row r="7123">
          <cell r="C7123">
            <v>301158</v>
          </cell>
          <cell r="D7123" t="str">
            <v>NCG.62206 2RS</v>
          </cell>
        </row>
        <row r="7124">
          <cell r="C7124">
            <v>511180</v>
          </cell>
          <cell r="D7124" t="str">
            <v>BALL 3/8"(IS:2898-1976)</v>
          </cell>
        </row>
        <row r="7125">
          <cell r="C7125">
            <v>5221247</v>
          </cell>
          <cell r="D7125" t="str">
            <v>O G SHELL GADUS S2 V100 3</v>
          </cell>
        </row>
        <row r="7126">
          <cell r="C7126">
            <v>701158</v>
          </cell>
          <cell r="D7126" t="str">
            <v>SEAL.62206 2RS</v>
          </cell>
        </row>
        <row r="7127">
          <cell r="C7127">
            <v>101159</v>
          </cell>
          <cell r="D7127" t="str">
            <v>IR.62205 2RS</v>
          </cell>
        </row>
        <row r="7128">
          <cell r="C7128">
            <v>201159</v>
          </cell>
          <cell r="D7128" t="str">
            <v>OR.62205 2RS</v>
          </cell>
        </row>
        <row r="7129">
          <cell r="C7129">
            <v>301105.5</v>
          </cell>
          <cell r="D7129" t="str">
            <v>NCG. 3205 2RS</v>
          </cell>
        </row>
        <row r="7130">
          <cell r="C7130">
            <v>511993</v>
          </cell>
          <cell r="D7130" t="str">
            <v>BALL 5/16"(IS:2898-1976)</v>
          </cell>
        </row>
        <row r="7131">
          <cell r="C7131">
            <v>5221247</v>
          </cell>
          <cell r="D7131" t="str">
            <v>O G SHELL GADUS S2 V100 3</v>
          </cell>
        </row>
        <row r="7132">
          <cell r="C7132">
            <v>701159</v>
          </cell>
          <cell r="D7132" t="str">
            <v>SEAL.62205 2RS</v>
          </cell>
        </row>
        <row r="7133">
          <cell r="C7133">
            <v>101160</v>
          </cell>
          <cell r="D7133" t="str">
            <v>IR.6205 2RS</v>
          </cell>
        </row>
        <row r="7134">
          <cell r="C7134">
            <v>201160</v>
          </cell>
          <cell r="D7134" t="str">
            <v>OR.6205 2RS</v>
          </cell>
        </row>
        <row r="7135">
          <cell r="C7135">
            <v>301105.5</v>
          </cell>
          <cell r="D7135" t="str">
            <v>NCG. 3205 2RS</v>
          </cell>
        </row>
        <row r="7136">
          <cell r="C7136">
            <v>511993</v>
          </cell>
          <cell r="D7136" t="str">
            <v>BALL 5/16"(IS:2898-1976)</v>
          </cell>
        </row>
        <row r="7137">
          <cell r="C7137">
            <v>5221247</v>
          </cell>
          <cell r="D7137" t="str">
            <v>O G SHELL GADUS S2 V100 3</v>
          </cell>
        </row>
        <row r="7138">
          <cell r="C7138">
            <v>701159</v>
          </cell>
          <cell r="D7138" t="str">
            <v>SEAL.62205 2RS</v>
          </cell>
        </row>
        <row r="7139">
          <cell r="C7139">
            <v>101161</v>
          </cell>
          <cell r="D7139" t="str">
            <v>IR.63005 2RS</v>
          </cell>
        </row>
        <row r="7140">
          <cell r="C7140">
            <v>201161</v>
          </cell>
          <cell r="D7140" t="str">
            <v>OR.63005 2RS</v>
          </cell>
        </row>
        <row r="7141">
          <cell r="C7141">
            <v>301161</v>
          </cell>
          <cell r="D7141" t="str">
            <v>NCG.63005 2RS</v>
          </cell>
        </row>
        <row r="7142">
          <cell r="C7142">
            <v>501103.5</v>
          </cell>
          <cell r="D7142" t="str">
            <v>BALL 17/64"(IS:2898-1976)</v>
          </cell>
        </row>
        <row r="7143">
          <cell r="C7143">
            <v>5221247</v>
          </cell>
          <cell r="D7143" t="str">
            <v>O G SHELL GADUS S2 V100 3</v>
          </cell>
        </row>
        <row r="7144">
          <cell r="C7144">
            <v>701161</v>
          </cell>
          <cell r="D7144" t="str">
            <v>SEAL.63005 2RS</v>
          </cell>
        </row>
        <row r="7145">
          <cell r="C7145">
            <v>101162</v>
          </cell>
          <cell r="D7145" t="str">
            <v>IR.2205E 2RS</v>
          </cell>
        </row>
        <row r="7146">
          <cell r="C7146">
            <v>201162</v>
          </cell>
          <cell r="D7146" t="str">
            <v>OR.2205E 2RS</v>
          </cell>
        </row>
        <row r="7147">
          <cell r="C7147">
            <v>301162</v>
          </cell>
          <cell r="D7147" t="str">
            <v>NCG.2205E 2RS</v>
          </cell>
        </row>
        <row r="7148">
          <cell r="C7148">
            <v>501162</v>
          </cell>
          <cell r="D7148" t="str">
            <v>BALL 7.50MM</v>
          </cell>
        </row>
        <row r="7149">
          <cell r="C7149">
            <v>5221247</v>
          </cell>
          <cell r="D7149" t="str">
            <v>O G SHELL GADUS S2 V100 3</v>
          </cell>
        </row>
        <row r="7150">
          <cell r="C7150">
            <v>701162</v>
          </cell>
          <cell r="D7150" t="str">
            <v>SEAL.2205E 2RS</v>
          </cell>
        </row>
        <row r="7151">
          <cell r="C7151">
            <v>101163</v>
          </cell>
          <cell r="D7151" t="str">
            <v>IR. 7314B TN9</v>
          </cell>
        </row>
        <row r="7152">
          <cell r="C7152">
            <v>201163</v>
          </cell>
          <cell r="D7152" t="str">
            <v>OR. 7314B TN9</v>
          </cell>
        </row>
        <row r="7153">
          <cell r="C7153">
            <v>301163</v>
          </cell>
          <cell r="D7153" t="str">
            <v>NCG. 7314B TN9</v>
          </cell>
        </row>
        <row r="7154">
          <cell r="C7154">
            <v>501163</v>
          </cell>
          <cell r="D7154" t="str">
            <v>BALL 26.800MM</v>
          </cell>
        </row>
        <row r="7155">
          <cell r="C7155">
            <v>101164</v>
          </cell>
          <cell r="D7155" t="str">
            <v>IR. 7315B TN9</v>
          </cell>
        </row>
        <row r="7156">
          <cell r="C7156">
            <v>201164</v>
          </cell>
          <cell r="D7156" t="str">
            <v>OR. 7315B TN9</v>
          </cell>
        </row>
        <row r="7157">
          <cell r="C7157">
            <v>301164</v>
          </cell>
          <cell r="D7157" t="str">
            <v>NCG. 7315B TN9</v>
          </cell>
        </row>
        <row r="7158">
          <cell r="C7158">
            <v>501164</v>
          </cell>
          <cell r="D7158" t="str">
            <v>BALL 1" 1/16"</v>
          </cell>
        </row>
        <row r="7159">
          <cell r="C7159">
            <v>101165</v>
          </cell>
          <cell r="D7159" t="str">
            <v>MCA.IR 4420</v>
          </cell>
        </row>
        <row r="7160">
          <cell r="C7160">
            <v>511405</v>
          </cell>
          <cell r="D7160" t="str">
            <v>RO 6X10 (BPM)</v>
          </cell>
        </row>
        <row r="7161">
          <cell r="C7161">
            <v>911165</v>
          </cell>
          <cell r="D7161" t="str">
            <v>MCA.SLEEVE 4420</v>
          </cell>
        </row>
        <row r="7162">
          <cell r="C7162">
            <v>201168</v>
          </cell>
          <cell r="D7162" t="str">
            <v>MSA.OR 4290</v>
          </cell>
        </row>
        <row r="7163">
          <cell r="C7163">
            <v>301169</v>
          </cell>
          <cell r="D7163" t="str">
            <v>MSA.NCG 4290</v>
          </cell>
        </row>
        <row r="7164">
          <cell r="C7164">
            <v>511993</v>
          </cell>
          <cell r="D7164" t="str">
            <v>BALL 5/16"(IS:2898-1976)</v>
          </cell>
        </row>
        <row r="7165">
          <cell r="C7165">
            <v>501170</v>
          </cell>
          <cell r="D7165" t="str">
            <v>RO 3X15.8 BR</v>
          </cell>
        </row>
        <row r="7166">
          <cell r="C7166">
            <v>201171</v>
          </cell>
          <cell r="D7166" t="str">
            <v>NKXR.OR 20-Z</v>
          </cell>
        </row>
        <row r="7167">
          <cell r="C7167">
            <v>309579</v>
          </cell>
          <cell r="D7167" t="str">
            <v>NCG 81104</v>
          </cell>
        </row>
        <row r="7168">
          <cell r="C7168">
            <v>309887.01</v>
          </cell>
          <cell r="D7168" t="str">
            <v>NK.MCG 20/20</v>
          </cell>
        </row>
        <row r="7169">
          <cell r="C7169">
            <v>511209.01</v>
          </cell>
          <cell r="D7169" t="str">
            <v>RO 2.5X16.8</v>
          </cell>
        </row>
        <row r="7170">
          <cell r="C7170">
            <v>511579</v>
          </cell>
          <cell r="D7170" t="str">
            <v>RO 4.5X4.5</v>
          </cell>
        </row>
        <row r="7171">
          <cell r="C7171">
            <v>5221208.0199999996</v>
          </cell>
          <cell r="D7171" t="str">
            <v>O Centoplex BE41 103BH</v>
          </cell>
        </row>
        <row r="7172">
          <cell r="C7172">
            <v>601171</v>
          </cell>
          <cell r="D7172" t="str">
            <v>NKXR.W 20-Z</v>
          </cell>
        </row>
        <row r="7173">
          <cell r="C7173">
            <v>701196</v>
          </cell>
          <cell r="D7173" t="str">
            <v>NKX.COVER 20</v>
          </cell>
        </row>
        <row r="7174">
          <cell r="C7174">
            <v>201172</v>
          </cell>
          <cell r="D7174" t="str">
            <v>NKXR.OR 25-Z</v>
          </cell>
        </row>
        <row r="7175">
          <cell r="C7175">
            <v>309580</v>
          </cell>
          <cell r="D7175" t="str">
            <v>NCG 81105</v>
          </cell>
        </row>
        <row r="7176">
          <cell r="C7176">
            <v>309891.01</v>
          </cell>
          <cell r="D7176" t="str">
            <v>NK.MCG 25/20</v>
          </cell>
        </row>
        <row r="7177">
          <cell r="C7177">
            <v>511209.01</v>
          </cell>
          <cell r="D7177" t="str">
            <v>RO 2.5X16.8</v>
          </cell>
        </row>
        <row r="7178">
          <cell r="C7178">
            <v>511410</v>
          </cell>
          <cell r="D7178" t="str">
            <v>RO 5X5 BPM</v>
          </cell>
        </row>
        <row r="7179">
          <cell r="C7179">
            <v>5221208.0199999996</v>
          </cell>
          <cell r="D7179" t="str">
            <v>O Centoplex BE41 103BH</v>
          </cell>
        </row>
        <row r="7180">
          <cell r="C7180">
            <v>601172</v>
          </cell>
          <cell r="D7180" t="str">
            <v>NKXR.W 25-Z</v>
          </cell>
        </row>
        <row r="7181">
          <cell r="C7181">
            <v>701200</v>
          </cell>
          <cell r="D7181" t="str">
            <v>NAX.MCOVER 2530Z</v>
          </cell>
        </row>
        <row r="7182">
          <cell r="C7182">
            <v>201173</v>
          </cell>
          <cell r="D7182" t="str">
            <v>NKXR.OR 30-Z</v>
          </cell>
        </row>
        <row r="7183">
          <cell r="C7183">
            <v>309581</v>
          </cell>
          <cell r="D7183" t="str">
            <v>NCG 81106</v>
          </cell>
        </row>
        <row r="7184">
          <cell r="C7184">
            <v>309913.01</v>
          </cell>
          <cell r="D7184" t="str">
            <v>NK.MCG 30/20</v>
          </cell>
        </row>
        <row r="7185">
          <cell r="C7185">
            <v>511410</v>
          </cell>
          <cell r="D7185" t="str">
            <v>RO 5X5 BPM</v>
          </cell>
        </row>
        <row r="7186">
          <cell r="C7186">
            <v>511819.01</v>
          </cell>
          <cell r="D7186" t="str">
            <v>RO 3X15.8</v>
          </cell>
        </row>
        <row r="7187">
          <cell r="C7187">
            <v>5221208.0199999996</v>
          </cell>
          <cell r="D7187" t="str">
            <v>O Centoplex BE41 103BH</v>
          </cell>
        </row>
        <row r="7188">
          <cell r="C7188">
            <v>601173</v>
          </cell>
          <cell r="D7188" t="str">
            <v>NKXR.W 30-Z</v>
          </cell>
        </row>
        <row r="7189">
          <cell r="C7189">
            <v>701197</v>
          </cell>
          <cell r="D7189" t="str">
            <v>NKX.COVER 30</v>
          </cell>
        </row>
        <row r="7190">
          <cell r="C7190">
            <v>201174</v>
          </cell>
          <cell r="D7190" t="str">
            <v>NKXR.OR 40-Z</v>
          </cell>
        </row>
        <row r="7191">
          <cell r="C7191">
            <v>309583</v>
          </cell>
          <cell r="D7191" t="str">
            <v>NCG 81108</v>
          </cell>
        </row>
        <row r="7192">
          <cell r="C7192">
            <v>309827.01</v>
          </cell>
          <cell r="D7192" t="str">
            <v>NKI.MCG 35/20(NK 40/20)</v>
          </cell>
        </row>
        <row r="7193">
          <cell r="C7193">
            <v>511461</v>
          </cell>
          <cell r="D7193" t="str">
            <v>RO 6X6</v>
          </cell>
        </row>
        <row r="7194">
          <cell r="C7194">
            <v>511819.01</v>
          </cell>
          <cell r="D7194" t="str">
            <v>RO 3X15.8</v>
          </cell>
        </row>
        <row r="7195">
          <cell r="C7195">
            <v>5221208.0199999996</v>
          </cell>
          <cell r="D7195" t="str">
            <v>O Centoplex BE41 103BH</v>
          </cell>
        </row>
        <row r="7196">
          <cell r="C7196">
            <v>601174</v>
          </cell>
          <cell r="D7196" t="str">
            <v>NKXR.W 40-Z</v>
          </cell>
        </row>
        <row r="7197">
          <cell r="C7197">
            <v>701199</v>
          </cell>
          <cell r="D7197" t="str">
            <v>NKX.COVER 40</v>
          </cell>
        </row>
        <row r="7198">
          <cell r="C7198">
            <v>201175</v>
          </cell>
          <cell r="D7198" t="str">
            <v>NKXR.OR 45-Z</v>
          </cell>
        </row>
        <row r="7199">
          <cell r="C7199">
            <v>309584</v>
          </cell>
          <cell r="D7199" t="str">
            <v>NCG 81109</v>
          </cell>
        </row>
        <row r="7200">
          <cell r="C7200">
            <v>309831.01</v>
          </cell>
          <cell r="D7200" t="str">
            <v>NKI.MCG 40/20(NK 45/20)</v>
          </cell>
        </row>
        <row r="7201">
          <cell r="C7201">
            <v>511461</v>
          </cell>
          <cell r="D7201" t="str">
            <v>RO 6X6</v>
          </cell>
        </row>
        <row r="7202">
          <cell r="C7202">
            <v>511819.01</v>
          </cell>
          <cell r="D7202" t="str">
            <v>RO 3X15.8</v>
          </cell>
        </row>
        <row r="7203">
          <cell r="C7203">
            <v>5221208.0199999996</v>
          </cell>
          <cell r="D7203" t="str">
            <v>O Centoplex BE41 103BH</v>
          </cell>
        </row>
        <row r="7204">
          <cell r="C7204">
            <v>601175</v>
          </cell>
          <cell r="D7204" t="str">
            <v>NKXR.W 45-Z</v>
          </cell>
        </row>
        <row r="7205">
          <cell r="C7205">
            <v>701175</v>
          </cell>
          <cell r="D7205" t="str">
            <v>NKXR.COVER 45-Z</v>
          </cell>
        </row>
        <row r="7206">
          <cell r="C7206">
            <v>301176</v>
          </cell>
          <cell r="D7206" t="str">
            <v>K.MCG 29X34X17 T</v>
          </cell>
        </row>
        <row r="7207">
          <cell r="C7207">
            <v>511130</v>
          </cell>
          <cell r="D7207" t="str">
            <v>RO 2.5X13.8</v>
          </cell>
        </row>
        <row r="7208">
          <cell r="C7208">
            <v>301177</v>
          </cell>
          <cell r="D7208" t="str">
            <v>K.MCG 20X26X17 T</v>
          </cell>
        </row>
        <row r="7209">
          <cell r="C7209">
            <v>501177</v>
          </cell>
          <cell r="D7209" t="str">
            <v>RO 3X14.8 BPER</v>
          </cell>
        </row>
        <row r="7210">
          <cell r="C7210">
            <v>301178</v>
          </cell>
          <cell r="D7210" t="str">
            <v>K.MCG 16X22X16 T</v>
          </cell>
        </row>
        <row r="7211">
          <cell r="C7211">
            <v>501178</v>
          </cell>
          <cell r="D7211" t="str">
            <v>RO 3X12.8 BPMER</v>
          </cell>
        </row>
        <row r="7212">
          <cell r="C7212">
            <v>301179</v>
          </cell>
          <cell r="D7212" t="str">
            <v>K.MCG 35X40X22 T</v>
          </cell>
        </row>
        <row r="7213">
          <cell r="C7213">
            <v>511325.01</v>
          </cell>
          <cell r="D7213" t="str">
            <v>RO 2.5X17.8</v>
          </cell>
        </row>
        <row r="7214">
          <cell r="C7214">
            <v>301180</v>
          </cell>
          <cell r="D7214" t="str">
            <v>K.MCG 72X80X20 T</v>
          </cell>
        </row>
        <row r="7215">
          <cell r="C7215">
            <v>511436</v>
          </cell>
          <cell r="D7215" t="str">
            <v>RO 4X15.8 (CRA)</v>
          </cell>
        </row>
        <row r="7216">
          <cell r="C7216">
            <v>101181</v>
          </cell>
          <cell r="D7216" t="str">
            <v>MAA.IR 8270</v>
          </cell>
        </row>
        <row r="7217">
          <cell r="C7217">
            <v>201181</v>
          </cell>
          <cell r="D7217" t="str">
            <v>MAA.OR 8270</v>
          </cell>
        </row>
        <row r="7218">
          <cell r="C7218">
            <v>301181</v>
          </cell>
          <cell r="D7218" t="str">
            <v>MAA.NCG 8270</v>
          </cell>
        </row>
        <row r="7219">
          <cell r="C7219">
            <v>511257</v>
          </cell>
          <cell r="D7219" t="str">
            <v>BALL 13/32"(IS:2898-1976)</v>
          </cell>
        </row>
        <row r="7220">
          <cell r="C7220">
            <v>601181</v>
          </cell>
          <cell r="D7220" t="str">
            <v>MAA.COVER 8270</v>
          </cell>
        </row>
        <row r="7221">
          <cell r="C7221">
            <v>601181.01</v>
          </cell>
          <cell r="D7221" t="str">
            <v>MAA.SLEEVE 8270</v>
          </cell>
        </row>
        <row r="7222">
          <cell r="C7222">
            <v>601181.02</v>
          </cell>
          <cell r="D7222" t="str">
            <v>MAA.WAVE WASHER 8270</v>
          </cell>
        </row>
        <row r="7223">
          <cell r="C7223">
            <v>701181</v>
          </cell>
          <cell r="D7223" t="str">
            <v>MAA.BOTTOM SEAL 8270</v>
          </cell>
        </row>
        <row r="7224">
          <cell r="C7224">
            <v>701181.01</v>
          </cell>
          <cell r="D7224" t="str">
            <v>MAA.TOP SEAL 8270</v>
          </cell>
        </row>
        <row r="7225">
          <cell r="C7225">
            <v>301182</v>
          </cell>
          <cell r="D7225" t="str">
            <v>K.MCG 55.562x65.120x19.05</v>
          </cell>
        </row>
        <row r="7226">
          <cell r="C7226">
            <v>501182</v>
          </cell>
          <cell r="D7226" t="str">
            <v>RO 4.779X15.8 BP</v>
          </cell>
        </row>
        <row r="7227">
          <cell r="C7227">
            <v>301183</v>
          </cell>
          <cell r="D7227" t="str">
            <v>K.MCG 55.562x65.120x25.40</v>
          </cell>
        </row>
        <row r="7228">
          <cell r="C7228">
            <v>501183</v>
          </cell>
          <cell r="D7228" t="str">
            <v>RO 4.779X22.20 BP</v>
          </cell>
        </row>
        <row r="7229">
          <cell r="C7229">
            <v>201193</v>
          </cell>
          <cell r="D7229" t="str">
            <v>NKX.OR 12</v>
          </cell>
        </row>
        <row r="7230">
          <cell r="C7230">
            <v>201193.01</v>
          </cell>
          <cell r="D7230" t="str">
            <v>NKX.WASHER 12</v>
          </cell>
        </row>
        <row r="7231">
          <cell r="C7231">
            <v>301070.01</v>
          </cell>
          <cell r="D7231" t="str">
            <v>NCG.NCG 51101</v>
          </cell>
        </row>
        <row r="7232">
          <cell r="C7232">
            <v>309807.01</v>
          </cell>
          <cell r="D7232" t="str">
            <v>NKI.MCG 9/16(NK 12/16)</v>
          </cell>
        </row>
        <row r="7233">
          <cell r="C7233">
            <v>511170</v>
          </cell>
          <cell r="D7233" t="str">
            <v>BALL 3/16" (IS:2898-1976)</v>
          </cell>
        </row>
        <row r="7234">
          <cell r="C7234">
            <v>511807.01</v>
          </cell>
          <cell r="D7234" t="str">
            <v>RO 2X12.8</v>
          </cell>
        </row>
        <row r="7235">
          <cell r="C7235">
            <v>5221208.0199999996</v>
          </cell>
          <cell r="D7235" t="str">
            <v>O Centoplex BE41 103BH</v>
          </cell>
        </row>
        <row r="7236">
          <cell r="C7236">
            <v>701193</v>
          </cell>
          <cell r="D7236" t="str">
            <v>NKX.COVER 12</v>
          </cell>
        </row>
        <row r="7237">
          <cell r="C7237">
            <v>201194</v>
          </cell>
          <cell r="D7237" t="str">
            <v>NKX.OR 15-Z-TV</v>
          </cell>
        </row>
        <row r="7238">
          <cell r="C7238">
            <v>201194.01</v>
          </cell>
          <cell r="D7238" t="str">
            <v>NKX.WASHER 15-Z-TV</v>
          </cell>
        </row>
        <row r="7239">
          <cell r="C7239">
            <v>301070.02</v>
          </cell>
          <cell r="D7239" t="str">
            <v>NCG.NCG 51102</v>
          </cell>
        </row>
        <row r="7240">
          <cell r="C7240">
            <v>309880.01</v>
          </cell>
          <cell r="D7240" t="str">
            <v>NK.MCG 15/16</v>
          </cell>
        </row>
        <row r="7241">
          <cell r="C7241">
            <v>511170</v>
          </cell>
          <cell r="D7241" t="str">
            <v>BALL 3/16" (IS:2898-1976)</v>
          </cell>
        </row>
        <row r="7242">
          <cell r="C7242">
            <v>511270.01</v>
          </cell>
          <cell r="D7242" t="str">
            <v>RO 2.5X12.8</v>
          </cell>
        </row>
        <row r="7243">
          <cell r="C7243">
            <v>5221208.0199999996</v>
          </cell>
          <cell r="D7243" t="str">
            <v>O Centoplex BE41 103BH</v>
          </cell>
        </row>
        <row r="7244">
          <cell r="C7244">
            <v>701194</v>
          </cell>
          <cell r="D7244" t="str">
            <v>NKX.COVER 15-Z-TV</v>
          </cell>
        </row>
        <row r="7245">
          <cell r="C7245">
            <v>201195</v>
          </cell>
          <cell r="D7245" t="str">
            <v>NKX.OR 17</v>
          </cell>
        </row>
        <row r="7246">
          <cell r="C7246">
            <v>201195.01</v>
          </cell>
          <cell r="D7246" t="str">
            <v>NKX.WASHER 17</v>
          </cell>
        </row>
        <row r="7247">
          <cell r="C7247">
            <v>301070.03000000003</v>
          </cell>
          <cell r="D7247" t="str">
            <v>NCG.NCG 51103</v>
          </cell>
        </row>
        <row r="7248">
          <cell r="C7248">
            <v>309882.01</v>
          </cell>
          <cell r="D7248" t="str">
            <v>NK.MCG 17/16</v>
          </cell>
        </row>
        <row r="7249">
          <cell r="C7249">
            <v>511170</v>
          </cell>
          <cell r="D7249" t="str">
            <v>BALL 3/16" (IS:2898-1976)</v>
          </cell>
        </row>
        <row r="7250">
          <cell r="C7250">
            <v>511270.01</v>
          </cell>
          <cell r="D7250" t="str">
            <v>RO 2.5X12.8</v>
          </cell>
        </row>
        <row r="7251">
          <cell r="C7251">
            <v>5221208.0199999996</v>
          </cell>
          <cell r="D7251" t="str">
            <v>O Centoplex BE41 103BH</v>
          </cell>
        </row>
        <row r="7252">
          <cell r="C7252">
            <v>701195</v>
          </cell>
          <cell r="D7252" t="str">
            <v>NKX.COVER 17</v>
          </cell>
        </row>
        <row r="7253">
          <cell r="C7253">
            <v>201196</v>
          </cell>
          <cell r="D7253" t="str">
            <v>NKX.OR 20</v>
          </cell>
        </row>
        <row r="7254">
          <cell r="C7254">
            <v>201196.01</v>
          </cell>
          <cell r="D7254" t="str">
            <v>NKX.WASHER 20</v>
          </cell>
        </row>
        <row r="7255">
          <cell r="C7255">
            <v>301070.03999999998</v>
          </cell>
          <cell r="D7255" t="str">
            <v>NCG.NCG 51104</v>
          </cell>
        </row>
        <row r="7256">
          <cell r="C7256">
            <v>309887.01</v>
          </cell>
          <cell r="D7256" t="str">
            <v>NK.MCG 20/20</v>
          </cell>
        </row>
        <row r="7257">
          <cell r="C7257">
            <v>511209.01</v>
          </cell>
          <cell r="D7257" t="str">
            <v>RO 2.5X16.8</v>
          </cell>
        </row>
        <row r="7258">
          <cell r="C7258">
            <v>511464</v>
          </cell>
          <cell r="D7258" t="str">
            <v>BALL 7/32"(IS:2898-1976)</v>
          </cell>
        </row>
        <row r="7259">
          <cell r="C7259">
            <v>5221208.0199999996</v>
          </cell>
          <cell r="D7259" t="str">
            <v>O Centoplex BE41 103BH</v>
          </cell>
        </row>
        <row r="7260">
          <cell r="C7260">
            <v>701196</v>
          </cell>
          <cell r="D7260" t="str">
            <v>NKX.COVER 20</v>
          </cell>
        </row>
        <row r="7261">
          <cell r="C7261">
            <v>201197</v>
          </cell>
          <cell r="D7261" t="str">
            <v>NKX.OR 30</v>
          </cell>
        </row>
        <row r="7262">
          <cell r="C7262">
            <v>201197.01</v>
          </cell>
          <cell r="D7262" t="str">
            <v>NKX.WASHER 30</v>
          </cell>
        </row>
        <row r="7263">
          <cell r="C7263">
            <v>301070.06</v>
          </cell>
          <cell r="D7263" t="str">
            <v>NCG.NCG 51106</v>
          </cell>
        </row>
        <row r="7264">
          <cell r="C7264">
            <v>309913.01</v>
          </cell>
          <cell r="D7264" t="str">
            <v>NK.MCG 30/20</v>
          </cell>
        </row>
        <row r="7265">
          <cell r="C7265">
            <v>511464</v>
          </cell>
          <cell r="D7265" t="str">
            <v>BALL 7/32"(IS:2898-1976)</v>
          </cell>
        </row>
        <row r="7266">
          <cell r="C7266">
            <v>511819.01</v>
          </cell>
          <cell r="D7266" t="str">
            <v>RO 3X15.8</v>
          </cell>
        </row>
        <row r="7267">
          <cell r="C7267">
            <v>5221208.0199999996</v>
          </cell>
          <cell r="D7267" t="str">
            <v>O Centoplex BE41 103BH</v>
          </cell>
        </row>
        <row r="7268">
          <cell r="C7268">
            <v>701197</v>
          </cell>
          <cell r="D7268" t="str">
            <v>NKX.COVER 30</v>
          </cell>
        </row>
        <row r="7269">
          <cell r="C7269">
            <v>201198</v>
          </cell>
          <cell r="D7269" t="str">
            <v>NKX.OR 35</v>
          </cell>
        </row>
        <row r="7270">
          <cell r="C7270">
            <v>201198.01</v>
          </cell>
          <cell r="D7270" t="str">
            <v>NKX.WASHER 35</v>
          </cell>
        </row>
        <row r="7271">
          <cell r="C7271">
            <v>301070.07</v>
          </cell>
          <cell r="D7271" t="str">
            <v>NCG.NCG 51107</v>
          </cell>
        </row>
        <row r="7272">
          <cell r="C7272">
            <v>309823.01</v>
          </cell>
          <cell r="D7272" t="str">
            <v>NKI.MCG 30/20(NK 35/20)</v>
          </cell>
        </row>
        <row r="7273">
          <cell r="C7273">
            <v>511182</v>
          </cell>
          <cell r="D7273" t="str">
            <v>BALL 1/4" (IS:2898-1976)</v>
          </cell>
        </row>
        <row r="7274">
          <cell r="C7274">
            <v>511819.01</v>
          </cell>
          <cell r="D7274" t="str">
            <v>RO 3X15.8</v>
          </cell>
        </row>
        <row r="7275">
          <cell r="C7275">
            <v>5221208.0199999996</v>
          </cell>
          <cell r="D7275" t="str">
            <v>O Centoplex BE41 103BH</v>
          </cell>
        </row>
        <row r="7276">
          <cell r="C7276">
            <v>701198</v>
          </cell>
          <cell r="D7276" t="str">
            <v>NKX.COVER 35</v>
          </cell>
        </row>
        <row r="7277">
          <cell r="C7277">
            <v>201199</v>
          </cell>
          <cell r="D7277" t="str">
            <v>NKX.OR 40</v>
          </cell>
        </row>
        <row r="7278">
          <cell r="C7278">
            <v>201199.01</v>
          </cell>
          <cell r="D7278" t="str">
            <v>NKX.WASHER 40</v>
          </cell>
        </row>
        <row r="7279">
          <cell r="C7279">
            <v>301070.08000000002</v>
          </cell>
          <cell r="D7279" t="str">
            <v>NCG.NCG 51108</v>
          </cell>
        </row>
        <row r="7280">
          <cell r="C7280">
            <v>309827.01</v>
          </cell>
          <cell r="D7280" t="str">
            <v>NKI.MCG 35/20(NK 40/20)</v>
          </cell>
        </row>
        <row r="7281">
          <cell r="C7281">
            <v>511197</v>
          </cell>
          <cell r="D7281" t="str">
            <v>BALL 9/32"</v>
          </cell>
        </row>
        <row r="7282">
          <cell r="C7282">
            <v>511819.01</v>
          </cell>
          <cell r="D7282" t="str">
            <v>RO 3X15.8</v>
          </cell>
        </row>
        <row r="7283">
          <cell r="C7283">
            <v>5221208.0199999996</v>
          </cell>
          <cell r="D7283" t="str">
            <v>O Centoplex BE41 103BH</v>
          </cell>
        </row>
        <row r="7284">
          <cell r="C7284">
            <v>701199</v>
          </cell>
          <cell r="D7284" t="str">
            <v>NKX.COVER 40</v>
          </cell>
        </row>
        <row r="7285">
          <cell r="C7285">
            <v>201200</v>
          </cell>
          <cell r="D7285" t="str">
            <v>NAX.OR 2530Z</v>
          </cell>
        </row>
        <row r="7286">
          <cell r="C7286">
            <v>201200.01</v>
          </cell>
          <cell r="D7286" t="str">
            <v>NAX.WASHER 2530Z</v>
          </cell>
        </row>
        <row r="7287">
          <cell r="C7287">
            <v>301200.01</v>
          </cell>
          <cell r="D7287" t="str">
            <v>NAX.BCG 2530Z</v>
          </cell>
        </row>
        <row r="7288">
          <cell r="C7288">
            <v>309891.01</v>
          </cell>
          <cell r="D7288" t="str">
            <v>NK.MCG 25/20</v>
          </cell>
        </row>
        <row r="7289">
          <cell r="C7289">
            <v>511182</v>
          </cell>
          <cell r="D7289" t="str">
            <v>BALL 1/4" (IS:2898-1976)</v>
          </cell>
        </row>
        <row r="7290">
          <cell r="C7290">
            <v>511209.01</v>
          </cell>
          <cell r="D7290" t="str">
            <v>RO 2.5X16.8</v>
          </cell>
        </row>
        <row r="7291">
          <cell r="C7291">
            <v>701200</v>
          </cell>
          <cell r="D7291" t="str">
            <v>NAX.MCOVER 2530Z</v>
          </cell>
        </row>
        <row r="7292">
          <cell r="C7292">
            <v>101201</v>
          </cell>
          <cell r="D7292" t="str">
            <v>T.W 51106 WITH COVER</v>
          </cell>
        </row>
        <row r="7293">
          <cell r="C7293">
            <v>201201</v>
          </cell>
          <cell r="D7293" t="str">
            <v>B.W 51106 WITH COVER</v>
          </cell>
        </row>
        <row r="7294">
          <cell r="C7294">
            <v>301201</v>
          </cell>
          <cell r="D7294" t="str">
            <v>MCG.51106 WITH COVER</v>
          </cell>
        </row>
        <row r="7295">
          <cell r="C7295">
            <v>501201</v>
          </cell>
          <cell r="D7295" t="str">
            <v>BALL6.000mm(IS:2898-1976)</v>
          </cell>
        </row>
        <row r="7296">
          <cell r="C7296">
            <v>701201</v>
          </cell>
          <cell r="D7296" t="str">
            <v>COVER.51106 WITH COVER</v>
          </cell>
        </row>
        <row r="7297">
          <cell r="C7297">
            <v>101202</v>
          </cell>
          <cell r="D7297" t="str">
            <v>IR.FIAUJ019.0</v>
          </cell>
        </row>
        <row r="7298">
          <cell r="C7298">
            <v>201202</v>
          </cell>
          <cell r="D7298" t="str">
            <v>GEAR.FIAUJ019.0</v>
          </cell>
        </row>
        <row r="7299">
          <cell r="C7299">
            <v>511212</v>
          </cell>
          <cell r="D7299" t="str">
            <v>RO 4X4</v>
          </cell>
        </row>
        <row r="7300">
          <cell r="C7300">
            <v>511410</v>
          </cell>
          <cell r="D7300" t="str">
            <v>RO 5X5 BPM</v>
          </cell>
        </row>
        <row r="7301">
          <cell r="C7301">
            <v>5221318</v>
          </cell>
          <cell r="D7301" t="str">
            <v>O ISOFLEX LDS18 SPECIAL</v>
          </cell>
        </row>
        <row r="7302">
          <cell r="C7302">
            <v>601202</v>
          </cell>
          <cell r="D7302" t="str">
            <v>RIVET.FIAUJ019.0</v>
          </cell>
        </row>
        <row r="7303">
          <cell r="C7303">
            <v>601202.1</v>
          </cell>
          <cell r="D7303" t="str">
            <v>SPRING.FIAUJ019.0</v>
          </cell>
        </row>
        <row r="7304">
          <cell r="C7304">
            <v>701202</v>
          </cell>
          <cell r="D7304" t="str">
            <v>BEARING COVER.FIAUJ019.0</v>
          </cell>
        </row>
        <row r="7305">
          <cell r="C7305">
            <v>101202</v>
          </cell>
          <cell r="D7305" t="str">
            <v>IR.FIAUJ019.0</v>
          </cell>
        </row>
        <row r="7306">
          <cell r="C7306">
            <v>201202</v>
          </cell>
          <cell r="D7306" t="str">
            <v>GEAR.FIAUJ019.0</v>
          </cell>
        </row>
        <row r="7307">
          <cell r="C7307">
            <v>511212</v>
          </cell>
          <cell r="D7307" t="str">
            <v>RO 4X4</v>
          </cell>
        </row>
        <row r="7308">
          <cell r="C7308">
            <v>511410</v>
          </cell>
          <cell r="D7308" t="str">
            <v>RO 5X5 BPM</v>
          </cell>
        </row>
        <row r="7309">
          <cell r="C7309">
            <v>5221318</v>
          </cell>
          <cell r="D7309" t="str">
            <v>O ISOFLEX LDS18 SPECIAL</v>
          </cell>
        </row>
        <row r="7310">
          <cell r="C7310">
            <v>601202</v>
          </cell>
          <cell r="D7310" t="str">
            <v>RIVET.FIAUJ019.0</v>
          </cell>
        </row>
        <row r="7311">
          <cell r="C7311">
            <v>601202.1</v>
          </cell>
          <cell r="D7311" t="str">
            <v>SPRING.FIAUJ019.0</v>
          </cell>
        </row>
        <row r="7312">
          <cell r="C7312">
            <v>701202</v>
          </cell>
          <cell r="D7312" t="str">
            <v>BEARING COVER.FIAUJ019.0</v>
          </cell>
        </row>
        <row r="7313">
          <cell r="C7313">
            <v>201203.1</v>
          </cell>
          <cell r="D7313" t="str">
            <v>N.OR 1788</v>
          </cell>
        </row>
        <row r="7314">
          <cell r="C7314">
            <v>101203.2</v>
          </cell>
          <cell r="D7314" t="str">
            <v>N.IR 1788</v>
          </cell>
        </row>
        <row r="7315">
          <cell r="C7315">
            <v>201204.1</v>
          </cell>
          <cell r="D7315" t="str">
            <v>N.OR 1766</v>
          </cell>
        </row>
        <row r="7316">
          <cell r="C7316">
            <v>101204.2</v>
          </cell>
          <cell r="D7316" t="str">
            <v>N.IR 1766</v>
          </cell>
        </row>
        <row r="7317">
          <cell r="C7317">
            <v>101205</v>
          </cell>
          <cell r="D7317" t="str">
            <v>IR.4204 BB</v>
          </cell>
        </row>
        <row r="7318">
          <cell r="C7318">
            <v>201205</v>
          </cell>
          <cell r="D7318" t="str">
            <v>OR.4204 BB</v>
          </cell>
        </row>
        <row r="7319">
          <cell r="C7319">
            <v>301104.5</v>
          </cell>
          <cell r="D7319" t="str">
            <v>NCG. 3204 2RS</v>
          </cell>
        </row>
        <row r="7320">
          <cell r="C7320">
            <v>511993</v>
          </cell>
          <cell r="D7320" t="str">
            <v>BALL 5/16"(IS:2898-1976)</v>
          </cell>
        </row>
        <row r="7321">
          <cell r="C7321">
            <v>5221247</v>
          </cell>
          <cell r="D7321" t="str">
            <v>O G SHELL GADUS S2 V100 3</v>
          </cell>
        </row>
        <row r="7322">
          <cell r="C7322">
            <v>701205</v>
          </cell>
          <cell r="D7322" t="str">
            <v>FKM SEAL.4204 BB</v>
          </cell>
        </row>
        <row r="7323">
          <cell r="C7323">
            <v>1421206</v>
          </cell>
          <cell r="D7323" t="str">
            <v>6907 ZZ MATERIAL</v>
          </cell>
        </row>
        <row r="7324">
          <cell r="C7324">
            <v>1421206.01</v>
          </cell>
          <cell r="D7324" t="str">
            <v>6907 2RS MATERIAL</v>
          </cell>
        </row>
        <row r="7325">
          <cell r="C7325">
            <v>1421207</v>
          </cell>
          <cell r="D7325" t="str">
            <v>6908 ZZ MATERIAL</v>
          </cell>
        </row>
        <row r="7326">
          <cell r="C7326">
            <v>1421207.01</v>
          </cell>
          <cell r="D7326" t="str">
            <v>6908 2RS MATERIAL</v>
          </cell>
        </row>
        <row r="7327">
          <cell r="C7327">
            <v>1421208</v>
          </cell>
          <cell r="D7327" t="str">
            <v>30209 MATERIAL</v>
          </cell>
        </row>
        <row r="7328">
          <cell r="C7328">
            <v>101209</v>
          </cell>
          <cell r="D7328" t="str">
            <v>MCT.SHAFT 4100</v>
          </cell>
        </row>
        <row r="7329">
          <cell r="C7329">
            <v>201209</v>
          </cell>
          <cell r="D7329" t="str">
            <v>MCT.OR 4100</v>
          </cell>
        </row>
        <row r="7330">
          <cell r="C7330">
            <v>501209</v>
          </cell>
          <cell r="D7330" t="str">
            <v>RO 8X35.7 BR</v>
          </cell>
        </row>
        <row r="7331">
          <cell r="C7331">
            <v>101210</v>
          </cell>
          <cell r="D7331" t="str">
            <v>IR.6312 TN9</v>
          </cell>
        </row>
        <row r="7332">
          <cell r="C7332">
            <v>201210</v>
          </cell>
          <cell r="D7332" t="str">
            <v>OR.6312 TN9</v>
          </cell>
        </row>
        <row r="7333">
          <cell r="C7333">
            <v>301210</v>
          </cell>
          <cell r="D7333" t="str">
            <v>NCG.6312 TN9</v>
          </cell>
        </row>
        <row r="7334">
          <cell r="C7334">
            <v>501210</v>
          </cell>
          <cell r="D7334" t="str">
            <v>BALL 7/8" (IS:2898-1976)</v>
          </cell>
        </row>
        <row r="7335">
          <cell r="C7335">
            <v>101211</v>
          </cell>
          <cell r="D7335" t="str">
            <v>NU.IR 312 ECP</v>
          </cell>
        </row>
        <row r="7336">
          <cell r="C7336">
            <v>201211</v>
          </cell>
          <cell r="D7336" t="str">
            <v>NU.OR 312 ECP</v>
          </cell>
        </row>
        <row r="7337">
          <cell r="C7337">
            <v>301211</v>
          </cell>
          <cell r="D7337" t="str">
            <v>NU.NCG 312 ECP</v>
          </cell>
        </row>
        <row r="7338">
          <cell r="C7338">
            <v>501211</v>
          </cell>
          <cell r="D7338" t="str">
            <v>RO 19X20 BPM</v>
          </cell>
        </row>
        <row r="7339">
          <cell r="C7339">
            <v>101212</v>
          </cell>
          <cell r="D7339" t="str">
            <v>NU.IR 2206 ECP</v>
          </cell>
        </row>
        <row r="7340">
          <cell r="C7340">
            <v>201212</v>
          </cell>
          <cell r="D7340" t="str">
            <v>NU.OR 2206 ECP</v>
          </cell>
        </row>
        <row r="7341">
          <cell r="C7341">
            <v>301212</v>
          </cell>
          <cell r="D7341" t="str">
            <v>NU.NCG 2206 ECP</v>
          </cell>
        </row>
        <row r="7342">
          <cell r="C7342">
            <v>511615.06</v>
          </cell>
          <cell r="D7342" t="str">
            <v>RO 9X10 BPM</v>
          </cell>
        </row>
        <row r="7343">
          <cell r="C7343">
            <v>101213</v>
          </cell>
          <cell r="D7343" t="str">
            <v>IR.6202 TN9</v>
          </cell>
        </row>
        <row r="7344">
          <cell r="C7344">
            <v>201213</v>
          </cell>
          <cell r="D7344" t="str">
            <v>OR.6202 TN9</v>
          </cell>
        </row>
        <row r="7345">
          <cell r="C7345">
            <v>301213</v>
          </cell>
          <cell r="D7345" t="str">
            <v>NCG.6202 TN9</v>
          </cell>
        </row>
        <row r="7346">
          <cell r="C7346">
            <v>511190</v>
          </cell>
          <cell r="D7346" t="str">
            <v>BALL 15/64"(IS:2898-1976</v>
          </cell>
        </row>
        <row r="7347">
          <cell r="C7347">
            <v>101214</v>
          </cell>
          <cell r="D7347" t="str">
            <v>IR.6203 TN9</v>
          </cell>
        </row>
        <row r="7348">
          <cell r="C7348">
            <v>201214</v>
          </cell>
          <cell r="D7348" t="str">
            <v>OR.6203 TN9</v>
          </cell>
        </row>
        <row r="7349">
          <cell r="C7349">
            <v>301103.5</v>
          </cell>
          <cell r="D7349" t="str">
            <v>NCG. 3203 2RS</v>
          </cell>
        </row>
        <row r="7350">
          <cell r="C7350">
            <v>501103.5</v>
          </cell>
          <cell r="D7350" t="str">
            <v>BALL 17/64"(IS:2898-1976)</v>
          </cell>
        </row>
        <row r="7351">
          <cell r="C7351">
            <v>302001</v>
          </cell>
          <cell r="D7351" t="str">
            <v>CAGE.CAGE 42X46X51.4</v>
          </cell>
        </row>
        <row r="7352">
          <cell r="C7352">
            <v>502001</v>
          </cell>
          <cell r="D7352" t="str">
            <v>RO 2X19.8 BP</v>
          </cell>
        </row>
        <row r="7353">
          <cell r="C7353">
            <v>913092</v>
          </cell>
          <cell r="D7353" t="str">
            <v>BOX SPIRE 48X155</v>
          </cell>
        </row>
        <row r="7354">
          <cell r="C7354">
            <v>913093</v>
          </cell>
          <cell r="D7354" t="str">
            <v>TUBE SPIRE 41X155</v>
          </cell>
        </row>
        <row r="7355">
          <cell r="C7355">
            <v>502001.1</v>
          </cell>
          <cell r="D7355" t="str">
            <v>RO 5X25</v>
          </cell>
        </row>
        <row r="7356">
          <cell r="C7356">
            <v>511283.01</v>
          </cell>
          <cell r="D7356" t="str">
            <v>RO 4X25.4 BR</v>
          </cell>
        </row>
        <row r="7357">
          <cell r="C7357">
            <v>511283.01</v>
          </cell>
          <cell r="D7357" t="str">
            <v>RO 4X25.4 BR</v>
          </cell>
        </row>
        <row r="7358">
          <cell r="C7358">
            <v>302001.3</v>
          </cell>
          <cell r="D7358" t="str">
            <v>CAGE.CAGE 283616</v>
          </cell>
        </row>
        <row r="7359">
          <cell r="C7359">
            <v>511304.01</v>
          </cell>
          <cell r="D7359" t="str">
            <v>RO 4X12.8</v>
          </cell>
        </row>
        <row r="7360">
          <cell r="C7360">
            <v>302001.34999999998</v>
          </cell>
          <cell r="D7360" t="str">
            <v>CAGE.MCG 283617</v>
          </cell>
        </row>
        <row r="7361">
          <cell r="C7361">
            <v>511304.01</v>
          </cell>
          <cell r="D7361" t="str">
            <v>RO 4X12.8</v>
          </cell>
        </row>
        <row r="7362">
          <cell r="C7362">
            <v>302001.40000000002</v>
          </cell>
          <cell r="D7362" t="str">
            <v>CAGE.CAGE 263314</v>
          </cell>
        </row>
        <row r="7363">
          <cell r="C7363">
            <v>511989</v>
          </cell>
          <cell r="D7363" t="str">
            <v>RO 3.5X10.8</v>
          </cell>
        </row>
        <row r="7364">
          <cell r="C7364">
            <v>202002</v>
          </cell>
          <cell r="D7364" t="str">
            <v>OR.OR 25X48X24.1</v>
          </cell>
        </row>
        <row r="7365">
          <cell r="C7365">
            <v>202002.01</v>
          </cell>
          <cell r="D7365" t="str">
            <v>OR.OR 30.35/30.4X48X24.1</v>
          </cell>
        </row>
        <row r="7366">
          <cell r="C7366">
            <v>202002.01</v>
          </cell>
          <cell r="D7366" t="str">
            <v>OR.OR 30.35/30.4X48X24.1</v>
          </cell>
        </row>
        <row r="7367">
          <cell r="C7367">
            <v>202002.03</v>
          </cell>
          <cell r="D7367" t="str">
            <v>OR.OR 30.35/30.4X48X24.1</v>
          </cell>
        </row>
        <row r="7368">
          <cell r="C7368">
            <v>202002.03</v>
          </cell>
          <cell r="D7368" t="str">
            <v>OR.OR 30.35/30.4X48X24.1</v>
          </cell>
        </row>
        <row r="7369">
          <cell r="C7369">
            <v>202002.05</v>
          </cell>
          <cell r="D7369" t="str">
            <v>R.OR 30.35/30.4X48X24.1</v>
          </cell>
        </row>
        <row r="7370">
          <cell r="C7370">
            <v>302003</v>
          </cell>
          <cell r="D7370" t="str">
            <v>CAGE.CAGE (162116)</v>
          </cell>
        </row>
        <row r="7371">
          <cell r="C7371">
            <v>502003</v>
          </cell>
          <cell r="D7371" t="str">
            <v>RO 3.96X22.2 BP</v>
          </cell>
        </row>
        <row r="7372">
          <cell r="C7372">
            <v>302004</v>
          </cell>
          <cell r="D7372" t="str">
            <v>CAGE.CAGE 45X53X28</v>
          </cell>
        </row>
        <row r="7373">
          <cell r="C7373">
            <v>502004</v>
          </cell>
          <cell r="D7373" t="str">
            <v>RO 4X24.8 BP</v>
          </cell>
        </row>
        <row r="7374">
          <cell r="C7374">
            <v>913086</v>
          </cell>
          <cell r="D7374" t="str">
            <v>BOX SPIRE 55X115</v>
          </cell>
        </row>
        <row r="7375">
          <cell r="C7375">
            <v>913087</v>
          </cell>
          <cell r="D7375" t="str">
            <v>TUBE SPIRE 44X115</v>
          </cell>
        </row>
        <row r="7376">
          <cell r="C7376">
            <v>302005</v>
          </cell>
          <cell r="D7376" t="str">
            <v>CAGE.CAGE 25X31X17</v>
          </cell>
        </row>
        <row r="7377">
          <cell r="C7377">
            <v>502005</v>
          </cell>
          <cell r="D7377" t="str">
            <v>RO 3X12.8 BP</v>
          </cell>
        </row>
        <row r="7378">
          <cell r="C7378">
            <v>302006</v>
          </cell>
          <cell r="D7378" t="str">
            <v>CAGE.CAGE 18X24X12</v>
          </cell>
        </row>
        <row r="7379">
          <cell r="C7379">
            <v>511423</v>
          </cell>
          <cell r="D7379" t="str">
            <v>RO 3X8.8</v>
          </cell>
        </row>
        <row r="7380">
          <cell r="C7380">
            <v>302007</v>
          </cell>
          <cell r="D7380" t="str">
            <v>CAGE.CAGE 25X30X20</v>
          </cell>
        </row>
        <row r="7381">
          <cell r="C7381">
            <v>511325.01</v>
          </cell>
          <cell r="D7381" t="str">
            <v>RO 2.5X17.8</v>
          </cell>
        </row>
        <row r="7382">
          <cell r="C7382">
            <v>913088.1</v>
          </cell>
          <cell r="D7382" t="str">
            <v>BOX SPIRE 33X100</v>
          </cell>
        </row>
        <row r="7383">
          <cell r="C7383">
            <v>913089</v>
          </cell>
          <cell r="D7383" t="str">
            <v>TUBE SPIRE 24X100</v>
          </cell>
        </row>
        <row r="7384">
          <cell r="C7384">
            <v>302008</v>
          </cell>
          <cell r="D7384" t="str">
            <v>CAGE.CAGE 40X45X27</v>
          </cell>
        </row>
        <row r="7385">
          <cell r="C7385">
            <v>502008</v>
          </cell>
          <cell r="D7385" t="str">
            <v>RO 2.5X22.8 BP</v>
          </cell>
        </row>
        <row r="7386">
          <cell r="C7386">
            <v>913090</v>
          </cell>
          <cell r="D7386" t="str">
            <v>BOX SPIRE 47X135</v>
          </cell>
        </row>
        <row r="7387">
          <cell r="C7387">
            <v>913091</v>
          </cell>
          <cell r="D7387" t="str">
            <v>TUBE SPIRE 39X135</v>
          </cell>
        </row>
        <row r="7388">
          <cell r="C7388">
            <v>302008</v>
          </cell>
          <cell r="D7388" t="str">
            <v>CAGE.CAGE 40X45X27</v>
          </cell>
        </row>
        <row r="7389">
          <cell r="C7389">
            <v>502008</v>
          </cell>
          <cell r="D7389" t="str">
            <v>RO 2.5X22.8 BP</v>
          </cell>
        </row>
        <row r="7390">
          <cell r="C7390">
            <v>511994</v>
          </cell>
          <cell r="D7390" t="str">
            <v>RO 3X21.8</v>
          </cell>
        </row>
        <row r="7391">
          <cell r="C7391">
            <v>511995</v>
          </cell>
          <cell r="D7391" t="str">
            <v>RO 3X13.8  BR</v>
          </cell>
        </row>
        <row r="7392">
          <cell r="C7392">
            <v>502010.01</v>
          </cell>
          <cell r="D7392" t="str">
            <v>RO 4.5X39.8 BP</v>
          </cell>
        </row>
        <row r="7393">
          <cell r="C7393">
            <v>302010.02</v>
          </cell>
          <cell r="D7393" t="str">
            <v>CAGE.CAGE 25X33X23.8</v>
          </cell>
        </row>
        <row r="7394">
          <cell r="C7394">
            <v>502010.02</v>
          </cell>
          <cell r="D7394" t="str">
            <v>RO 4X21.3</v>
          </cell>
        </row>
        <row r="7395">
          <cell r="C7395">
            <v>913094</v>
          </cell>
          <cell r="D7395" t="str">
            <v>BOX SPIRE 35X120</v>
          </cell>
        </row>
        <row r="7396">
          <cell r="C7396">
            <v>913095</v>
          </cell>
          <cell r="D7396" t="str">
            <v>TUBE SPIRE 24X120</v>
          </cell>
        </row>
        <row r="7397">
          <cell r="C7397">
            <v>302010.03000000003</v>
          </cell>
          <cell r="D7397" t="str">
            <v>CAGE.CAGE 56X61X35</v>
          </cell>
        </row>
        <row r="7398">
          <cell r="C7398">
            <v>511270.01</v>
          </cell>
          <cell r="D7398" t="str">
            <v>RO 2.5X12.8</v>
          </cell>
        </row>
        <row r="7399">
          <cell r="C7399">
            <v>302010.03999999998</v>
          </cell>
          <cell r="D7399" t="str">
            <v>CAGE.CAGE 60X68X25</v>
          </cell>
        </row>
        <row r="7400">
          <cell r="C7400">
            <v>502010.04</v>
          </cell>
          <cell r="D7400" t="str">
            <v>RO 4X20.8</v>
          </cell>
        </row>
        <row r="7401">
          <cell r="C7401">
            <v>913096</v>
          </cell>
          <cell r="D7401" t="str">
            <v>BOX SPIRE 69X100</v>
          </cell>
        </row>
        <row r="7402">
          <cell r="C7402">
            <v>913097</v>
          </cell>
          <cell r="D7402" t="str">
            <v>TUBE SPIRE 59X100</v>
          </cell>
        </row>
        <row r="7403">
          <cell r="C7403">
            <v>502010.05</v>
          </cell>
          <cell r="D7403" t="str">
            <v>RO 7.925X25.4 BPM</v>
          </cell>
        </row>
        <row r="7404">
          <cell r="C7404">
            <v>502010.06</v>
          </cell>
          <cell r="D7404" t="str">
            <v>RO 4X16.9 BR</v>
          </cell>
        </row>
        <row r="7405">
          <cell r="C7405">
            <v>502010.07</v>
          </cell>
          <cell r="D7405" t="str">
            <v>RO 5X26</v>
          </cell>
        </row>
        <row r="7406">
          <cell r="C7406">
            <v>502010.08</v>
          </cell>
          <cell r="D7406" t="str">
            <v>RO 5.558X17.3</v>
          </cell>
        </row>
        <row r="7407">
          <cell r="C7407">
            <v>502010.09</v>
          </cell>
          <cell r="D7407" t="str">
            <v/>
          </cell>
        </row>
        <row r="7408">
          <cell r="C7408">
            <v>302011</v>
          </cell>
          <cell r="D7408" t="str">
            <v>MCG 25X31X33.6</v>
          </cell>
        </row>
        <row r="7409">
          <cell r="C7409">
            <v>511995</v>
          </cell>
          <cell r="D7409" t="str">
            <v>RO 3X13.8  BR</v>
          </cell>
        </row>
        <row r="7410">
          <cell r="C7410">
            <v>913088</v>
          </cell>
          <cell r="D7410" t="str">
            <v>BOX SPIRE 35X100</v>
          </cell>
        </row>
        <row r="7411">
          <cell r="C7411">
            <v>913089</v>
          </cell>
          <cell r="D7411" t="str">
            <v>TUBE SPIRE 24X100</v>
          </cell>
        </row>
        <row r="7412">
          <cell r="C7412">
            <v>302011.09999999998</v>
          </cell>
          <cell r="D7412" t="str">
            <v>MCG.MCG 75X83X22.8</v>
          </cell>
        </row>
        <row r="7413">
          <cell r="C7413">
            <v>511236.01</v>
          </cell>
          <cell r="D7413" t="str">
            <v>RO 4X17.8</v>
          </cell>
        </row>
        <row r="7414">
          <cell r="C7414">
            <v>302011.2</v>
          </cell>
          <cell r="D7414" t="str">
            <v>MCG.MCG 75X83X34.6</v>
          </cell>
        </row>
        <row r="7415">
          <cell r="C7415">
            <v>511304.01</v>
          </cell>
          <cell r="D7415" t="str">
            <v>RO 4X12.8</v>
          </cell>
        </row>
        <row r="7416">
          <cell r="C7416">
            <v>302011.3</v>
          </cell>
          <cell r="D7416" t="str">
            <v>MCG.MCG 75X83X39.6</v>
          </cell>
        </row>
        <row r="7417">
          <cell r="C7417">
            <v>511436</v>
          </cell>
          <cell r="D7417" t="str">
            <v>RO 4X15.8 (CRA)</v>
          </cell>
        </row>
        <row r="7418">
          <cell r="C7418">
            <v>302011.40000000002</v>
          </cell>
          <cell r="D7418" t="str">
            <v>MCG.MCG 96X104X54.6</v>
          </cell>
        </row>
        <row r="7419">
          <cell r="C7419">
            <v>502011.4</v>
          </cell>
          <cell r="D7419" t="str">
            <v>RO 4X21.8 BP</v>
          </cell>
        </row>
        <row r="7420">
          <cell r="C7420">
            <v>302011.5</v>
          </cell>
          <cell r="D7420" t="str">
            <v>MCG.MCG 90X98X41</v>
          </cell>
        </row>
        <row r="7421">
          <cell r="C7421">
            <v>502011.5</v>
          </cell>
          <cell r="D7421" t="str">
            <v>RO 4X31.8 BP</v>
          </cell>
        </row>
        <row r="7422">
          <cell r="C7422">
            <v>302011.59999999998</v>
          </cell>
          <cell r="D7422" t="str">
            <v>CAGE.KT 172220</v>
          </cell>
        </row>
        <row r="7423">
          <cell r="C7423">
            <v>302011.7</v>
          </cell>
          <cell r="D7423" t="str">
            <v>MCG.MCG 42X47X17</v>
          </cell>
        </row>
        <row r="7424">
          <cell r="C7424">
            <v>511130</v>
          </cell>
          <cell r="D7424" t="str">
            <v>RO 2.5X13.8</v>
          </cell>
        </row>
        <row r="7425">
          <cell r="C7425">
            <v>302011.8</v>
          </cell>
          <cell r="D7425" t="str">
            <v>MC.MCG 45X57X20.8</v>
          </cell>
        </row>
        <row r="7426">
          <cell r="C7426">
            <v>502011.8</v>
          </cell>
          <cell r="D7426" t="str">
            <v>RO 6X16.8 BPER</v>
          </cell>
        </row>
        <row r="7427">
          <cell r="C7427">
            <v>302012</v>
          </cell>
          <cell r="D7427" t="str">
            <v>MCG.32X38X26</v>
          </cell>
        </row>
        <row r="7428">
          <cell r="C7428">
            <v>502012</v>
          </cell>
          <cell r="D7428" t="str">
            <v>RO 3X22.8</v>
          </cell>
        </row>
        <row r="7429">
          <cell r="C7429">
            <v>302013</v>
          </cell>
          <cell r="D7429" t="str">
            <v>MCG.18X24X17</v>
          </cell>
        </row>
        <row r="7430">
          <cell r="C7430">
            <v>511995</v>
          </cell>
          <cell r="D7430" t="str">
            <v>RO 3X13.8  BR</v>
          </cell>
        </row>
        <row r="7431">
          <cell r="C7431">
            <v>302014</v>
          </cell>
          <cell r="D7431" t="str">
            <v>MCG.20X28X25</v>
          </cell>
        </row>
        <row r="7432">
          <cell r="C7432">
            <v>502010.02</v>
          </cell>
          <cell r="D7432" t="str">
            <v>RO 4X21.3</v>
          </cell>
        </row>
        <row r="7433">
          <cell r="C7433">
            <v>302015</v>
          </cell>
          <cell r="D7433" t="str">
            <v>CAGE.CAGE 22X30X20 BRASS</v>
          </cell>
        </row>
        <row r="7434">
          <cell r="C7434">
            <v>302015</v>
          </cell>
          <cell r="D7434" t="str">
            <v>CAGE.CAGE 22X30X20 BRASS</v>
          </cell>
        </row>
        <row r="7435">
          <cell r="C7435">
            <v>511436</v>
          </cell>
          <cell r="D7435" t="str">
            <v>RO 4X15.8 (CRA)</v>
          </cell>
        </row>
        <row r="7436">
          <cell r="C7436">
            <v>511436</v>
          </cell>
          <cell r="D7436" t="str">
            <v>RO 4X15.8 (CRA)</v>
          </cell>
        </row>
        <row r="7437">
          <cell r="C7437">
            <v>302015.09999999998</v>
          </cell>
          <cell r="D7437" t="str">
            <v>MCG.CAGE 26X40X26</v>
          </cell>
        </row>
        <row r="7438">
          <cell r="C7438">
            <v>502015.1</v>
          </cell>
          <cell r="D7438" t="str">
            <v>RO 7X21 BP</v>
          </cell>
        </row>
        <row r="7439">
          <cell r="C7439">
            <v>302015.2</v>
          </cell>
          <cell r="D7439" t="str">
            <v>MCG.CAGE 25X33X20</v>
          </cell>
        </row>
        <row r="7440">
          <cell r="C7440">
            <v>511307.01</v>
          </cell>
          <cell r="D7440" t="str">
            <v>RO 4X15.8</v>
          </cell>
        </row>
        <row r="7441">
          <cell r="C7441">
            <v>102017.1</v>
          </cell>
          <cell r="D7441" t="str">
            <v>IR.PIR7316C</v>
          </cell>
        </row>
        <row r="7442">
          <cell r="C7442">
            <v>202017.2</v>
          </cell>
          <cell r="D7442" t="str">
            <v>OR.POR8614R</v>
          </cell>
        </row>
        <row r="7443">
          <cell r="C7443">
            <v>302019</v>
          </cell>
          <cell r="D7443" t="str">
            <v>MCG.MCG 60x68x38.6</v>
          </cell>
        </row>
        <row r="7444">
          <cell r="C7444">
            <v>502019</v>
          </cell>
          <cell r="D7444" t="str">
            <v>RO 4X29.8 BP</v>
          </cell>
        </row>
        <row r="7445">
          <cell r="C7445">
            <v>302020</v>
          </cell>
          <cell r="D7445" t="str">
            <v>MCG.MCG 92x100x52.8 ZW</v>
          </cell>
        </row>
        <row r="7446">
          <cell r="C7446">
            <v>502011.4</v>
          </cell>
          <cell r="D7446" t="str">
            <v>RO 4X21.8 BP</v>
          </cell>
        </row>
        <row r="7447">
          <cell r="C7447">
            <v>302021</v>
          </cell>
          <cell r="D7447" t="str">
            <v>MCG.MCG 40x60x25.8</v>
          </cell>
        </row>
        <row r="7448">
          <cell r="C7448">
            <v>511441</v>
          </cell>
          <cell r="D7448" t="str">
            <v>RO 10X20</v>
          </cell>
        </row>
        <row r="7449">
          <cell r="C7449">
            <v>302022</v>
          </cell>
          <cell r="D7449" t="str">
            <v>MCG.MCG 77x101x29</v>
          </cell>
        </row>
        <row r="7450">
          <cell r="C7450">
            <v>511606.1</v>
          </cell>
          <cell r="D7450" t="str">
            <v>RO 12X20</v>
          </cell>
        </row>
        <row r="7451">
          <cell r="C7451">
            <v>502023</v>
          </cell>
          <cell r="D7451" t="str">
            <v>RO 5X15.3 BP ER</v>
          </cell>
        </row>
        <row r="7452">
          <cell r="C7452">
            <v>302024</v>
          </cell>
          <cell r="D7452" t="str">
            <v>MCG.MCG 103.3x128.4x10</v>
          </cell>
        </row>
        <row r="7453">
          <cell r="C7453">
            <v>502024</v>
          </cell>
          <cell r="D7453" t="str">
            <v>RO 3X6.8 BP</v>
          </cell>
        </row>
        <row r="7454">
          <cell r="C7454">
            <v>702024</v>
          </cell>
          <cell r="D7454" t="str">
            <v>A.W 103.3x128.4x10</v>
          </cell>
        </row>
        <row r="7455">
          <cell r="C7455">
            <v>702024.01</v>
          </cell>
          <cell r="D7455" t="str">
            <v>CUP SPRING 103.3x128.4x10</v>
          </cell>
        </row>
        <row r="7456">
          <cell r="C7456">
            <v>702024.02</v>
          </cell>
          <cell r="D7456" t="str">
            <v>CUP 103.3x128.4x10</v>
          </cell>
        </row>
        <row r="7457">
          <cell r="C7457">
            <v>1422025</v>
          </cell>
          <cell r="D7457" t="str">
            <v>Detent Stop Pin 20x28.1 M</v>
          </cell>
        </row>
        <row r="7458">
          <cell r="C7458">
            <v>501149</v>
          </cell>
          <cell r="D7458" t="str">
            <v>BALL 12 MM (IS:2898-1976)</v>
          </cell>
        </row>
        <row r="7459">
          <cell r="C7459">
            <v>502025</v>
          </cell>
          <cell r="D7459" t="str">
            <v>Ball ø2.0 mm G40</v>
          </cell>
        </row>
        <row r="7460">
          <cell r="C7460">
            <v>1422026</v>
          </cell>
          <cell r="D7460" t="str">
            <v>Detent Bearing 42x36 M</v>
          </cell>
        </row>
        <row r="7461">
          <cell r="C7461">
            <v>501149</v>
          </cell>
          <cell r="D7461" t="str">
            <v>BALL 12 MM (IS:2898-1976)</v>
          </cell>
        </row>
        <row r="7462">
          <cell r="C7462">
            <v>502025</v>
          </cell>
          <cell r="D7462" t="str">
            <v>Ball ø2.0 mm G40</v>
          </cell>
        </row>
        <row r="7463">
          <cell r="C7463">
            <v>1422027</v>
          </cell>
          <cell r="D7463" t="str">
            <v>Detent Ball Roller 17x31M</v>
          </cell>
        </row>
        <row r="7464">
          <cell r="C7464">
            <v>502027</v>
          </cell>
          <cell r="D7464" t="str">
            <v>BALL 1.5MM G40</v>
          </cell>
        </row>
        <row r="7465">
          <cell r="C7465">
            <v>511181</v>
          </cell>
          <cell r="D7465" t="str">
            <v>BALL 15/32"(IS:2898-1976)</v>
          </cell>
        </row>
        <row r="7466">
          <cell r="C7466">
            <v>302028</v>
          </cell>
          <cell r="D7466" t="str">
            <v>K.MCG 15X19X17</v>
          </cell>
        </row>
        <row r="7467">
          <cell r="C7467">
            <v>511404</v>
          </cell>
          <cell r="D7467" t="str">
            <v>RO 2X13.8</v>
          </cell>
        </row>
        <row r="7468">
          <cell r="C7468">
            <v>102030</v>
          </cell>
          <cell r="D7468" t="str">
            <v>PIN.IR 5.0X49.80</v>
          </cell>
        </row>
        <row r="7469">
          <cell r="C7469">
            <v>102031</v>
          </cell>
          <cell r="D7469" t="str">
            <v>PIN.IR 10.0X25.9</v>
          </cell>
        </row>
        <row r="7470">
          <cell r="C7470">
            <v>102032</v>
          </cell>
          <cell r="D7470" t="str">
            <v>PIN.IR 6.322X37.084</v>
          </cell>
        </row>
        <row r="7471">
          <cell r="C7471">
            <v>102033</v>
          </cell>
          <cell r="D7471" t="str">
            <v>PIN.IR 6.0X41.00</v>
          </cell>
        </row>
        <row r="7472">
          <cell r="C7472">
            <v>202034</v>
          </cell>
          <cell r="D7472" t="str">
            <v>F.CUP 120289</v>
          </cell>
        </row>
        <row r="7473">
          <cell r="C7473">
            <v>302034</v>
          </cell>
          <cell r="D7473" t="str">
            <v>F.NCG 120289</v>
          </cell>
        </row>
        <row r="7474">
          <cell r="C7474">
            <v>502034</v>
          </cell>
          <cell r="D7474" t="str">
            <v>RO 2.2X8.8 BP</v>
          </cell>
        </row>
        <row r="7475">
          <cell r="C7475">
            <v>202035</v>
          </cell>
          <cell r="D7475" t="str">
            <v>DB.CUP 600-240</v>
          </cell>
        </row>
        <row r="7476">
          <cell r="C7476">
            <v>302035</v>
          </cell>
          <cell r="D7476" t="str">
            <v>DB.NCG 600-240</v>
          </cell>
        </row>
        <row r="7477">
          <cell r="C7477">
            <v>511212</v>
          </cell>
          <cell r="D7477" t="str">
            <v>RO 4X4</v>
          </cell>
        </row>
        <row r="7478">
          <cell r="C7478">
            <v>102036</v>
          </cell>
          <cell r="D7478" t="str">
            <v>IR.ROLLER 12X20X18</v>
          </cell>
        </row>
        <row r="7479">
          <cell r="C7479">
            <v>102037</v>
          </cell>
          <cell r="D7479" t="str">
            <v>IR.35BD5020DUM26</v>
          </cell>
        </row>
        <row r="7480">
          <cell r="C7480">
            <v>202037</v>
          </cell>
          <cell r="D7480" t="str">
            <v>OR.35BD5020DUM26</v>
          </cell>
        </row>
        <row r="7481">
          <cell r="C7481">
            <v>302037</v>
          </cell>
          <cell r="D7481" t="str">
            <v>NCG.35B5020DUK.46</v>
          </cell>
        </row>
        <row r="7482">
          <cell r="C7482">
            <v>511170</v>
          </cell>
          <cell r="D7482" t="str">
            <v>BALL 3/16" (IS:2898-1976)</v>
          </cell>
        </row>
        <row r="7483">
          <cell r="C7483">
            <v>702037</v>
          </cell>
          <cell r="D7483" t="str">
            <v>SEAL.35BD5020DUM26</v>
          </cell>
        </row>
        <row r="7484">
          <cell r="C7484">
            <v>102039</v>
          </cell>
          <cell r="D7484" t="str">
            <v>IR.BZ159.0 (G)</v>
          </cell>
        </row>
        <row r="7485">
          <cell r="C7485">
            <v>202039</v>
          </cell>
          <cell r="D7485" t="str">
            <v>OR.BZ159.0 (G)</v>
          </cell>
        </row>
        <row r="7486">
          <cell r="C7486">
            <v>302039</v>
          </cell>
          <cell r="D7486" t="str">
            <v>NCG.35BD5520DUK.46</v>
          </cell>
        </row>
        <row r="7487">
          <cell r="C7487">
            <v>511190</v>
          </cell>
          <cell r="D7487" t="str">
            <v>BALL 15/64"(IS:2898-1976</v>
          </cell>
        </row>
        <row r="7488">
          <cell r="C7488">
            <v>702039</v>
          </cell>
          <cell r="D7488" t="str">
            <v>SEAL.BZ159.0</v>
          </cell>
        </row>
        <row r="7489">
          <cell r="C7489">
            <v>102040</v>
          </cell>
          <cell r="D7489" t="str">
            <v>IR.BZ158.0 (G)</v>
          </cell>
        </row>
        <row r="7490">
          <cell r="C7490">
            <v>202040</v>
          </cell>
          <cell r="D7490" t="str">
            <v>OR.BZ158.0 (G)</v>
          </cell>
        </row>
        <row r="7491">
          <cell r="C7491">
            <v>302040</v>
          </cell>
          <cell r="D7491" t="str">
            <v>NCG.35BD5220DUK.46</v>
          </cell>
        </row>
        <row r="7492">
          <cell r="C7492">
            <v>511464</v>
          </cell>
          <cell r="D7492" t="str">
            <v>BALL 7/32"(IS:2898-1976)</v>
          </cell>
        </row>
        <row r="7493">
          <cell r="C7493">
            <v>702040</v>
          </cell>
          <cell r="D7493" t="str">
            <v>SEAL.BZ158.0</v>
          </cell>
        </row>
        <row r="7494">
          <cell r="C7494">
            <v>302041</v>
          </cell>
          <cell r="D7494" t="str">
            <v>K.MCG 15X21X15</v>
          </cell>
        </row>
        <row r="7495">
          <cell r="C7495">
            <v>502037</v>
          </cell>
          <cell r="D7495" t="str">
            <v>RO 3X10.8</v>
          </cell>
        </row>
        <row r="7496">
          <cell r="C7496">
            <v>1422042</v>
          </cell>
          <cell r="D7496" t="str">
            <v>TRA. WASHER 1625</v>
          </cell>
        </row>
        <row r="7497">
          <cell r="C7497">
            <v>102043</v>
          </cell>
          <cell r="D7497" t="str">
            <v>BL.IR 07524-12 W/S</v>
          </cell>
        </row>
        <row r="7498">
          <cell r="C7498">
            <v>202043</v>
          </cell>
          <cell r="D7498" t="str">
            <v>BL.OR 07524-12 W/S</v>
          </cell>
        </row>
        <row r="7499">
          <cell r="C7499">
            <v>502043</v>
          </cell>
          <cell r="D7499" t="str">
            <v>BALL 6.5MM S.S 304</v>
          </cell>
        </row>
        <row r="7500">
          <cell r="C7500">
            <v>602043</v>
          </cell>
          <cell r="D7500" t="str">
            <v>PRE-LOAD SPRING</v>
          </cell>
        </row>
        <row r="7501">
          <cell r="C7501">
            <v>602043.01</v>
          </cell>
          <cell r="D7501" t="str">
            <v>M2X3 (PAN CROSS HEAD)</v>
          </cell>
        </row>
        <row r="7502">
          <cell r="C7502">
            <v>702043</v>
          </cell>
          <cell r="D7502" t="str">
            <v>SPIRAL RETAINING RING</v>
          </cell>
        </row>
        <row r="7503">
          <cell r="C7503">
            <v>102044.01</v>
          </cell>
          <cell r="D7503" t="str">
            <v>NKIS.IR 60</v>
          </cell>
        </row>
        <row r="7504">
          <cell r="C7504">
            <v>202044.01</v>
          </cell>
          <cell r="D7504" t="str">
            <v>NKIS.OR 60</v>
          </cell>
        </row>
        <row r="7505">
          <cell r="C7505">
            <v>302044.01</v>
          </cell>
          <cell r="D7505" t="str">
            <v>NKIS.MCG 60</v>
          </cell>
        </row>
        <row r="7506">
          <cell r="C7506">
            <v>511339.01</v>
          </cell>
          <cell r="D7506" t="str">
            <v>RO 6.5X20.8</v>
          </cell>
        </row>
        <row r="7507">
          <cell r="C7507">
            <v>202044.01</v>
          </cell>
          <cell r="D7507" t="str">
            <v>NKIS.OR 60</v>
          </cell>
        </row>
        <row r="7508">
          <cell r="C7508">
            <v>302044.01</v>
          </cell>
          <cell r="D7508" t="str">
            <v>NKIS.MCG 60</v>
          </cell>
        </row>
        <row r="7509">
          <cell r="C7509">
            <v>511339.01</v>
          </cell>
          <cell r="D7509" t="str">
            <v>RO 6.5X20.8</v>
          </cell>
        </row>
        <row r="7510">
          <cell r="C7510">
            <v>102044.01</v>
          </cell>
          <cell r="D7510" t="str">
            <v>NKIS.IR 60</v>
          </cell>
        </row>
        <row r="7511">
          <cell r="C7511">
            <v>102045.01</v>
          </cell>
          <cell r="D7511" t="str">
            <v>NKIS.IR 70</v>
          </cell>
        </row>
        <row r="7512">
          <cell r="C7512">
            <v>202045.01</v>
          </cell>
          <cell r="D7512" t="str">
            <v>NKIS.OR 70</v>
          </cell>
        </row>
        <row r="7513">
          <cell r="C7513">
            <v>302045.01</v>
          </cell>
          <cell r="D7513" t="str">
            <v>NKIS.MCG 70</v>
          </cell>
        </row>
        <row r="7514">
          <cell r="C7514">
            <v>511339.01</v>
          </cell>
          <cell r="D7514" t="str">
            <v>RO 6.5X20.8</v>
          </cell>
        </row>
        <row r="7515">
          <cell r="C7515">
            <v>202045.01</v>
          </cell>
          <cell r="D7515" t="str">
            <v>NKIS.OR 70</v>
          </cell>
        </row>
        <row r="7516">
          <cell r="C7516">
            <v>302045.01</v>
          </cell>
          <cell r="D7516" t="str">
            <v>NKIS.MCG 70</v>
          </cell>
        </row>
        <row r="7517">
          <cell r="C7517">
            <v>511339.01</v>
          </cell>
          <cell r="D7517" t="str">
            <v>RO 6.5X20.8</v>
          </cell>
        </row>
        <row r="7518">
          <cell r="C7518">
            <v>102045.01</v>
          </cell>
          <cell r="D7518" t="str">
            <v>NKIS.IR 70</v>
          </cell>
        </row>
        <row r="7519">
          <cell r="C7519">
            <v>102046</v>
          </cell>
          <cell r="D7519" t="str">
            <v>IR.DZ072.0 (G)</v>
          </cell>
        </row>
        <row r="7520">
          <cell r="C7520">
            <v>202046</v>
          </cell>
          <cell r="D7520" t="str">
            <v>OR.DZ072.0 (G)</v>
          </cell>
        </row>
        <row r="7521">
          <cell r="C7521">
            <v>202046.01</v>
          </cell>
          <cell r="D7521" t="str">
            <v>WA.DZ072.0 (G)</v>
          </cell>
        </row>
        <row r="7522">
          <cell r="C7522">
            <v>511613.06</v>
          </cell>
          <cell r="D7522" t="str">
            <v>RO 12X14 BPM</v>
          </cell>
        </row>
        <row r="7523">
          <cell r="C7523">
            <v>1422047</v>
          </cell>
          <cell r="D7523" t="str">
            <v>UCFC 211 MATERIAL</v>
          </cell>
        </row>
        <row r="7524">
          <cell r="C7524">
            <v>1422048</v>
          </cell>
          <cell r="D7524" t="str">
            <v>UCFC 207 MATERIAL</v>
          </cell>
        </row>
        <row r="7525">
          <cell r="C7525">
            <v>102049</v>
          </cell>
          <cell r="D7525" t="str">
            <v>NECK RING 28.8X1.5X21</v>
          </cell>
        </row>
        <row r="7526">
          <cell r="C7526">
            <v>1422050</v>
          </cell>
          <cell r="D7526" t="str">
            <v>UCFL 206 MATERIAL</v>
          </cell>
        </row>
        <row r="7527">
          <cell r="C7527">
            <v>1422051</v>
          </cell>
          <cell r="D7527" t="str">
            <v>UCFL 207 MATERIAL</v>
          </cell>
        </row>
        <row r="7528">
          <cell r="C7528">
            <v>102052</v>
          </cell>
          <cell r="D7528" t="str">
            <v>IR.BZ160.0 (G)</v>
          </cell>
        </row>
        <row r="7529">
          <cell r="C7529">
            <v>202052</v>
          </cell>
          <cell r="D7529" t="str">
            <v>OR.BZ160.0 (G)</v>
          </cell>
        </row>
        <row r="7530">
          <cell r="C7530">
            <v>511170</v>
          </cell>
          <cell r="D7530" t="str">
            <v>BALL 3/16" (IS:2898-1976)</v>
          </cell>
        </row>
        <row r="7531">
          <cell r="C7531">
            <v>5221247</v>
          </cell>
          <cell r="D7531" t="str">
            <v>O G SHELL GADUS S2 V100 3</v>
          </cell>
        </row>
        <row r="7532">
          <cell r="C7532">
            <v>702052</v>
          </cell>
          <cell r="D7532" t="str">
            <v>COVER.BZ160.0</v>
          </cell>
        </row>
        <row r="7533">
          <cell r="C7533">
            <v>102053</v>
          </cell>
          <cell r="D7533" t="str">
            <v>IR.GZ001.0 (G)</v>
          </cell>
        </row>
        <row r="7534">
          <cell r="C7534">
            <v>202053</v>
          </cell>
          <cell r="D7534" t="str">
            <v>OR.GZ001.0 (G)</v>
          </cell>
        </row>
        <row r="7535">
          <cell r="C7535">
            <v>302053</v>
          </cell>
          <cell r="D7535" t="str">
            <v>MCA.MF003.0</v>
          </cell>
        </row>
        <row r="7536">
          <cell r="C7536">
            <v>302053.01</v>
          </cell>
          <cell r="D7536" t="str">
            <v>NCA.BZ001.0</v>
          </cell>
        </row>
        <row r="7537">
          <cell r="C7537">
            <v>511182</v>
          </cell>
          <cell r="D7537" t="str">
            <v>BALL 1/4" (IS:2898-1976)</v>
          </cell>
        </row>
        <row r="7538">
          <cell r="C7538">
            <v>511434</v>
          </cell>
          <cell r="D7538" t="str">
            <v>RO 3.5X11.8</v>
          </cell>
        </row>
        <row r="7539">
          <cell r="C7539">
            <v>5221247</v>
          </cell>
          <cell r="D7539" t="str">
            <v>O G SHELL GADUS S2 V100 3</v>
          </cell>
        </row>
        <row r="7540">
          <cell r="C7540">
            <v>602053</v>
          </cell>
          <cell r="D7540" t="str">
            <v>SNAP RING.GZ001.0</v>
          </cell>
        </row>
        <row r="7541">
          <cell r="C7541">
            <v>702053</v>
          </cell>
          <cell r="D7541" t="str">
            <v>SEAL.GZ001.0</v>
          </cell>
        </row>
        <row r="7542">
          <cell r="C7542">
            <v>102055</v>
          </cell>
          <cell r="D7542" t="str">
            <v>MRS-0032-006</v>
          </cell>
        </row>
        <row r="7543">
          <cell r="C7543">
            <v>102056</v>
          </cell>
          <cell r="D7543" t="str">
            <v>MRS-0032-008</v>
          </cell>
        </row>
        <row r="7544">
          <cell r="C7544">
            <v>102057</v>
          </cell>
          <cell r="D7544" t="str">
            <v>MRS-0032-010</v>
          </cell>
        </row>
        <row r="7545">
          <cell r="C7545">
            <v>102058</v>
          </cell>
          <cell r="D7545" t="str">
            <v>MRS-0032-012</v>
          </cell>
        </row>
        <row r="7546">
          <cell r="C7546">
            <v>102059</v>
          </cell>
          <cell r="D7546" t="str">
            <v>MRS-0032-016</v>
          </cell>
        </row>
        <row r="7547">
          <cell r="C7547">
            <v>102060</v>
          </cell>
          <cell r="D7547" t="str">
            <v>MRS-0032-020</v>
          </cell>
        </row>
        <row r="7548">
          <cell r="C7548">
            <v>102061</v>
          </cell>
          <cell r="D7548" t="str">
            <v>MRS-0032-025</v>
          </cell>
        </row>
        <row r="7549">
          <cell r="C7549">
            <v>102062</v>
          </cell>
          <cell r="D7549" t="str">
            <v>MRS-0032-032</v>
          </cell>
        </row>
        <row r="7550">
          <cell r="C7550">
            <v>102063</v>
          </cell>
          <cell r="D7550" t="str">
            <v>MRS-0032-040</v>
          </cell>
        </row>
        <row r="7551">
          <cell r="C7551">
            <v>102064</v>
          </cell>
          <cell r="D7551" t="str">
            <v>MRS-0032-050</v>
          </cell>
        </row>
        <row r="7552">
          <cell r="C7552">
            <v>1422065</v>
          </cell>
          <cell r="D7552" t="str">
            <v>UCHA 209 MATERIAL</v>
          </cell>
        </row>
        <row r="7553">
          <cell r="C7553">
            <v>102066</v>
          </cell>
          <cell r="D7553" t="str">
            <v>IR.IR 14.09x17.12x13.74</v>
          </cell>
        </row>
        <row r="7554">
          <cell r="C7554">
            <v>102067</v>
          </cell>
          <cell r="D7554" t="str">
            <v>IR.IR 13.70x17.20x13.72</v>
          </cell>
        </row>
        <row r="7555">
          <cell r="C7555">
            <v>302068</v>
          </cell>
          <cell r="D7555" t="str">
            <v>MCA.HA250.0</v>
          </cell>
        </row>
        <row r="7556">
          <cell r="C7556">
            <v>511141</v>
          </cell>
          <cell r="D7556" t="str">
            <v>RO 3.5X12.8</v>
          </cell>
        </row>
        <row r="7557">
          <cell r="C7557">
            <v>302069</v>
          </cell>
          <cell r="D7557" t="str">
            <v>K.MCG 25X35X30</v>
          </cell>
        </row>
        <row r="7558">
          <cell r="C7558">
            <v>502069</v>
          </cell>
          <cell r="D7558" t="str">
            <v>RO 5X25 BP</v>
          </cell>
        </row>
        <row r="7559">
          <cell r="C7559">
            <v>302070</v>
          </cell>
          <cell r="D7559" t="str">
            <v>K.MCG 28X33X17</v>
          </cell>
        </row>
        <row r="7560">
          <cell r="C7560">
            <v>511130</v>
          </cell>
          <cell r="D7560" t="str">
            <v>RO 2.5X13.8</v>
          </cell>
        </row>
        <row r="7561">
          <cell r="C7561">
            <v>302071</v>
          </cell>
          <cell r="D7561" t="str">
            <v>K.MCG 45X56X52 T3C(F)</v>
          </cell>
        </row>
        <row r="7562">
          <cell r="C7562">
            <v>502071</v>
          </cell>
          <cell r="D7562" t="str">
            <v>RO 5.494X20.3 BP</v>
          </cell>
        </row>
        <row r="7563">
          <cell r="C7563">
            <v>502071.01</v>
          </cell>
          <cell r="D7563" t="str">
            <v>RO 5.494X10.8 BP</v>
          </cell>
        </row>
        <row r="7564">
          <cell r="C7564">
            <v>202072</v>
          </cell>
          <cell r="D7564" t="str">
            <v>OR.SC 205</v>
          </cell>
        </row>
        <row r="7565">
          <cell r="C7565">
            <v>702072</v>
          </cell>
          <cell r="D7565" t="str">
            <v>RIVET.SC 205</v>
          </cell>
        </row>
        <row r="7566">
          <cell r="C7566">
            <v>102073</v>
          </cell>
          <cell r="D7566" t="str">
            <v>IR.Roller Assembly 42x368</v>
          </cell>
        </row>
        <row r="7567">
          <cell r="C7567">
            <v>1422351.02</v>
          </cell>
          <cell r="D7567" t="str">
            <v>6002 ZZ MATERIAL</v>
          </cell>
        </row>
        <row r="7568">
          <cell r="C7568">
            <v>202073</v>
          </cell>
          <cell r="D7568" t="str">
            <v>OR.Roller Assembly 42x368</v>
          </cell>
        </row>
        <row r="7569">
          <cell r="C7569">
            <v>702073</v>
          </cell>
          <cell r="D7569" t="str">
            <v>CIRCLIP.Roller Assembly 4</v>
          </cell>
        </row>
        <row r="7570">
          <cell r="C7570">
            <v>302074</v>
          </cell>
          <cell r="D7570" t="str">
            <v>K.MCG 45X57X25 T</v>
          </cell>
        </row>
        <row r="7571">
          <cell r="C7571">
            <v>502074</v>
          </cell>
          <cell r="D7571" t="str">
            <v>RO 6X20.8 BPER</v>
          </cell>
        </row>
        <row r="7572">
          <cell r="C7572">
            <v>302075</v>
          </cell>
          <cell r="D7572" t="str">
            <v>K.MCG 96X104X71.6</v>
          </cell>
        </row>
        <row r="7573">
          <cell r="C7573">
            <v>502011.4</v>
          </cell>
          <cell r="D7573" t="str">
            <v>RO 4X21.8 BP</v>
          </cell>
        </row>
        <row r="7574">
          <cell r="C7574">
            <v>302076</v>
          </cell>
          <cell r="D7574" t="str">
            <v>K.MCG 90X98X49.8</v>
          </cell>
        </row>
        <row r="7575">
          <cell r="C7575">
            <v>502075</v>
          </cell>
          <cell r="D7575" t="str">
            <v>RO 4X39.8 BP</v>
          </cell>
        </row>
        <row r="7576">
          <cell r="C7576">
            <v>302077</v>
          </cell>
          <cell r="D7576" t="str">
            <v>K.MCG 92X100X62.8 ZW-T</v>
          </cell>
        </row>
        <row r="7577">
          <cell r="C7577">
            <v>502077</v>
          </cell>
          <cell r="D7577" t="str">
            <v>RO 4X26.3 BP</v>
          </cell>
        </row>
        <row r="7578">
          <cell r="C7578">
            <v>1402078</v>
          </cell>
          <cell r="D7578" t="str">
            <v>YAT205 MATERIAL</v>
          </cell>
        </row>
        <row r="7579">
          <cell r="C7579">
            <v>1402079</v>
          </cell>
          <cell r="D7579" t="str">
            <v>PFT 52 MATERIAL</v>
          </cell>
        </row>
        <row r="7580">
          <cell r="C7580">
            <v>1402078.02</v>
          </cell>
          <cell r="D7580" t="str">
            <v>HCN308_HSG PAS210 MATERIL</v>
          </cell>
        </row>
        <row r="7581">
          <cell r="C7581">
            <v>1402078.03</v>
          </cell>
          <cell r="D7581" t="str">
            <v>YET206_HSG PF62 MATERIL</v>
          </cell>
        </row>
        <row r="7582">
          <cell r="C7582">
            <v>1402078.04</v>
          </cell>
          <cell r="D7582" t="str">
            <v>YET207_HSG PF72 MATERIAL</v>
          </cell>
        </row>
        <row r="7583">
          <cell r="C7583">
            <v>1402078.05</v>
          </cell>
          <cell r="D7583" t="str">
            <v>YET208_HSG PF80 MATERIAL</v>
          </cell>
        </row>
        <row r="7584">
          <cell r="C7584">
            <v>102078.06</v>
          </cell>
          <cell r="D7584" t="str">
            <v>IR.203KRR3</v>
          </cell>
        </row>
        <row r="7585">
          <cell r="C7585">
            <v>202078.06</v>
          </cell>
          <cell r="D7585" t="str">
            <v>OR.203KRR3</v>
          </cell>
        </row>
        <row r="7586">
          <cell r="C7586">
            <v>301103.5</v>
          </cell>
          <cell r="D7586" t="str">
            <v>NCG. 3203 2RS</v>
          </cell>
        </row>
        <row r="7587">
          <cell r="C7587">
            <v>501103.5</v>
          </cell>
          <cell r="D7587" t="str">
            <v>BALL 17/64"(IS:2898-1976)</v>
          </cell>
        </row>
        <row r="7588">
          <cell r="C7588">
            <v>702078.06</v>
          </cell>
          <cell r="D7588" t="str">
            <v>SEAL.203KRR3</v>
          </cell>
        </row>
        <row r="7589">
          <cell r="C7589">
            <v>102078.07</v>
          </cell>
          <cell r="D7589" t="str">
            <v>IR.CF5002-ASSY</v>
          </cell>
        </row>
        <row r="7590">
          <cell r="C7590">
            <v>102078.08</v>
          </cell>
          <cell r="D7590" t="str">
            <v>SHAFT.CF5002-ASSY</v>
          </cell>
        </row>
        <row r="7591">
          <cell r="C7591">
            <v>202078.07</v>
          </cell>
          <cell r="D7591" t="str">
            <v>OR.CF5002-ASSY</v>
          </cell>
        </row>
        <row r="7592">
          <cell r="C7592">
            <v>302078.07</v>
          </cell>
          <cell r="D7592" t="str">
            <v>NCG.CF5002-ASSY</v>
          </cell>
        </row>
        <row r="7593">
          <cell r="C7593">
            <v>511170</v>
          </cell>
          <cell r="D7593" t="str">
            <v>BALL 3/16" (IS:2898-1976)</v>
          </cell>
        </row>
        <row r="7594">
          <cell r="C7594">
            <v>5221247</v>
          </cell>
          <cell r="D7594" t="str">
            <v>O G SHELL GADUS S2 V100 3</v>
          </cell>
        </row>
        <row r="7595">
          <cell r="C7595">
            <v>702078.07</v>
          </cell>
          <cell r="D7595" t="str">
            <v>SEAL.CF5002-ASSY</v>
          </cell>
        </row>
        <row r="7596">
          <cell r="C7596">
            <v>102078.07</v>
          </cell>
          <cell r="D7596" t="str">
            <v>IR.CF5002-ASSY</v>
          </cell>
        </row>
        <row r="7597">
          <cell r="C7597">
            <v>202078.07</v>
          </cell>
          <cell r="D7597" t="str">
            <v>OR.CF5002-ASSY</v>
          </cell>
        </row>
        <row r="7598">
          <cell r="C7598">
            <v>302078.07</v>
          </cell>
          <cell r="D7598" t="str">
            <v>NCG.CF5002-ASSY</v>
          </cell>
        </row>
        <row r="7599">
          <cell r="C7599">
            <v>511170</v>
          </cell>
          <cell r="D7599" t="str">
            <v>BALL 3/16" (IS:2898-1976)</v>
          </cell>
        </row>
        <row r="7600">
          <cell r="C7600">
            <v>5221247</v>
          </cell>
          <cell r="D7600" t="str">
            <v>O G SHELL GADUS S2 V100 3</v>
          </cell>
        </row>
        <row r="7601">
          <cell r="C7601">
            <v>702078.07</v>
          </cell>
          <cell r="D7601" t="str">
            <v>SEAL.CF5002-ASSY</v>
          </cell>
        </row>
        <row r="7602">
          <cell r="C7602">
            <v>102078.08</v>
          </cell>
          <cell r="D7602" t="str">
            <v>SHAFT.CF5002-ASSY</v>
          </cell>
        </row>
        <row r="7603">
          <cell r="C7603">
            <v>1422080</v>
          </cell>
          <cell r="D7603" t="str">
            <v>UCT 205 MATERIAL</v>
          </cell>
        </row>
        <row r="7604">
          <cell r="C7604">
            <v>602080</v>
          </cell>
          <cell r="D7604" t="str">
            <v>G.SCREW M6X7</v>
          </cell>
        </row>
        <row r="7605">
          <cell r="C7605">
            <v>1422082</v>
          </cell>
          <cell r="D7605" t="str">
            <v>100158 MATERIAL</v>
          </cell>
        </row>
        <row r="7606">
          <cell r="C7606">
            <v>1422083</v>
          </cell>
          <cell r="D7606" t="str">
            <v>PHS 25 MATERIAL</v>
          </cell>
        </row>
        <row r="7607">
          <cell r="C7607">
            <v>1422084</v>
          </cell>
          <cell r="D7607" t="str">
            <v>PHS 8 MATERIAL</v>
          </cell>
        </row>
        <row r="7608">
          <cell r="C7608">
            <v>102085</v>
          </cell>
          <cell r="D7608" t="str">
            <v>P.IR 8635C</v>
          </cell>
        </row>
        <row r="7609">
          <cell r="C7609">
            <v>102086</v>
          </cell>
          <cell r="D7609" t="str">
            <v>P.IR 7330C</v>
          </cell>
        </row>
        <row r="7610">
          <cell r="C7610">
            <v>102087</v>
          </cell>
          <cell r="D7610" t="str">
            <v>P.IR 8641C</v>
          </cell>
        </row>
        <row r="7611">
          <cell r="C7611">
            <v>102088</v>
          </cell>
          <cell r="D7611" t="str">
            <v>P.IR 7616-1C</v>
          </cell>
        </row>
        <row r="7612">
          <cell r="C7612">
            <v>202089</v>
          </cell>
          <cell r="D7612" t="str">
            <v>P. OR 8633R</v>
          </cell>
        </row>
        <row r="7613">
          <cell r="C7613">
            <v>202090</v>
          </cell>
          <cell r="D7613" t="str">
            <v>P.OR 8638R</v>
          </cell>
        </row>
        <row r="7614">
          <cell r="C7614">
            <v>102091</v>
          </cell>
          <cell r="D7614" t="str">
            <v>MCA.IR 5025</v>
          </cell>
        </row>
        <row r="7615">
          <cell r="C7615">
            <v>502091</v>
          </cell>
          <cell r="D7615" t="str">
            <v>RO 8.25X25.2 BPM</v>
          </cell>
        </row>
        <row r="7616">
          <cell r="C7616">
            <v>702091</v>
          </cell>
          <cell r="D7616" t="str">
            <v>SLEEVE.MCA 5025</v>
          </cell>
        </row>
        <row r="7617">
          <cell r="C7617">
            <v>302092</v>
          </cell>
          <cell r="D7617" t="str">
            <v>K.MCG 45X53X20 T</v>
          </cell>
        </row>
        <row r="7618">
          <cell r="C7618">
            <v>511436</v>
          </cell>
          <cell r="D7618" t="str">
            <v>RO 4X15.8 (CRA)</v>
          </cell>
        </row>
        <row r="7619">
          <cell r="C7619">
            <v>302093</v>
          </cell>
          <cell r="D7619" t="str">
            <v>K.MCG 45X53X28 T</v>
          </cell>
        </row>
        <row r="7620">
          <cell r="C7620">
            <v>502004</v>
          </cell>
          <cell r="D7620" t="str">
            <v>RO 4X24.8 BP</v>
          </cell>
        </row>
        <row r="7621">
          <cell r="C7621">
            <v>302094</v>
          </cell>
          <cell r="D7621" t="str">
            <v>K.MCG 25X31X20 T</v>
          </cell>
        </row>
        <row r="7622">
          <cell r="C7622">
            <v>511819.01</v>
          </cell>
          <cell r="D7622" t="str">
            <v>RO 3X15.8</v>
          </cell>
        </row>
        <row r="7623">
          <cell r="C7623">
            <v>302095</v>
          </cell>
          <cell r="D7623" t="str">
            <v>K.BRASS 31X46X27.2 NW</v>
          </cell>
        </row>
        <row r="7624">
          <cell r="C7624">
            <v>502095</v>
          </cell>
          <cell r="D7624" t="str">
            <v>RO 7.5X23.00 BPM</v>
          </cell>
        </row>
        <row r="7625">
          <cell r="C7625">
            <v>103001</v>
          </cell>
          <cell r="D7625" t="str">
            <v>940041334 MATERIAL</v>
          </cell>
        </row>
        <row r="7626">
          <cell r="C7626">
            <v>103002</v>
          </cell>
          <cell r="D7626" t="str">
            <v>940041550 MATERIAL</v>
          </cell>
        </row>
        <row r="7627">
          <cell r="C7627">
            <v>103003</v>
          </cell>
          <cell r="D7627" t="str">
            <v>940041552 MATERIAL</v>
          </cell>
        </row>
        <row r="7628">
          <cell r="C7628">
            <v>103004</v>
          </cell>
          <cell r="D7628" t="str">
            <v>940041664 MATERIAL</v>
          </cell>
        </row>
        <row r="7629">
          <cell r="C7629">
            <v>103004.01</v>
          </cell>
          <cell r="D7629" t="str">
            <v>940041664 Rev 05 MATERIAL</v>
          </cell>
        </row>
        <row r="7630">
          <cell r="C7630">
            <v>103005</v>
          </cell>
          <cell r="D7630" t="str">
            <v>940041677 MATERIAL</v>
          </cell>
        </row>
        <row r="7631">
          <cell r="C7631">
            <v>103006</v>
          </cell>
          <cell r="D7631" t="str">
            <v>940041822 MATERIAL</v>
          </cell>
        </row>
        <row r="7632">
          <cell r="C7632">
            <v>103007</v>
          </cell>
          <cell r="D7632" t="str">
            <v>940041539  MATERIAL</v>
          </cell>
        </row>
        <row r="7633">
          <cell r="C7633">
            <v>103008</v>
          </cell>
          <cell r="D7633" t="str">
            <v>940123203 MATERIAL</v>
          </cell>
        </row>
        <row r="7634">
          <cell r="C7634">
            <v>1423100</v>
          </cell>
          <cell r="D7634" t="str">
            <v>HK 2520 MATERIAL</v>
          </cell>
        </row>
        <row r="7635">
          <cell r="C7635">
            <v>203100</v>
          </cell>
          <cell r="D7635" t="str">
            <v>HK.CUP 2520</v>
          </cell>
        </row>
        <row r="7636">
          <cell r="C7636">
            <v>300954</v>
          </cell>
          <cell r="D7636" t="str">
            <v>HK.MCG 2520</v>
          </cell>
        </row>
        <row r="7637">
          <cell r="C7637">
            <v>503103</v>
          </cell>
          <cell r="D7637" t="str">
            <v>RO 2.5X15.2 BP</v>
          </cell>
        </row>
        <row r="7638">
          <cell r="C7638">
            <v>1423100.2</v>
          </cell>
          <cell r="D7638" t="str">
            <v>HK 2520 OH MATERIAL</v>
          </cell>
        </row>
        <row r="7639">
          <cell r="C7639">
            <v>203100.3</v>
          </cell>
          <cell r="D7639" t="str">
            <v>HK.CUP 2512</v>
          </cell>
        </row>
        <row r="7640">
          <cell r="C7640">
            <v>300968</v>
          </cell>
          <cell r="D7640" t="str">
            <v>HK.MCG 2512</v>
          </cell>
        </row>
        <row r="7641">
          <cell r="C7641">
            <v>511406</v>
          </cell>
          <cell r="D7641" t="str">
            <v>RO 2.5X6.8 BP</v>
          </cell>
        </row>
        <row r="7642">
          <cell r="C7642">
            <v>1423101</v>
          </cell>
          <cell r="D7642" t="str">
            <v>HK 1010 MATERIAL</v>
          </cell>
        </row>
        <row r="7643">
          <cell r="C7643">
            <v>203101</v>
          </cell>
          <cell r="D7643" t="str">
            <v>HK.CUP 1010</v>
          </cell>
        </row>
        <row r="7644">
          <cell r="C7644">
            <v>300960</v>
          </cell>
          <cell r="D7644" t="str">
            <v>HK.MCG 1010</v>
          </cell>
        </row>
        <row r="7645">
          <cell r="C7645">
            <v>550006</v>
          </cell>
          <cell r="D7645" t="str">
            <v>RO 1.5X6 BP</v>
          </cell>
        </row>
        <row r="7646">
          <cell r="C7646">
            <v>1423101.21</v>
          </cell>
          <cell r="D7646" t="str">
            <v>HK 1010  OH MATERIAL</v>
          </cell>
        </row>
        <row r="7647">
          <cell r="C7647">
            <v>703101.4</v>
          </cell>
          <cell r="D7647" t="str">
            <v>HK.SEAL 1010 2RS</v>
          </cell>
        </row>
        <row r="7648">
          <cell r="C7648">
            <v>1423102</v>
          </cell>
          <cell r="D7648" t="str">
            <v>HK 810 MATERIAL</v>
          </cell>
        </row>
        <row r="7649">
          <cell r="C7649">
            <v>203117.6</v>
          </cell>
          <cell r="D7649" t="str">
            <v>HK.CUP 0810</v>
          </cell>
        </row>
        <row r="7650">
          <cell r="C7650">
            <v>300962</v>
          </cell>
          <cell r="D7650" t="str">
            <v>HK.MCG 0810</v>
          </cell>
        </row>
        <row r="7651">
          <cell r="C7651">
            <v>550006</v>
          </cell>
          <cell r="D7651" t="str">
            <v>RO 1.5X6 BP</v>
          </cell>
        </row>
        <row r="7652">
          <cell r="C7652">
            <v>1423103</v>
          </cell>
          <cell r="D7652" t="str">
            <v>HK 4520 MATERIAL</v>
          </cell>
        </row>
        <row r="7653">
          <cell r="C7653">
            <v>213103</v>
          </cell>
          <cell r="D7653" t="str">
            <v>HK.CUP 4520</v>
          </cell>
        </row>
        <row r="7654">
          <cell r="C7654">
            <v>300970</v>
          </cell>
          <cell r="D7654" t="str">
            <v>HK.MCG 4520</v>
          </cell>
        </row>
        <row r="7655">
          <cell r="C7655">
            <v>503103</v>
          </cell>
          <cell r="D7655" t="str">
            <v>RO 2.5X15.2 BP</v>
          </cell>
        </row>
        <row r="7656">
          <cell r="C7656">
            <v>1423104</v>
          </cell>
          <cell r="D7656" t="str">
            <v>HK 2526 MATERIAL</v>
          </cell>
        </row>
        <row r="7657">
          <cell r="C7657">
            <v>213103</v>
          </cell>
          <cell r="D7657" t="str">
            <v>HK.CUP 4520</v>
          </cell>
        </row>
        <row r="7658">
          <cell r="C7658">
            <v>300970</v>
          </cell>
          <cell r="D7658" t="str">
            <v>HK.MCG 4520</v>
          </cell>
        </row>
        <row r="7659">
          <cell r="C7659">
            <v>503103</v>
          </cell>
          <cell r="D7659" t="str">
            <v>RO 2.5X15.2 BP</v>
          </cell>
        </row>
        <row r="7660">
          <cell r="C7660">
            <v>1423105</v>
          </cell>
          <cell r="D7660" t="str">
            <v>HK 1616 MATERIAL</v>
          </cell>
        </row>
        <row r="7661">
          <cell r="C7661">
            <v>1423105.21</v>
          </cell>
          <cell r="D7661" t="str">
            <v>HK 1616 OH MATERIAL</v>
          </cell>
        </row>
        <row r="7662">
          <cell r="C7662">
            <v>203105</v>
          </cell>
          <cell r="D7662" t="str">
            <v>HK.CUP 1616</v>
          </cell>
        </row>
        <row r="7663">
          <cell r="C7663">
            <v>300964</v>
          </cell>
          <cell r="D7663" t="str">
            <v>HK.MCG 1616</v>
          </cell>
        </row>
        <row r="7664">
          <cell r="C7664">
            <v>550002</v>
          </cell>
          <cell r="D7664" t="str">
            <v>RO 2X11.2 BP</v>
          </cell>
        </row>
        <row r="7665">
          <cell r="C7665">
            <v>1423106</v>
          </cell>
          <cell r="D7665" t="str">
            <v>HK 1015 MATEIRAL</v>
          </cell>
        </row>
        <row r="7666">
          <cell r="C7666">
            <v>1423106</v>
          </cell>
          <cell r="D7666" t="str">
            <v>HK 1015 MATEIRAL</v>
          </cell>
        </row>
        <row r="7667">
          <cell r="C7667">
            <v>1423106</v>
          </cell>
          <cell r="D7667" t="str">
            <v>HK 1015 MATEIRAL</v>
          </cell>
        </row>
        <row r="7668">
          <cell r="C7668">
            <v>203106.11</v>
          </cell>
          <cell r="D7668" t="str">
            <v>HK.CUP 1015</v>
          </cell>
        </row>
        <row r="7669">
          <cell r="C7669">
            <v>300961</v>
          </cell>
          <cell r="D7669" t="str">
            <v>HK.MCG 1015</v>
          </cell>
        </row>
        <row r="7670">
          <cell r="C7670">
            <v>550007</v>
          </cell>
          <cell r="D7670" t="str">
            <v>RO 1.5X10.8 BP</v>
          </cell>
        </row>
        <row r="7671">
          <cell r="C7671">
            <v>142306.21</v>
          </cell>
          <cell r="D7671" t="str">
            <v>HK 1015 HO MATERIAL</v>
          </cell>
        </row>
        <row r="7672">
          <cell r="C7672">
            <v>1423107</v>
          </cell>
          <cell r="D7672" t="str">
            <v>HK 1210 MATERIAL</v>
          </cell>
        </row>
        <row r="7673">
          <cell r="C7673">
            <v>203107.11</v>
          </cell>
          <cell r="D7673" t="str">
            <v>HK.CUP 1210</v>
          </cell>
        </row>
        <row r="7674">
          <cell r="C7674">
            <v>203107.11</v>
          </cell>
          <cell r="D7674" t="str">
            <v>HK.CUP 1210</v>
          </cell>
        </row>
        <row r="7675">
          <cell r="C7675">
            <v>300951</v>
          </cell>
          <cell r="D7675" t="str">
            <v>HK.MCG 1210</v>
          </cell>
        </row>
        <row r="7676">
          <cell r="C7676">
            <v>300951</v>
          </cell>
          <cell r="D7676" t="str">
            <v>HK.MCG 1210</v>
          </cell>
        </row>
        <row r="7677">
          <cell r="C7677">
            <v>550004</v>
          </cell>
          <cell r="D7677" t="str">
            <v>RO 1.5X6.2 BP</v>
          </cell>
        </row>
        <row r="7678">
          <cell r="C7678">
            <v>550004</v>
          </cell>
          <cell r="D7678" t="str">
            <v>RO 1.5X6.2 BP</v>
          </cell>
        </row>
        <row r="7679">
          <cell r="C7679">
            <v>1423107.21</v>
          </cell>
          <cell r="D7679" t="str">
            <v>HK 1210 OH MATERIAL</v>
          </cell>
        </row>
        <row r="7680">
          <cell r="C7680">
            <v>203107.3</v>
          </cell>
          <cell r="D7680" t="str">
            <v>HK.CUP 1212</v>
          </cell>
        </row>
        <row r="7681">
          <cell r="C7681">
            <v>303107.3</v>
          </cell>
          <cell r="D7681" t="str">
            <v>HK.MCG 1212</v>
          </cell>
        </row>
        <row r="7682">
          <cell r="C7682">
            <v>503107.3</v>
          </cell>
          <cell r="D7682" t="str">
            <v>RO 2X7.3 BP</v>
          </cell>
        </row>
        <row r="7683">
          <cell r="C7683">
            <v>1423108</v>
          </cell>
          <cell r="D7683" t="str">
            <v>KT 81110 C3 MATERIAL</v>
          </cell>
        </row>
        <row r="7684">
          <cell r="C7684">
            <v>203109</v>
          </cell>
          <cell r="D7684" t="str">
            <v>HK.CUP 1412</v>
          </cell>
        </row>
        <row r="7685">
          <cell r="C7685">
            <v>203109</v>
          </cell>
          <cell r="D7685" t="str">
            <v>HK.CUP 1412</v>
          </cell>
        </row>
        <row r="7686">
          <cell r="C7686">
            <v>300967</v>
          </cell>
          <cell r="D7686" t="str">
            <v>HK.MCG 1412</v>
          </cell>
        </row>
        <row r="7687">
          <cell r="C7687">
            <v>300967</v>
          </cell>
          <cell r="D7687" t="str">
            <v>HK.MCG 1412</v>
          </cell>
        </row>
        <row r="7688">
          <cell r="C7688">
            <v>503109</v>
          </cell>
          <cell r="D7688" t="str">
            <v>RO 2X7.2</v>
          </cell>
        </row>
        <row r="7689">
          <cell r="C7689">
            <v>1423109</v>
          </cell>
          <cell r="D7689" t="str">
            <v>HK 1412 MATERIAL</v>
          </cell>
        </row>
        <row r="7690">
          <cell r="C7690">
            <v>1423109.21</v>
          </cell>
          <cell r="D7690" t="str">
            <v>HK 1412 OH MATERIAL</v>
          </cell>
        </row>
        <row r="7691">
          <cell r="C7691">
            <v>203109.5</v>
          </cell>
          <cell r="D7691" t="str">
            <v>BA.CUP 1412</v>
          </cell>
        </row>
        <row r="7692">
          <cell r="C7692">
            <v>303109.5</v>
          </cell>
          <cell r="D7692" t="str">
            <v>BA.MCG 1412</v>
          </cell>
        </row>
        <row r="7693">
          <cell r="C7693">
            <v>550003</v>
          </cell>
          <cell r="D7693" t="str">
            <v>RO 2.379X14.8 BP</v>
          </cell>
        </row>
        <row r="7694">
          <cell r="C7694">
            <v>1423110</v>
          </cell>
          <cell r="D7694" t="str">
            <v>HK 1512 MATERIAL</v>
          </cell>
        </row>
        <row r="7695">
          <cell r="C7695">
            <v>1423110.21</v>
          </cell>
          <cell r="D7695" t="str">
            <v>HK 1512 OH MATERIAL</v>
          </cell>
        </row>
        <row r="7696">
          <cell r="C7696">
            <v>203110</v>
          </cell>
          <cell r="D7696" t="str">
            <v>HK.CUP 1512</v>
          </cell>
        </row>
        <row r="7697">
          <cell r="C7697">
            <v>300958</v>
          </cell>
          <cell r="D7697" t="str">
            <v>HK.MCG 1512</v>
          </cell>
        </row>
        <row r="7698">
          <cell r="C7698">
            <v>550013</v>
          </cell>
          <cell r="D7698" t="str">
            <v>RO 2.2X7.8 BP</v>
          </cell>
        </row>
        <row r="7699">
          <cell r="C7699">
            <v>203110.41</v>
          </cell>
          <cell r="D7699" t="str">
            <v>HK.CUP 1518</v>
          </cell>
        </row>
        <row r="7700">
          <cell r="C7700">
            <v>303110.40999999997</v>
          </cell>
          <cell r="D7700" t="str">
            <v>HK.MCG 1518</v>
          </cell>
        </row>
        <row r="7701">
          <cell r="C7701">
            <v>503110.41</v>
          </cell>
          <cell r="D7701" t="str">
            <v>RO 2X12.5 BP</v>
          </cell>
        </row>
        <row r="7702">
          <cell r="C7702">
            <v>1423111</v>
          </cell>
          <cell r="D7702" t="str">
            <v>JV 2016 MATERIAL</v>
          </cell>
        </row>
        <row r="7703">
          <cell r="C7703">
            <v>203111</v>
          </cell>
          <cell r="D7703" t="str">
            <v>JV.CUP 2016</v>
          </cell>
        </row>
        <row r="7704">
          <cell r="C7704">
            <v>300975</v>
          </cell>
          <cell r="D7704" t="str">
            <v>JV.MCG 2016</v>
          </cell>
        </row>
        <row r="7705">
          <cell r="C7705">
            <v>550005</v>
          </cell>
          <cell r="D7705" t="str">
            <v>RO 2.379X20.8 BP</v>
          </cell>
        </row>
        <row r="7706">
          <cell r="C7706">
            <v>203111</v>
          </cell>
          <cell r="D7706" t="str">
            <v>JV.CUP 2016</v>
          </cell>
        </row>
        <row r="7707">
          <cell r="C7707">
            <v>300975</v>
          </cell>
          <cell r="D7707" t="str">
            <v>JV.MCG 2016</v>
          </cell>
        </row>
        <row r="7708">
          <cell r="C7708">
            <v>550005</v>
          </cell>
          <cell r="D7708" t="str">
            <v>RO 2.379X20.8 BP</v>
          </cell>
        </row>
        <row r="7709">
          <cell r="C7709">
            <v>1423112</v>
          </cell>
          <cell r="D7709" t="str">
            <v>JV 126 MATERIAL</v>
          </cell>
        </row>
        <row r="7710">
          <cell r="C7710">
            <v>203112</v>
          </cell>
          <cell r="D7710" t="str">
            <v>JV.CUP 126</v>
          </cell>
        </row>
        <row r="7711">
          <cell r="C7711">
            <v>300974</v>
          </cell>
          <cell r="D7711" t="str">
            <v>JV.MCG 126</v>
          </cell>
        </row>
        <row r="7712">
          <cell r="C7712">
            <v>550009</v>
          </cell>
          <cell r="D7712" t="str">
            <v>RO 2.379X5 BP</v>
          </cell>
        </row>
        <row r="7713">
          <cell r="C7713">
            <v>203112</v>
          </cell>
          <cell r="D7713" t="str">
            <v>JV.CUP 126</v>
          </cell>
        </row>
        <row r="7714">
          <cell r="C7714">
            <v>300974</v>
          </cell>
          <cell r="D7714" t="str">
            <v>JV.MCG 126</v>
          </cell>
        </row>
        <row r="7715">
          <cell r="C7715">
            <v>550009</v>
          </cell>
          <cell r="D7715" t="str">
            <v>RO 2.379X5 BP</v>
          </cell>
        </row>
        <row r="7716">
          <cell r="C7716">
            <v>1423113</v>
          </cell>
          <cell r="D7716" t="str">
            <v>HK 1612 MATERIAL</v>
          </cell>
        </row>
        <row r="7717">
          <cell r="C7717">
            <v>203113</v>
          </cell>
          <cell r="D7717" t="str">
            <v>HK.CUP 1612</v>
          </cell>
        </row>
        <row r="7718">
          <cell r="C7718">
            <v>300956</v>
          </cell>
          <cell r="D7718" t="str">
            <v>HK.MCG 1612</v>
          </cell>
        </row>
        <row r="7719">
          <cell r="C7719">
            <v>503109</v>
          </cell>
          <cell r="D7719" t="str">
            <v>RO 2X7.2</v>
          </cell>
        </row>
        <row r="7720">
          <cell r="C7720">
            <v>1423113.21</v>
          </cell>
          <cell r="D7720" t="str">
            <v>HK 1612 OH MATERIAL</v>
          </cell>
        </row>
        <row r="7721">
          <cell r="C7721">
            <v>1423114</v>
          </cell>
          <cell r="D7721" t="str">
            <v>HK 2016 MATERIAL</v>
          </cell>
        </row>
        <row r="7722">
          <cell r="C7722">
            <v>203114</v>
          </cell>
          <cell r="D7722" t="str">
            <v>HK.CUP 2016</v>
          </cell>
        </row>
        <row r="7723">
          <cell r="C7723">
            <v>303114.5</v>
          </cell>
          <cell r="D7723" t="str">
            <v>HK.MCG 2020</v>
          </cell>
        </row>
        <row r="7724">
          <cell r="C7724">
            <v>511040</v>
          </cell>
          <cell r="D7724" t="str">
            <v>RO 2X11.8</v>
          </cell>
        </row>
        <row r="7725">
          <cell r="C7725">
            <v>203114.21</v>
          </cell>
          <cell r="D7725" t="str">
            <v>HK.CUP 2016 OH</v>
          </cell>
        </row>
        <row r="7726">
          <cell r="C7726">
            <v>300966</v>
          </cell>
          <cell r="D7726" t="str">
            <v>HK.MCG 2016</v>
          </cell>
        </row>
        <row r="7727">
          <cell r="C7727">
            <v>511040</v>
          </cell>
          <cell r="D7727" t="str">
            <v>RO 2X11.8</v>
          </cell>
        </row>
        <row r="7728">
          <cell r="C7728">
            <v>203114.21</v>
          </cell>
          <cell r="D7728" t="str">
            <v>HK.CUP 2016 OH</v>
          </cell>
        </row>
        <row r="7729">
          <cell r="C7729">
            <v>300966</v>
          </cell>
          <cell r="D7729" t="str">
            <v>HK.MCG 2016</v>
          </cell>
        </row>
        <row r="7730">
          <cell r="C7730">
            <v>511221</v>
          </cell>
          <cell r="D7730" t="str">
            <v>RO 2X10.8</v>
          </cell>
        </row>
        <row r="7731">
          <cell r="C7731">
            <v>203114.5</v>
          </cell>
          <cell r="D7731" t="str">
            <v>HK.CUP 2020</v>
          </cell>
        </row>
        <row r="7732">
          <cell r="C7732">
            <v>303114.5</v>
          </cell>
          <cell r="D7732" t="str">
            <v>HK.MCG 2020</v>
          </cell>
        </row>
        <row r="7733">
          <cell r="C7733">
            <v>503114.5</v>
          </cell>
          <cell r="D7733" t="str">
            <v>RO 2X14 BP</v>
          </cell>
        </row>
        <row r="7734">
          <cell r="C7734">
            <v>1423115</v>
          </cell>
          <cell r="D7734" t="str">
            <v>HK 3016 2RS MATERIAL</v>
          </cell>
        </row>
        <row r="7735">
          <cell r="C7735">
            <v>203115</v>
          </cell>
          <cell r="D7735" t="str">
            <v>HK.CUP 3016 2RS</v>
          </cell>
        </row>
        <row r="7736">
          <cell r="C7736">
            <v>300972</v>
          </cell>
          <cell r="D7736" t="str">
            <v>HK.MCG 3016 2RS</v>
          </cell>
        </row>
        <row r="7737">
          <cell r="C7737">
            <v>503115</v>
          </cell>
          <cell r="D7737" t="str">
            <v>RO 2.5X7.2</v>
          </cell>
        </row>
        <row r="7738">
          <cell r="C7738">
            <v>703115</v>
          </cell>
          <cell r="D7738" t="str">
            <v>HK.SEAL 3016 2RS</v>
          </cell>
        </row>
        <row r="7739">
          <cell r="C7739">
            <v>1423116</v>
          </cell>
          <cell r="D7739" t="str">
            <v>HK 3020 MATERIAL</v>
          </cell>
        </row>
        <row r="7740">
          <cell r="C7740">
            <v>203116</v>
          </cell>
          <cell r="D7740" t="str">
            <v>HK.CUP 3020</v>
          </cell>
        </row>
        <row r="7741">
          <cell r="C7741">
            <v>300952</v>
          </cell>
          <cell r="D7741" t="str">
            <v>HK.MCG 3020</v>
          </cell>
        </row>
        <row r="7742">
          <cell r="C7742">
            <v>503103</v>
          </cell>
          <cell r="D7742" t="str">
            <v>RO 2.5X15.2 BP</v>
          </cell>
        </row>
        <row r="7743">
          <cell r="C7743">
            <v>913001</v>
          </cell>
          <cell r="D7743" t="str">
            <v>Box 48x30x40</v>
          </cell>
        </row>
        <row r="7744">
          <cell r="C7744">
            <v>1423116.21</v>
          </cell>
          <cell r="D7744" t="str">
            <v>HK 3020 OH MATERIAL</v>
          </cell>
        </row>
        <row r="7745">
          <cell r="C7745">
            <v>203116</v>
          </cell>
          <cell r="D7745" t="str">
            <v>HK.CUP 3020</v>
          </cell>
        </row>
        <row r="7746">
          <cell r="C7746">
            <v>300952</v>
          </cell>
          <cell r="D7746" t="str">
            <v>HK.MCG 3020</v>
          </cell>
        </row>
        <row r="7747">
          <cell r="C7747">
            <v>503103</v>
          </cell>
          <cell r="D7747" t="str">
            <v>RO 2.5X15.2 BP</v>
          </cell>
        </row>
        <row r="7748">
          <cell r="C7748">
            <v>1423117</v>
          </cell>
          <cell r="D7748" t="str">
            <v>HK 0609 MATERIAL</v>
          </cell>
        </row>
        <row r="7749">
          <cell r="C7749">
            <v>203117</v>
          </cell>
          <cell r="D7749" t="str">
            <v>HK.CUP 0609</v>
          </cell>
        </row>
        <row r="7750">
          <cell r="C7750">
            <v>300953</v>
          </cell>
          <cell r="D7750" t="str">
            <v>HK.MCG 0609</v>
          </cell>
        </row>
        <row r="7751">
          <cell r="C7751">
            <v>503117.5</v>
          </cell>
          <cell r="D7751" t="str">
            <v>RO 1.5X5 BP</v>
          </cell>
        </row>
        <row r="7752">
          <cell r="C7752">
            <v>203117</v>
          </cell>
          <cell r="D7752" t="str">
            <v>HK.CUP 0609</v>
          </cell>
        </row>
        <row r="7753">
          <cell r="C7753">
            <v>303117</v>
          </cell>
          <cell r="D7753" t="str">
            <v>HK.MCG 0609</v>
          </cell>
        </row>
        <row r="7754">
          <cell r="C7754">
            <v>503117.5</v>
          </cell>
          <cell r="D7754" t="str">
            <v>RO 1.5X5 BP</v>
          </cell>
        </row>
        <row r="7755">
          <cell r="C7755">
            <v>203117.2</v>
          </cell>
          <cell r="D7755" t="str">
            <v>HK.CUP 0608</v>
          </cell>
        </row>
        <row r="7756">
          <cell r="C7756">
            <v>303117.2</v>
          </cell>
          <cell r="D7756" t="str">
            <v>HK.MCG 0608</v>
          </cell>
        </row>
        <row r="7757">
          <cell r="C7757">
            <v>503117.5</v>
          </cell>
          <cell r="D7757" t="str">
            <v>RO 1.5X5 BP</v>
          </cell>
        </row>
        <row r="7758">
          <cell r="C7758">
            <v>203117.5</v>
          </cell>
          <cell r="D7758" t="str">
            <v>HK.CUP 0808</v>
          </cell>
        </row>
        <row r="7759">
          <cell r="C7759">
            <v>300955</v>
          </cell>
          <cell r="D7759" t="str">
            <v>HK.MCG 0808</v>
          </cell>
        </row>
        <row r="7760">
          <cell r="C7760">
            <v>503117.5</v>
          </cell>
          <cell r="D7760" t="str">
            <v>RO 1.5X5 BP</v>
          </cell>
        </row>
        <row r="7761">
          <cell r="C7761">
            <v>203117.5</v>
          </cell>
          <cell r="D7761" t="str">
            <v>HK.CUP 0808</v>
          </cell>
        </row>
        <row r="7762">
          <cell r="C7762">
            <v>300955</v>
          </cell>
          <cell r="D7762" t="str">
            <v>HK.MCG 0808</v>
          </cell>
        </row>
        <row r="7763">
          <cell r="C7763">
            <v>503117.5</v>
          </cell>
          <cell r="D7763" t="str">
            <v>RO 1.5X5 BP</v>
          </cell>
        </row>
        <row r="7764">
          <cell r="C7764">
            <v>203117.7</v>
          </cell>
          <cell r="D7764" t="str">
            <v>BK.CUP 0810</v>
          </cell>
        </row>
        <row r="7765">
          <cell r="C7765">
            <v>300962</v>
          </cell>
          <cell r="D7765" t="str">
            <v>HK.MCG 0810</v>
          </cell>
        </row>
        <row r="7766">
          <cell r="C7766">
            <v>550006</v>
          </cell>
          <cell r="D7766" t="str">
            <v>RO 1.5X6 BP</v>
          </cell>
        </row>
        <row r="7767">
          <cell r="C7767">
            <v>1423118</v>
          </cell>
          <cell r="D7767" t="str">
            <v>HK 1012 MATERIAL</v>
          </cell>
        </row>
        <row r="7768">
          <cell r="C7768">
            <v>203118.11</v>
          </cell>
          <cell r="D7768" t="str">
            <v>HK.CUP 1012</v>
          </cell>
        </row>
        <row r="7769">
          <cell r="C7769">
            <v>300950</v>
          </cell>
          <cell r="D7769" t="str">
            <v>HK.MCG 1012</v>
          </cell>
        </row>
        <row r="7770">
          <cell r="C7770">
            <v>511427</v>
          </cell>
          <cell r="D7770" t="str">
            <v>RO 1.5X7.8 BP</v>
          </cell>
        </row>
        <row r="7771">
          <cell r="C7771">
            <v>1423118.21</v>
          </cell>
          <cell r="D7771" t="str">
            <v>HK 1012 OH MATERIAL</v>
          </cell>
        </row>
        <row r="7772">
          <cell r="C7772">
            <v>1423119</v>
          </cell>
          <cell r="D7772" t="str">
            <v>HK 2216 MATERIAL</v>
          </cell>
        </row>
        <row r="7773">
          <cell r="C7773">
            <v>203119.11</v>
          </cell>
          <cell r="D7773" t="str">
            <v>HK.CUP 2216</v>
          </cell>
        </row>
        <row r="7774">
          <cell r="C7774">
            <v>300959</v>
          </cell>
          <cell r="D7774" t="str">
            <v>HK.MCG 2216</v>
          </cell>
        </row>
        <row r="7775">
          <cell r="C7775">
            <v>511221</v>
          </cell>
          <cell r="D7775" t="str">
            <v>RO 2X10.8</v>
          </cell>
        </row>
        <row r="7776">
          <cell r="C7776">
            <v>1423119.2</v>
          </cell>
          <cell r="D7776" t="str">
            <v>HK 2216 WC MATERIAL</v>
          </cell>
        </row>
        <row r="7777">
          <cell r="C7777">
            <v>1423119.21</v>
          </cell>
          <cell r="D7777" t="str">
            <v>HK 2216 OH MATERIAL</v>
          </cell>
        </row>
        <row r="7778">
          <cell r="C7778">
            <v>203119.11</v>
          </cell>
          <cell r="D7778" t="str">
            <v>HK.CUP 2216</v>
          </cell>
        </row>
        <row r="7779">
          <cell r="C7779">
            <v>300959</v>
          </cell>
          <cell r="D7779" t="str">
            <v>HK.MCG 2216</v>
          </cell>
        </row>
        <row r="7780">
          <cell r="C7780">
            <v>511221</v>
          </cell>
          <cell r="D7780" t="str">
            <v>RO 2X10.8</v>
          </cell>
        </row>
        <row r="7781">
          <cell r="C7781">
            <v>203120</v>
          </cell>
          <cell r="D7781" t="str">
            <v>HK.CUP 1312</v>
          </cell>
        </row>
        <row r="7782">
          <cell r="C7782">
            <v>303120</v>
          </cell>
          <cell r="D7782" t="str">
            <v>HK.MCG 1312</v>
          </cell>
        </row>
        <row r="7783">
          <cell r="C7783">
            <v>500391.22</v>
          </cell>
          <cell r="D7783" t="str">
            <v>RO 2X6.8 BP</v>
          </cell>
        </row>
        <row r="7784">
          <cell r="C7784">
            <v>1423120.21</v>
          </cell>
          <cell r="D7784" t="str">
            <v>HK 1312 OH  MATERIAL</v>
          </cell>
        </row>
        <row r="7785">
          <cell r="C7785">
            <v>203120.31</v>
          </cell>
          <cell r="D7785" t="str">
            <v>BK.CUP 1312</v>
          </cell>
        </row>
        <row r="7786">
          <cell r="C7786">
            <v>303120</v>
          </cell>
          <cell r="D7786" t="str">
            <v>HK.MCG 1312</v>
          </cell>
        </row>
        <row r="7787">
          <cell r="C7787">
            <v>500391.22</v>
          </cell>
          <cell r="D7787" t="str">
            <v>RO 2X6.8 BP</v>
          </cell>
        </row>
        <row r="7788">
          <cell r="C7788">
            <v>203121</v>
          </cell>
          <cell r="D7788" t="str">
            <v>HK.CUP 2212</v>
          </cell>
        </row>
        <row r="7789">
          <cell r="C7789">
            <v>300965</v>
          </cell>
          <cell r="D7789" t="str">
            <v>HK.MCG 2212</v>
          </cell>
        </row>
        <row r="7790">
          <cell r="C7790">
            <v>503109</v>
          </cell>
          <cell r="D7790" t="str">
            <v>RO 2X7.2</v>
          </cell>
        </row>
        <row r="7791">
          <cell r="C7791">
            <v>203121.1</v>
          </cell>
          <cell r="D7791" t="str">
            <v>HK.CUP 2210</v>
          </cell>
        </row>
        <row r="7792">
          <cell r="C7792">
            <v>300963</v>
          </cell>
          <cell r="D7792" t="str">
            <v>HK.MCG 2210</v>
          </cell>
        </row>
        <row r="7793">
          <cell r="C7793">
            <v>511091</v>
          </cell>
          <cell r="D7793" t="str">
            <v>RO 2X5.8</v>
          </cell>
        </row>
        <row r="7794">
          <cell r="C7794">
            <v>203121.3</v>
          </cell>
          <cell r="D7794" t="str">
            <v>HK.CUP 222930</v>
          </cell>
        </row>
        <row r="7795">
          <cell r="C7795">
            <v>303121.3</v>
          </cell>
          <cell r="D7795" t="str">
            <v>HK.MCG 222930</v>
          </cell>
        </row>
        <row r="7796">
          <cell r="C7796">
            <v>511446</v>
          </cell>
          <cell r="D7796" t="str">
            <v>RO 2.5X23.8</v>
          </cell>
        </row>
        <row r="7797">
          <cell r="C7797">
            <v>1423122</v>
          </cell>
          <cell r="D7797" t="str">
            <v>HK 1516 MATERIAL</v>
          </cell>
        </row>
        <row r="7798">
          <cell r="C7798">
            <v>203123</v>
          </cell>
          <cell r="D7798" t="str">
            <v>BK.CUP 1010</v>
          </cell>
        </row>
        <row r="7799">
          <cell r="C7799">
            <v>203123</v>
          </cell>
          <cell r="D7799" t="str">
            <v>BK.CUP 1010</v>
          </cell>
        </row>
        <row r="7800">
          <cell r="C7800">
            <v>303123</v>
          </cell>
          <cell r="D7800" t="str">
            <v>BK.MCG 1010</v>
          </cell>
        </row>
        <row r="7801">
          <cell r="C7801">
            <v>303123</v>
          </cell>
          <cell r="D7801" t="str">
            <v>BK.MCG 1010</v>
          </cell>
        </row>
        <row r="7802">
          <cell r="C7802">
            <v>550004</v>
          </cell>
          <cell r="D7802" t="str">
            <v>RO 1.5X6.2 BP</v>
          </cell>
        </row>
        <row r="7803">
          <cell r="C7803">
            <v>550006</v>
          </cell>
          <cell r="D7803" t="str">
            <v>RO 1.5X6 BP</v>
          </cell>
        </row>
        <row r="7804">
          <cell r="C7804">
            <v>203124</v>
          </cell>
          <cell r="D7804" t="str">
            <v>HK.CUP 0812 2RS</v>
          </cell>
        </row>
        <row r="7805">
          <cell r="C7805">
            <v>300955</v>
          </cell>
          <cell r="D7805" t="str">
            <v>HK.MCG 0808</v>
          </cell>
        </row>
        <row r="7806">
          <cell r="C7806">
            <v>503117.5</v>
          </cell>
          <cell r="D7806" t="str">
            <v>RO 1.5X5 BP</v>
          </cell>
        </row>
        <row r="7807">
          <cell r="C7807">
            <v>703124</v>
          </cell>
          <cell r="D7807" t="str">
            <v>HK.SEAL 0812 2RS FKM</v>
          </cell>
        </row>
        <row r="7808">
          <cell r="C7808">
            <v>203125</v>
          </cell>
          <cell r="D7808" t="str">
            <v>JV.CUP 2012</v>
          </cell>
        </row>
        <row r="7809">
          <cell r="C7809">
            <v>300973</v>
          </cell>
          <cell r="D7809" t="str">
            <v>JV.MCG 2012</v>
          </cell>
        </row>
        <row r="7810">
          <cell r="C7810">
            <v>550003</v>
          </cell>
          <cell r="D7810" t="str">
            <v>RO 2.379X14.8 BP</v>
          </cell>
        </row>
        <row r="7811">
          <cell r="C7811">
            <v>203125</v>
          </cell>
          <cell r="D7811" t="str">
            <v>JV.CUP 2012</v>
          </cell>
        </row>
        <row r="7812">
          <cell r="C7812">
            <v>300973</v>
          </cell>
          <cell r="D7812" t="str">
            <v>JV.MCG 2012</v>
          </cell>
        </row>
        <row r="7813">
          <cell r="C7813">
            <v>550003</v>
          </cell>
          <cell r="D7813" t="str">
            <v>RO 2.379X14.8 BP</v>
          </cell>
        </row>
        <row r="7814">
          <cell r="C7814">
            <v>203128</v>
          </cell>
          <cell r="D7814" t="str">
            <v>HK.CUP 3038</v>
          </cell>
        </row>
        <row r="7815">
          <cell r="C7815">
            <v>303128</v>
          </cell>
          <cell r="D7815" t="str">
            <v>HK.MCG 3038</v>
          </cell>
        </row>
        <row r="7816">
          <cell r="C7816">
            <v>503103</v>
          </cell>
          <cell r="D7816" t="str">
            <v>RO 2.5X15.2 BP</v>
          </cell>
        </row>
        <row r="7817">
          <cell r="C7817">
            <v>203129</v>
          </cell>
          <cell r="D7817" t="str">
            <v>HK.CUP 2012</v>
          </cell>
        </row>
        <row r="7818">
          <cell r="C7818">
            <v>303129</v>
          </cell>
          <cell r="D7818" t="str">
            <v>HK.MCG 2012</v>
          </cell>
        </row>
        <row r="7819">
          <cell r="C7819">
            <v>503109</v>
          </cell>
          <cell r="D7819" t="str">
            <v>RO 2X7.2</v>
          </cell>
        </row>
        <row r="7820">
          <cell r="C7820">
            <v>203129.1</v>
          </cell>
          <cell r="D7820" t="str">
            <v>HK.CUP 2014</v>
          </cell>
        </row>
        <row r="7821">
          <cell r="C7821">
            <v>303129.09999999998</v>
          </cell>
          <cell r="D7821" t="str">
            <v>HK.MCG 2014</v>
          </cell>
        </row>
        <row r="7822">
          <cell r="C7822">
            <v>503129.1</v>
          </cell>
          <cell r="D7822" t="str">
            <v>RO 2X8.8 BP</v>
          </cell>
        </row>
        <row r="7823">
          <cell r="C7823">
            <v>203130</v>
          </cell>
          <cell r="D7823" t="str">
            <v>HK.CUP 3016</v>
          </cell>
        </row>
        <row r="7824">
          <cell r="C7824">
            <v>303130</v>
          </cell>
          <cell r="D7824" t="str">
            <v>HK.MCG 3016</v>
          </cell>
        </row>
        <row r="7825">
          <cell r="C7825">
            <v>503130</v>
          </cell>
          <cell r="D7825" t="str">
            <v>RO 2.5X11.2</v>
          </cell>
        </row>
        <row r="7826">
          <cell r="C7826">
            <v>203131</v>
          </cell>
          <cell r="D7826" t="str">
            <v>HK.CUP 3516</v>
          </cell>
        </row>
        <row r="7827">
          <cell r="C7827">
            <v>303131</v>
          </cell>
          <cell r="D7827" t="str">
            <v>HK.MCG 3516</v>
          </cell>
        </row>
        <row r="7828">
          <cell r="C7828">
            <v>503130</v>
          </cell>
          <cell r="D7828" t="str">
            <v>RO 2.5X11.2</v>
          </cell>
        </row>
        <row r="7829">
          <cell r="C7829">
            <v>203132</v>
          </cell>
          <cell r="D7829" t="str">
            <v>HK.CUP 2030</v>
          </cell>
        </row>
        <row r="7830">
          <cell r="C7830">
            <v>303132</v>
          </cell>
          <cell r="D7830" t="str">
            <v>HK.MCG 2030</v>
          </cell>
        </row>
        <row r="7831">
          <cell r="C7831">
            <v>550001</v>
          </cell>
          <cell r="D7831" t="str">
            <v>RO 2X11.8</v>
          </cell>
        </row>
        <row r="7832">
          <cell r="C7832">
            <v>203133</v>
          </cell>
          <cell r="D7832" t="str">
            <v>JV.CUP 90019</v>
          </cell>
        </row>
        <row r="7833">
          <cell r="C7833">
            <v>303133</v>
          </cell>
          <cell r="D7833" t="str">
            <v>JV.MCG 90019</v>
          </cell>
        </row>
        <row r="7834">
          <cell r="C7834">
            <v>503133.02</v>
          </cell>
          <cell r="D7834" t="str">
            <v>RO 3.15X10.8 BP</v>
          </cell>
        </row>
        <row r="7835">
          <cell r="C7835">
            <v>203134</v>
          </cell>
          <cell r="D7835" t="str">
            <v>SCE.CUP 228</v>
          </cell>
        </row>
        <row r="7836">
          <cell r="C7836">
            <v>303134</v>
          </cell>
          <cell r="D7836" t="str">
            <v>SCE.MCG 228</v>
          </cell>
        </row>
        <row r="7837">
          <cell r="C7837">
            <v>503134.01</v>
          </cell>
          <cell r="D7837" t="str">
            <v>RO 2.286X8.5 BP</v>
          </cell>
        </row>
        <row r="7838">
          <cell r="C7838">
            <v>203135</v>
          </cell>
          <cell r="D7838" t="str">
            <v>SCE.CUP 1212</v>
          </cell>
        </row>
        <row r="7839">
          <cell r="C7839">
            <v>303135</v>
          </cell>
          <cell r="D7839" t="str">
            <v>SCE.MCG 1212</v>
          </cell>
        </row>
        <row r="7840">
          <cell r="C7840">
            <v>550003</v>
          </cell>
          <cell r="D7840" t="str">
            <v>RO 2.379X14.8 BP</v>
          </cell>
        </row>
        <row r="7841">
          <cell r="C7841">
            <v>203135.1</v>
          </cell>
          <cell r="D7841" t="str">
            <v>SCE.CUP 129</v>
          </cell>
        </row>
        <row r="7842">
          <cell r="C7842">
            <v>303135.09999999998</v>
          </cell>
          <cell r="D7842" t="str">
            <v>SCE.MCG 129</v>
          </cell>
        </row>
        <row r="7843">
          <cell r="C7843">
            <v>503135.1</v>
          </cell>
          <cell r="D7843" t="str">
            <v>RO 2.2X9.80 BP</v>
          </cell>
        </row>
        <row r="7844">
          <cell r="C7844">
            <v>203136</v>
          </cell>
          <cell r="D7844" t="str">
            <v>HK.CUP 384510</v>
          </cell>
        </row>
        <row r="7845">
          <cell r="C7845">
            <v>303136</v>
          </cell>
          <cell r="D7845" t="str">
            <v>HK.MCG 384510</v>
          </cell>
        </row>
        <row r="7846">
          <cell r="C7846">
            <v>503136</v>
          </cell>
          <cell r="D7846" t="str">
            <v>RO 2.5X5.6 BP</v>
          </cell>
        </row>
        <row r="7847">
          <cell r="C7847">
            <v>503138</v>
          </cell>
          <cell r="D7847" t="str">
            <v>RO 2.778X11.17 BR</v>
          </cell>
        </row>
        <row r="7848">
          <cell r="C7848">
            <v>503139</v>
          </cell>
          <cell r="D7848" t="str">
            <v>RO 3.20X19.3 BR</v>
          </cell>
        </row>
        <row r="7849">
          <cell r="C7849">
            <v>203140</v>
          </cell>
          <cell r="D7849" t="str">
            <v>RL.CUP 2012</v>
          </cell>
        </row>
        <row r="7850">
          <cell r="C7850">
            <v>503140</v>
          </cell>
          <cell r="D7850" t="str">
            <v>RO 3.70X16.60 T TYPE</v>
          </cell>
        </row>
        <row r="7851">
          <cell r="C7851">
            <v>203141</v>
          </cell>
          <cell r="D7851" t="str">
            <v>HK.CUP 1214 RS</v>
          </cell>
        </row>
        <row r="7852">
          <cell r="C7852">
            <v>303107.3</v>
          </cell>
          <cell r="D7852" t="str">
            <v>HK.MCG 1212</v>
          </cell>
        </row>
        <row r="7853">
          <cell r="C7853">
            <v>503107.3</v>
          </cell>
          <cell r="D7853" t="str">
            <v>RO 2X7.3 BP</v>
          </cell>
        </row>
        <row r="7854">
          <cell r="C7854">
            <v>703141</v>
          </cell>
          <cell r="D7854" t="str">
            <v>HK.SEAL 1214 RS</v>
          </cell>
        </row>
        <row r="7855">
          <cell r="C7855">
            <v>203141</v>
          </cell>
          <cell r="D7855" t="str">
            <v>HK.CUP 1214 RS</v>
          </cell>
        </row>
        <row r="7856">
          <cell r="C7856">
            <v>303107.3</v>
          </cell>
          <cell r="D7856" t="str">
            <v>HK.MCG 1212</v>
          </cell>
        </row>
        <row r="7857">
          <cell r="C7857">
            <v>503107.3</v>
          </cell>
          <cell r="D7857" t="str">
            <v>RO 2X7.3 BP</v>
          </cell>
        </row>
        <row r="7858">
          <cell r="C7858">
            <v>703141.1</v>
          </cell>
          <cell r="D7858" t="str">
            <v>HK.SEAL 1214 RS FKM</v>
          </cell>
        </row>
        <row r="7859">
          <cell r="C7859">
            <v>203141</v>
          </cell>
          <cell r="D7859" t="str">
            <v>HK.CUP 1214 RS</v>
          </cell>
        </row>
        <row r="7860">
          <cell r="C7860">
            <v>303141.2</v>
          </cell>
          <cell r="D7860" t="str">
            <v>HK.NCG 1214 RS</v>
          </cell>
        </row>
        <row r="7861">
          <cell r="C7861">
            <v>503107.3</v>
          </cell>
          <cell r="D7861" t="str">
            <v>RO 2X7.3 BP</v>
          </cell>
        </row>
        <row r="7862">
          <cell r="C7862">
            <v>703141</v>
          </cell>
          <cell r="D7862" t="str">
            <v>HK.SEAL 1214 RS</v>
          </cell>
        </row>
        <row r="7863">
          <cell r="C7863">
            <v>203142</v>
          </cell>
          <cell r="D7863" t="str">
            <v>HK.CUP 1712</v>
          </cell>
        </row>
        <row r="7864">
          <cell r="C7864">
            <v>303142</v>
          </cell>
          <cell r="D7864" t="str">
            <v>HK.MCG 1712</v>
          </cell>
        </row>
        <row r="7865">
          <cell r="C7865">
            <v>503107.3</v>
          </cell>
          <cell r="D7865" t="str">
            <v>RO 2X7.3 BP</v>
          </cell>
        </row>
        <row r="7866">
          <cell r="C7866">
            <v>203142.1</v>
          </cell>
          <cell r="D7866" t="str">
            <v>HK.CUP 1816</v>
          </cell>
        </row>
        <row r="7867">
          <cell r="C7867">
            <v>303142.09999999998</v>
          </cell>
          <cell r="D7867" t="str">
            <v>HK.MCG 1816</v>
          </cell>
        </row>
        <row r="7868">
          <cell r="C7868">
            <v>550008</v>
          </cell>
          <cell r="D7868" t="str">
            <v>RO 2X10.8 BP</v>
          </cell>
        </row>
        <row r="7869">
          <cell r="C7869">
            <v>203142.2</v>
          </cell>
          <cell r="D7869" t="str">
            <v>HK.CUP 1812</v>
          </cell>
        </row>
        <row r="7870">
          <cell r="C7870">
            <v>303142.2</v>
          </cell>
          <cell r="D7870" t="str">
            <v>HK.MCG 1812</v>
          </cell>
        </row>
        <row r="7871">
          <cell r="C7871">
            <v>503109</v>
          </cell>
          <cell r="D7871" t="str">
            <v>RO 2X7.2</v>
          </cell>
        </row>
        <row r="7872">
          <cell r="C7872">
            <v>203143</v>
          </cell>
          <cell r="D7872" t="str">
            <v>DL.CUP 3020</v>
          </cell>
        </row>
        <row r="7873">
          <cell r="C7873">
            <v>503143</v>
          </cell>
          <cell r="D7873" t="str">
            <v>RO 3.148X18.05 M.RO</v>
          </cell>
        </row>
        <row r="7874">
          <cell r="C7874">
            <v>303144</v>
          </cell>
          <cell r="D7874" t="str">
            <v>K.CAGE 08X11X08</v>
          </cell>
        </row>
        <row r="7875">
          <cell r="C7875">
            <v>204001</v>
          </cell>
          <cell r="D7875" t="str">
            <v>TR.OR 506430</v>
          </cell>
        </row>
        <row r="7876">
          <cell r="C7876">
            <v>304001</v>
          </cell>
          <cell r="D7876" t="str">
            <v>TR.MCG 506430</v>
          </cell>
        </row>
        <row r="7877">
          <cell r="C7877">
            <v>504001</v>
          </cell>
          <cell r="D7877" t="str">
            <v>RO 4.5X23.8</v>
          </cell>
        </row>
        <row r="7878">
          <cell r="C7878">
            <v>204001</v>
          </cell>
          <cell r="D7878" t="str">
            <v>TR.OR 506430</v>
          </cell>
        </row>
        <row r="7879">
          <cell r="C7879">
            <v>304001</v>
          </cell>
          <cell r="D7879" t="str">
            <v>TR.MCG 506430</v>
          </cell>
        </row>
        <row r="7880">
          <cell r="C7880">
            <v>504001</v>
          </cell>
          <cell r="D7880" t="str">
            <v>RO 4.5X23.8</v>
          </cell>
        </row>
        <row r="7881">
          <cell r="C7881">
            <v>104002</v>
          </cell>
          <cell r="D7881" t="str">
            <v>SHAFT 10x23</v>
          </cell>
        </row>
        <row r="7882">
          <cell r="C7882">
            <v>104003</v>
          </cell>
          <cell r="D7882" t="str">
            <v>SHAFT 16x39.3</v>
          </cell>
        </row>
        <row r="7883">
          <cell r="C7883">
            <v>104004</v>
          </cell>
          <cell r="D7883" t="str">
            <v>SHAFT 12X70</v>
          </cell>
        </row>
        <row r="7884">
          <cell r="C7884">
            <v>104005</v>
          </cell>
          <cell r="D7884" t="str">
            <v>SHAFT 8 X 37.5</v>
          </cell>
        </row>
        <row r="7885">
          <cell r="C7885">
            <v>100006</v>
          </cell>
          <cell r="D7885" t="str">
            <v>SHAFT10X74</v>
          </cell>
        </row>
        <row r="7886">
          <cell r="C7886">
            <v>100007</v>
          </cell>
          <cell r="D7886" t="str">
            <v>SHAFT10X42</v>
          </cell>
        </row>
        <row r="7887">
          <cell r="C7887">
            <v>100009</v>
          </cell>
          <cell r="D7887" t="str">
            <v>SHAFT 6X21.8</v>
          </cell>
        </row>
        <row r="7888">
          <cell r="C7888">
            <v>104010</v>
          </cell>
          <cell r="D7888" t="str">
            <v>IR.TS000008 (Ø30x50)</v>
          </cell>
        </row>
        <row r="7889">
          <cell r="C7889">
            <v>204010</v>
          </cell>
          <cell r="D7889" t="str">
            <v>OR.TS000008 (Ø30x50)</v>
          </cell>
        </row>
        <row r="7890">
          <cell r="C7890">
            <v>304010</v>
          </cell>
          <cell r="D7890" t="str">
            <v>NCG.TS000008 (Ø30x50)</v>
          </cell>
        </row>
        <row r="7891">
          <cell r="C7891">
            <v>511187</v>
          </cell>
          <cell r="D7891" t="str">
            <v>BALL 05/32"(IS:2898-1976)</v>
          </cell>
        </row>
        <row r="7892">
          <cell r="C7892">
            <v>5221247</v>
          </cell>
          <cell r="D7892" t="str">
            <v>O G SHELL GADUS S2 V100 3</v>
          </cell>
        </row>
        <row r="7893">
          <cell r="C7893">
            <v>704010</v>
          </cell>
          <cell r="D7893" t="str">
            <v>SEAL.TS000008 (Ø30x50)</v>
          </cell>
        </row>
        <row r="7894">
          <cell r="C7894">
            <v>100011</v>
          </cell>
          <cell r="D7894" t="str">
            <v>IR.TS000045 (Ø23x45)</v>
          </cell>
        </row>
        <row r="7895">
          <cell r="C7895">
            <v>204011</v>
          </cell>
          <cell r="D7895" t="str">
            <v>OR.TS000045 (Ø23x45)</v>
          </cell>
        </row>
        <row r="7896">
          <cell r="C7896">
            <v>304011</v>
          </cell>
          <cell r="D7896" t="str">
            <v>NCG.TS000045 (Ø23x45)</v>
          </cell>
        </row>
        <row r="7897">
          <cell r="C7897">
            <v>511187</v>
          </cell>
          <cell r="D7897" t="str">
            <v>BALL 05/32"(IS:2898-1976)</v>
          </cell>
        </row>
        <row r="7898">
          <cell r="C7898">
            <v>5221247</v>
          </cell>
          <cell r="D7898" t="str">
            <v>O G SHELL GADUS S2 V100 3</v>
          </cell>
        </row>
        <row r="7899">
          <cell r="C7899">
            <v>704011</v>
          </cell>
          <cell r="D7899" t="str">
            <v>SEAL.TS000045 (Ø23x45)</v>
          </cell>
        </row>
        <row r="7900">
          <cell r="C7900">
            <v>104012</v>
          </cell>
          <cell r="D7900" t="str">
            <v>IR.TS000001-1 (Ø30x16)</v>
          </cell>
        </row>
        <row r="7901">
          <cell r="C7901">
            <v>104012.01</v>
          </cell>
          <cell r="D7901" t="str">
            <v>SHAFT.TS000001-1 (Ø30x16)</v>
          </cell>
        </row>
        <row r="7902">
          <cell r="C7902">
            <v>204012</v>
          </cell>
          <cell r="D7902" t="str">
            <v>OR.TS000001-1 (Ø30x16)</v>
          </cell>
        </row>
        <row r="7903">
          <cell r="C7903">
            <v>304012</v>
          </cell>
          <cell r="D7903" t="str">
            <v>NCG.TS000001-1 (Ø30x16)</v>
          </cell>
        </row>
        <row r="7904">
          <cell r="C7904">
            <v>511170</v>
          </cell>
          <cell r="D7904" t="str">
            <v>BALL 3/16" (IS:2898-1976)</v>
          </cell>
        </row>
        <row r="7905">
          <cell r="C7905">
            <v>5221247</v>
          </cell>
          <cell r="D7905" t="str">
            <v>O G SHELL GADUS S2 V100 3</v>
          </cell>
        </row>
        <row r="7906">
          <cell r="C7906">
            <v>704012</v>
          </cell>
          <cell r="D7906" t="str">
            <v>SEAL.TS000001-1 (Ø30x16)</v>
          </cell>
        </row>
        <row r="7907">
          <cell r="C7907">
            <v>704012.01</v>
          </cell>
          <cell r="D7907" t="str">
            <v>PULLY.TS000001-1 (Ø30x16)</v>
          </cell>
        </row>
        <row r="7908">
          <cell r="C7908">
            <v>704012.02</v>
          </cell>
          <cell r="D7908" t="str">
            <v>SANP.RTS000001-1 (Ø30x16)</v>
          </cell>
        </row>
        <row r="7909">
          <cell r="C7909">
            <v>1424013</v>
          </cell>
          <cell r="D7909" t="str">
            <v>TB03 MATERIAL</v>
          </cell>
        </row>
        <row r="7910">
          <cell r="C7910">
            <v>1424014</v>
          </cell>
          <cell r="D7910" t="str">
            <v>TB04 MATERIAL</v>
          </cell>
        </row>
        <row r="7911">
          <cell r="C7911">
            <v>1424015</v>
          </cell>
          <cell r="D7911" t="str">
            <v>TB05 MATERIAL</v>
          </cell>
        </row>
        <row r="7912">
          <cell r="C7912">
            <v>1424016</v>
          </cell>
          <cell r="D7912" t="str">
            <v>TOP ROLLER-Ø13x91 MAT</v>
          </cell>
        </row>
        <row r="7913">
          <cell r="C7913">
            <v>304016</v>
          </cell>
          <cell r="D7913" t="str">
            <v>NCG.Ø13x91</v>
          </cell>
        </row>
        <row r="7914">
          <cell r="C7914">
            <v>704016</v>
          </cell>
          <cell r="D7914" t="str">
            <v>SIDE CAP RC L RED</v>
          </cell>
        </row>
        <row r="7915">
          <cell r="C7915">
            <v>704016.01</v>
          </cell>
          <cell r="D7915" t="str">
            <v>SIDE CAP RC L BLACK</v>
          </cell>
        </row>
        <row r="7916">
          <cell r="C7916">
            <v>104017</v>
          </cell>
          <cell r="D7916" t="str">
            <v>SHAFT.6.00X34.7</v>
          </cell>
        </row>
        <row r="7917">
          <cell r="C7917">
            <v>104018</v>
          </cell>
          <cell r="D7917" t="str">
            <v>SHAFT.6.00X26.00</v>
          </cell>
        </row>
        <row r="7918">
          <cell r="C7918">
            <v>505001</v>
          </cell>
          <cell r="D7918" t="str">
            <v>RO 4X39.8 BR</v>
          </cell>
        </row>
        <row r="7919">
          <cell r="C7919">
            <v>105100.1</v>
          </cell>
          <cell r="D7919" t="str">
            <v>GE.IR 4E</v>
          </cell>
        </row>
        <row r="7920">
          <cell r="C7920">
            <v>205100.1</v>
          </cell>
          <cell r="D7920" t="str">
            <v>GE.OR 4E</v>
          </cell>
        </row>
        <row r="7921">
          <cell r="C7921">
            <v>105100.2</v>
          </cell>
          <cell r="D7921" t="str">
            <v>GE.IR 5E</v>
          </cell>
        </row>
        <row r="7922">
          <cell r="C7922">
            <v>205100.2</v>
          </cell>
          <cell r="D7922" t="str">
            <v>GE.OR 5E</v>
          </cell>
        </row>
        <row r="7923">
          <cell r="C7923">
            <v>105100.3</v>
          </cell>
          <cell r="D7923" t="str">
            <v>GE.IR 12</v>
          </cell>
        </row>
        <row r="7924">
          <cell r="C7924">
            <v>205100.3</v>
          </cell>
          <cell r="D7924" t="str">
            <v>GE.OR 12</v>
          </cell>
        </row>
        <row r="7925">
          <cell r="C7925">
            <v>105100.6</v>
          </cell>
          <cell r="D7925" t="str">
            <v>GE.IR 6E</v>
          </cell>
        </row>
        <row r="7926">
          <cell r="C7926">
            <v>205100.2</v>
          </cell>
          <cell r="D7926" t="str">
            <v>GE.OR 5E</v>
          </cell>
        </row>
        <row r="7927">
          <cell r="C7927">
            <v>105100.7</v>
          </cell>
          <cell r="D7927" t="str">
            <v>GE.IR 8E</v>
          </cell>
        </row>
        <row r="7928">
          <cell r="C7928">
            <v>205100.7</v>
          </cell>
          <cell r="D7928" t="str">
            <v>GE. OR 8E</v>
          </cell>
        </row>
        <row r="7929">
          <cell r="C7929">
            <v>105100.8</v>
          </cell>
          <cell r="D7929" t="str">
            <v>GE.IR 10E</v>
          </cell>
        </row>
        <row r="7930">
          <cell r="C7930">
            <v>205100.79999999999</v>
          </cell>
          <cell r="D7930" t="str">
            <v>GE. OR 10E</v>
          </cell>
        </row>
        <row r="7931">
          <cell r="C7931">
            <v>105100.95</v>
          </cell>
          <cell r="D7931" t="str">
            <v>GE.IR 15ES-2RS</v>
          </cell>
        </row>
        <row r="7932">
          <cell r="C7932">
            <v>205100.95</v>
          </cell>
          <cell r="D7932" t="str">
            <v>GE. OR 15ES-2RS</v>
          </cell>
        </row>
        <row r="7933">
          <cell r="C7933">
            <v>105100.95</v>
          </cell>
          <cell r="D7933" t="str">
            <v>GE.IR 15ES-2RS</v>
          </cell>
        </row>
        <row r="7934">
          <cell r="C7934">
            <v>205100.95</v>
          </cell>
          <cell r="D7934" t="str">
            <v>GE. OR 15ES-2RS</v>
          </cell>
        </row>
        <row r="7935">
          <cell r="C7935">
            <v>705100.95</v>
          </cell>
          <cell r="D7935" t="str">
            <v>GE.SEAL 15ES-2RS</v>
          </cell>
        </row>
        <row r="7936">
          <cell r="C7936">
            <v>105100.96</v>
          </cell>
          <cell r="D7936" t="str">
            <v>GE.IR 152513</v>
          </cell>
        </row>
        <row r="7937">
          <cell r="C7937">
            <v>205100.96</v>
          </cell>
          <cell r="D7937" t="str">
            <v>GE.OR 152513</v>
          </cell>
        </row>
        <row r="7938">
          <cell r="C7938">
            <v>205101</v>
          </cell>
          <cell r="D7938" t="str">
            <v>T.W 88</v>
          </cell>
        </row>
        <row r="7939">
          <cell r="C7939">
            <v>305101</v>
          </cell>
          <cell r="D7939" t="str">
            <v>T.CAGE 88</v>
          </cell>
        </row>
        <row r="7940">
          <cell r="C7940">
            <v>505101</v>
          </cell>
          <cell r="D7940" t="str">
            <v>RO 7.85X6.34 TR</v>
          </cell>
        </row>
        <row r="7941">
          <cell r="C7941">
            <v>705101</v>
          </cell>
          <cell r="D7941" t="str">
            <v>T.COVER 88</v>
          </cell>
        </row>
        <row r="7942">
          <cell r="C7942">
            <v>105102.15</v>
          </cell>
          <cell r="D7942" t="str">
            <v>GE.IR 17ES-2RS</v>
          </cell>
        </row>
        <row r="7943">
          <cell r="C7943">
            <v>205102.15</v>
          </cell>
          <cell r="D7943" t="str">
            <v>GE.OR 17ES-2RS</v>
          </cell>
        </row>
        <row r="7944">
          <cell r="C7944">
            <v>105102.15</v>
          </cell>
          <cell r="D7944" t="str">
            <v>GE.IR 17ES-2RS</v>
          </cell>
        </row>
        <row r="7945">
          <cell r="C7945">
            <v>205102.15</v>
          </cell>
          <cell r="D7945" t="str">
            <v>GE.OR 17ES-2RS</v>
          </cell>
        </row>
        <row r="7946">
          <cell r="C7946">
            <v>705102.15</v>
          </cell>
          <cell r="D7946" t="str">
            <v>GE.SEAL 17ES-2RS</v>
          </cell>
        </row>
        <row r="7947">
          <cell r="C7947">
            <v>105102.25</v>
          </cell>
          <cell r="D7947" t="str">
            <v>GE.IR 20ES-2RS</v>
          </cell>
        </row>
        <row r="7948">
          <cell r="C7948">
            <v>205102.25</v>
          </cell>
          <cell r="D7948" t="str">
            <v>GE.OR 20ES-2RS</v>
          </cell>
        </row>
        <row r="7949">
          <cell r="C7949">
            <v>105102.21</v>
          </cell>
          <cell r="D7949" t="str">
            <v>GE.IR 20ES</v>
          </cell>
        </row>
        <row r="7950">
          <cell r="C7950">
            <v>205102.21</v>
          </cell>
          <cell r="D7950" t="str">
            <v>GE.OR 20ES</v>
          </cell>
        </row>
        <row r="7951">
          <cell r="C7951">
            <v>105102.25</v>
          </cell>
          <cell r="D7951" t="str">
            <v>GE.IR 20ES-2RS</v>
          </cell>
        </row>
        <row r="7952">
          <cell r="C7952">
            <v>205102.25</v>
          </cell>
          <cell r="D7952" t="str">
            <v>GE.OR 20ES-2RS</v>
          </cell>
        </row>
        <row r="7953">
          <cell r="C7953">
            <v>705102.25</v>
          </cell>
          <cell r="D7953" t="str">
            <v>GE.SEAL 20ES-2RS</v>
          </cell>
        </row>
        <row r="7954">
          <cell r="C7954">
            <v>105102.35</v>
          </cell>
          <cell r="D7954" t="str">
            <v>GE.IR 25ES-2RS</v>
          </cell>
        </row>
        <row r="7955">
          <cell r="C7955">
            <v>205102.35</v>
          </cell>
          <cell r="D7955" t="str">
            <v>GE.OR 25ES-2RS</v>
          </cell>
        </row>
        <row r="7956">
          <cell r="C7956">
            <v>105102.31</v>
          </cell>
          <cell r="D7956" t="str">
            <v>GE.IR 25ES</v>
          </cell>
        </row>
        <row r="7957">
          <cell r="C7957">
            <v>205102.31</v>
          </cell>
          <cell r="D7957" t="str">
            <v>GE.OR 25ES</v>
          </cell>
        </row>
        <row r="7958">
          <cell r="C7958">
            <v>105102.35</v>
          </cell>
          <cell r="D7958" t="str">
            <v>GE.IR 25ES-2RS</v>
          </cell>
        </row>
        <row r="7959">
          <cell r="C7959">
            <v>205102.35</v>
          </cell>
          <cell r="D7959" t="str">
            <v>GE.OR 25ES-2RS</v>
          </cell>
        </row>
        <row r="7960">
          <cell r="C7960">
            <v>705102.35</v>
          </cell>
          <cell r="D7960" t="str">
            <v>GE.SEAL 25ES-2RS</v>
          </cell>
        </row>
        <row r="7961">
          <cell r="C7961">
            <v>105102.36</v>
          </cell>
          <cell r="D7961" t="str">
            <v>GE.IR 25 (PTFE + 2RS)</v>
          </cell>
        </row>
        <row r="7962">
          <cell r="C7962">
            <v>205102.36</v>
          </cell>
          <cell r="D7962" t="str">
            <v>GE.OR 25 (PTFE + 2RS)</v>
          </cell>
        </row>
        <row r="7963">
          <cell r="C7963">
            <v>705102.36</v>
          </cell>
          <cell r="D7963" t="str">
            <v>GE.SEAL 25 (PTFE + 2RS)</v>
          </cell>
        </row>
        <row r="7964">
          <cell r="C7964">
            <v>705102.37</v>
          </cell>
          <cell r="D7964" t="str">
            <v>GE.PTFE LINER 25</v>
          </cell>
        </row>
        <row r="7965">
          <cell r="C7965">
            <v>105102.45</v>
          </cell>
          <cell r="D7965" t="str">
            <v>GE.IR 30ES-2RS</v>
          </cell>
        </row>
        <row r="7966">
          <cell r="C7966">
            <v>205102.45</v>
          </cell>
          <cell r="D7966" t="str">
            <v>GE.OR 30ES-2RS</v>
          </cell>
        </row>
        <row r="7967">
          <cell r="C7967">
            <v>105102.45</v>
          </cell>
          <cell r="D7967" t="str">
            <v>GE.IR 30ES-2RS</v>
          </cell>
        </row>
        <row r="7968">
          <cell r="C7968">
            <v>205102.45</v>
          </cell>
          <cell r="D7968" t="str">
            <v>GE.OR 30ES-2RS</v>
          </cell>
        </row>
        <row r="7969">
          <cell r="C7969">
            <v>705102.45</v>
          </cell>
          <cell r="D7969" t="str">
            <v>GE.SEAL 30ES-2RS</v>
          </cell>
        </row>
        <row r="7970">
          <cell r="C7970">
            <v>105102.55</v>
          </cell>
          <cell r="D7970" t="str">
            <v>GE.IR 35ES-2RS</v>
          </cell>
        </row>
        <row r="7971">
          <cell r="C7971">
            <v>205102.55</v>
          </cell>
          <cell r="D7971" t="str">
            <v>GE.OR 35ES-2RS</v>
          </cell>
        </row>
        <row r="7972">
          <cell r="C7972">
            <v>105102.55</v>
          </cell>
          <cell r="D7972" t="str">
            <v>GE.IR 35ES-2RS</v>
          </cell>
        </row>
        <row r="7973">
          <cell r="C7973">
            <v>205102.55</v>
          </cell>
          <cell r="D7973" t="str">
            <v>GE.OR 35ES-2RS</v>
          </cell>
        </row>
        <row r="7974">
          <cell r="C7974">
            <v>705102.55</v>
          </cell>
          <cell r="D7974" t="str">
            <v>GE.SEAL 35ES-2RS</v>
          </cell>
        </row>
        <row r="7975">
          <cell r="C7975">
            <v>105102.65</v>
          </cell>
          <cell r="D7975" t="str">
            <v>GE.IR 40ES-2RS</v>
          </cell>
        </row>
        <row r="7976">
          <cell r="C7976">
            <v>205102.65</v>
          </cell>
          <cell r="D7976" t="str">
            <v>GE.OR 40ES-2RS</v>
          </cell>
        </row>
        <row r="7977">
          <cell r="C7977">
            <v>105102.65</v>
          </cell>
          <cell r="D7977" t="str">
            <v>GE.IR 40ES-2RS</v>
          </cell>
        </row>
        <row r="7978">
          <cell r="C7978">
            <v>205102.65</v>
          </cell>
          <cell r="D7978" t="str">
            <v>GE.OR 40ES-2RS</v>
          </cell>
        </row>
        <row r="7979">
          <cell r="C7979">
            <v>705102.65</v>
          </cell>
          <cell r="D7979" t="str">
            <v>GE.SEAL 40ES-2RS</v>
          </cell>
        </row>
        <row r="7980">
          <cell r="C7980">
            <v>105102.75</v>
          </cell>
          <cell r="D7980" t="str">
            <v>GE.IR 45ES-2RS</v>
          </cell>
        </row>
        <row r="7981">
          <cell r="C7981">
            <v>205102.75</v>
          </cell>
          <cell r="D7981" t="str">
            <v>GE.OR 45ES-2RS</v>
          </cell>
        </row>
        <row r="7982">
          <cell r="C7982">
            <v>105102.75</v>
          </cell>
          <cell r="D7982" t="str">
            <v>GE.IR 45ES-2RS</v>
          </cell>
        </row>
        <row r="7983">
          <cell r="C7983">
            <v>205102.75</v>
          </cell>
          <cell r="D7983" t="str">
            <v>GE.OR 45ES-2RS</v>
          </cell>
        </row>
        <row r="7984">
          <cell r="C7984">
            <v>705102.75</v>
          </cell>
          <cell r="D7984" t="str">
            <v>GE.SEAL 45ES-2RS</v>
          </cell>
        </row>
        <row r="7985">
          <cell r="C7985">
            <v>105102.85</v>
          </cell>
          <cell r="D7985" t="str">
            <v>GE.IR 50ES-2RS</v>
          </cell>
        </row>
        <row r="7986">
          <cell r="C7986">
            <v>205102.85</v>
          </cell>
          <cell r="D7986" t="str">
            <v>GE.OR 50ES-2RS</v>
          </cell>
        </row>
        <row r="7987">
          <cell r="C7987">
            <v>105102.85</v>
          </cell>
          <cell r="D7987" t="str">
            <v>GE.IR 50ES-2RS</v>
          </cell>
        </row>
        <row r="7988">
          <cell r="C7988">
            <v>205102.85</v>
          </cell>
          <cell r="D7988" t="str">
            <v>GE.OR 50ES-2RS</v>
          </cell>
        </row>
        <row r="7989">
          <cell r="C7989">
            <v>705102.85</v>
          </cell>
          <cell r="D7989" t="str">
            <v>GE.SEAL 50ES-2RS</v>
          </cell>
        </row>
        <row r="7990">
          <cell r="C7990">
            <v>105102.95</v>
          </cell>
          <cell r="D7990" t="str">
            <v>GE.IR 60ES-2RS</v>
          </cell>
        </row>
        <row r="7991">
          <cell r="C7991">
            <v>205102.95</v>
          </cell>
          <cell r="D7991" t="str">
            <v>GE.OR 60ES-2RS</v>
          </cell>
        </row>
        <row r="7992">
          <cell r="C7992">
            <v>105102.95</v>
          </cell>
          <cell r="D7992" t="str">
            <v>GE.IR 60ES-2RS</v>
          </cell>
        </row>
        <row r="7993">
          <cell r="C7993">
            <v>205102.95</v>
          </cell>
          <cell r="D7993" t="str">
            <v>GE.OR 60ES-2RS</v>
          </cell>
        </row>
        <row r="7994">
          <cell r="C7994">
            <v>705102.95</v>
          </cell>
          <cell r="D7994" t="str">
            <v>GE.SEAL 60ES-2RS</v>
          </cell>
        </row>
        <row r="7995">
          <cell r="C7995">
            <v>104247</v>
          </cell>
          <cell r="D7995" t="str">
            <v>IR.209 YY2              F</v>
          </cell>
        </row>
        <row r="7996">
          <cell r="C7996">
            <v>208247</v>
          </cell>
          <cell r="D7996" t="str">
            <v>OR.209 YY2              F</v>
          </cell>
        </row>
        <row r="7997">
          <cell r="C7997">
            <v>309247</v>
          </cell>
          <cell r="D7997" t="str">
            <v>NCG 209 YY</v>
          </cell>
        </row>
        <row r="7998">
          <cell r="C7998">
            <v>511192</v>
          </cell>
          <cell r="D7998" t="str">
            <v>BALL 1/2" (IS:2898-1976)</v>
          </cell>
        </row>
        <row r="7999">
          <cell r="C7999">
            <v>5221247</v>
          </cell>
          <cell r="D7999" t="str">
            <v>O G SHELL GADUS S2 V100 3</v>
          </cell>
        </row>
        <row r="8000">
          <cell r="C8000">
            <v>717247</v>
          </cell>
          <cell r="D8000" t="str">
            <v>SEAL.209 YY2</v>
          </cell>
        </row>
        <row r="8001">
          <cell r="C8001">
            <v>208417</v>
          </cell>
          <cell r="D8001" t="str">
            <v>JC.OR 8008</v>
          </cell>
        </row>
        <row r="8002">
          <cell r="C8002">
            <v>511448</v>
          </cell>
          <cell r="D8002" t="str">
            <v>RO 11X15 BPM</v>
          </cell>
        </row>
        <row r="8003">
          <cell r="C8003">
            <v>717417</v>
          </cell>
          <cell r="D8003" t="str">
            <v>NYLON INSERT(JC 8046)25%</v>
          </cell>
        </row>
        <row r="8004">
          <cell r="C8004">
            <v>208442</v>
          </cell>
          <cell r="D8004" t="str">
            <v>R.OR 442(JC 8015)</v>
          </cell>
        </row>
        <row r="8005">
          <cell r="C8005">
            <v>309442</v>
          </cell>
          <cell r="D8005" t="str">
            <v>R.NCG 442(JC 8015)</v>
          </cell>
        </row>
        <row r="8006">
          <cell r="C8006">
            <v>511442</v>
          </cell>
          <cell r="D8006" t="str">
            <v>RO 8X9</v>
          </cell>
        </row>
        <row r="8007">
          <cell r="C8007">
            <v>208448</v>
          </cell>
          <cell r="D8007" t="str">
            <v>R.OR 448(JC 8007)</v>
          </cell>
        </row>
        <row r="8008">
          <cell r="C8008">
            <v>511448</v>
          </cell>
          <cell r="D8008" t="str">
            <v>RO 11X15 BPM</v>
          </cell>
        </row>
        <row r="8009">
          <cell r="C8009">
            <v>717448</v>
          </cell>
          <cell r="D8009" t="str">
            <v>NYLON INSAERT(JC 8007)25%</v>
          </cell>
        </row>
        <row r="8010">
          <cell r="C8010">
            <v>208497</v>
          </cell>
          <cell r="D8010" t="str">
            <v>NB.OR 95076             F</v>
          </cell>
        </row>
        <row r="8011">
          <cell r="C8011">
            <v>309497</v>
          </cell>
          <cell r="D8011" t="str">
            <v>NB.MCG 95076</v>
          </cell>
        </row>
        <row r="8012">
          <cell r="C8012">
            <v>511436</v>
          </cell>
          <cell r="D8012" t="str">
            <v>RO 4X15.8 (CRA)</v>
          </cell>
        </row>
        <row r="8013">
          <cell r="C8013">
            <v>5221247.0199999996</v>
          </cell>
          <cell r="D8013" t="str">
            <v>O G VEEDOL SPICLE VB GRE.</v>
          </cell>
        </row>
        <row r="8014">
          <cell r="C8014">
            <v>106001</v>
          </cell>
          <cell r="D8014" t="str">
            <v>IR.IR 25X29X12.6</v>
          </cell>
        </row>
        <row r="8015">
          <cell r="C8015">
            <v>106002</v>
          </cell>
          <cell r="D8015" t="str">
            <v>IR.IR  35X40X14.1</v>
          </cell>
        </row>
        <row r="8016">
          <cell r="C8016">
            <v>106003</v>
          </cell>
          <cell r="D8016" t="str">
            <v>IR.IR 35X40X34.1</v>
          </cell>
        </row>
        <row r="8017">
          <cell r="C8017">
            <v>106004</v>
          </cell>
          <cell r="D8017" t="str">
            <v>IR.IR 40X45X17.6</v>
          </cell>
        </row>
        <row r="8018">
          <cell r="C8018">
            <v>106005</v>
          </cell>
          <cell r="D8018" t="str">
            <v>IR.IR 40X45X47.6</v>
          </cell>
        </row>
        <row r="8019">
          <cell r="C8019">
            <v>106006</v>
          </cell>
          <cell r="D8019" t="str">
            <v>IR.IR 17X21X18.1</v>
          </cell>
        </row>
        <row r="8020">
          <cell r="C8020">
            <v>106007</v>
          </cell>
          <cell r="D8020" t="str">
            <v>IR.IR 17X21X29.1</v>
          </cell>
        </row>
        <row r="8021">
          <cell r="C8021">
            <v>106008</v>
          </cell>
          <cell r="D8021" t="str">
            <v>IR.IR 25X29X22.6</v>
          </cell>
        </row>
        <row r="8022">
          <cell r="C8022">
            <v>106008</v>
          </cell>
          <cell r="D8022" t="str">
            <v>IR.IR 25X29X22.6</v>
          </cell>
        </row>
        <row r="8023">
          <cell r="C8023">
            <v>106009</v>
          </cell>
          <cell r="D8023" t="str">
            <v>IR.IR 35X40X24.1</v>
          </cell>
        </row>
        <row r="8024">
          <cell r="C8024">
            <v>106010</v>
          </cell>
          <cell r="D8024" t="str">
            <v>IR.IR 40X45X40.1</v>
          </cell>
        </row>
        <row r="8025">
          <cell r="C8025">
            <v>106011</v>
          </cell>
          <cell r="D8025" t="str">
            <v>IR.IR 17X21X10.1</v>
          </cell>
        </row>
        <row r="8026">
          <cell r="C8026">
            <v>106012</v>
          </cell>
          <cell r="D8026" t="str">
            <v>IR.IR 25X29X27.6</v>
          </cell>
        </row>
        <row r="8027">
          <cell r="C8027">
            <v>106013</v>
          </cell>
          <cell r="D8027" t="str">
            <v>IR.IR 50X55X90</v>
          </cell>
        </row>
        <row r="8033">
          <cell r="D8033">
            <v>101049.11</v>
          </cell>
        </row>
        <row r="8034">
          <cell r="D8034">
            <v>201049.12</v>
          </cell>
        </row>
        <row r="8035">
          <cell r="D8035">
            <v>501049.11</v>
          </cell>
        </row>
        <row r="8036">
          <cell r="D8036">
            <v>5221247</v>
          </cell>
        </row>
        <row r="8037">
          <cell r="D8037">
            <v>601049.11</v>
          </cell>
        </row>
        <row r="8038">
          <cell r="D8038">
            <v>701049.11</v>
          </cell>
        </row>
        <row r="8608">
          <cell r="C8608">
            <v>104824.01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IP (Input Sheet)"/>
      <sheetName val="Working WIP for CG Bottleneck"/>
      <sheetName val="Recommendation"/>
    </sheetNames>
    <sheetDataSet>
      <sheetData sheetId="0"/>
      <sheetData sheetId="1">
        <row r="3">
          <cell r="C3">
            <v>511482</v>
          </cell>
          <cell r="D3">
            <v>230113002</v>
          </cell>
          <cell r="E3" t="str">
            <v>RO 2x4.8 sp</v>
          </cell>
          <cell r="F3" t="str">
            <v>RO 2x4.8 SP</v>
          </cell>
          <cell r="G3">
            <v>2</v>
          </cell>
          <cell r="H3">
            <v>4.8</v>
          </cell>
          <cell r="I3" t="str">
            <v>SP</v>
          </cell>
          <cell r="J3" t="str">
            <v>CG 07</v>
          </cell>
          <cell r="L3">
            <v>3000</v>
          </cell>
          <cell r="M3">
            <v>625</v>
          </cell>
          <cell r="N3">
            <v>2</v>
          </cell>
          <cell r="O3">
            <v>1477045</v>
          </cell>
          <cell r="P3">
            <v>78.775733333333307</v>
          </cell>
          <cell r="Q3">
            <v>3</v>
          </cell>
          <cell r="R3">
            <v>81.775733333333307</v>
          </cell>
          <cell r="S3">
            <v>6.8146444444444398</v>
          </cell>
        </row>
        <row r="4">
          <cell r="C4">
            <v>502001</v>
          </cell>
          <cell r="D4">
            <v>230521001</v>
          </cell>
          <cell r="E4" t="str">
            <v>RO 2x19.8 BP</v>
          </cell>
          <cell r="F4" t="str">
            <v>RO 2x19.8 BP</v>
          </cell>
          <cell r="G4">
            <v>2</v>
          </cell>
          <cell r="H4">
            <v>19.8</v>
          </cell>
          <cell r="I4" t="str">
            <v>BP</v>
          </cell>
          <cell r="J4" t="str">
            <v>CG 07</v>
          </cell>
          <cell r="L4">
            <v>3000</v>
          </cell>
          <cell r="M4">
            <v>151.51515151515201</v>
          </cell>
          <cell r="N4">
            <v>2</v>
          </cell>
          <cell r="O4">
            <v>97107</v>
          </cell>
          <cell r="P4">
            <v>21.363539999999901</v>
          </cell>
          <cell r="Q4">
            <v>3</v>
          </cell>
          <cell r="R4">
            <v>24.363539999999901</v>
          </cell>
          <cell r="S4">
            <v>2.03029499999999</v>
          </cell>
        </row>
        <row r="5">
          <cell r="C5">
            <v>503133</v>
          </cell>
          <cell r="D5">
            <v>230816002</v>
          </cell>
          <cell r="E5" t="str">
            <v>RO 3.279x11.6 BP</v>
          </cell>
          <cell r="F5" t="str">
            <v>RO 3.279x11.6 BP</v>
          </cell>
          <cell r="G5">
            <v>3.2789999999999999</v>
          </cell>
          <cell r="H5">
            <v>11.6</v>
          </cell>
          <cell r="I5" t="str">
            <v>BP</v>
          </cell>
          <cell r="J5" t="str">
            <v>CG 06</v>
          </cell>
          <cell r="K5" t="str">
            <v>CG 08</v>
          </cell>
          <cell r="L5">
            <v>4000</v>
          </cell>
          <cell r="M5">
            <v>344.82758620689702</v>
          </cell>
          <cell r="N5">
            <v>2</v>
          </cell>
          <cell r="O5">
            <v>10075</v>
          </cell>
          <cell r="P5">
            <v>0.97391666666666499</v>
          </cell>
          <cell r="Q5">
            <v>3</v>
          </cell>
          <cell r="R5">
            <v>3.9739166666666699</v>
          </cell>
          <cell r="S5">
            <v>0.33115972222222201</v>
          </cell>
        </row>
        <row r="6">
          <cell r="C6">
            <v>503134</v>
          </cell>
          <cell r="D6">
            <v>230816003</v>
          </cell>
          <cell r="E6" t="str">
            <v>RO 2.175x7.8 BP</v>
          </cell>
          <cell r="F6" t="str">
            <v>RO 2.175x7.8 BP</v>
          </cell>
          <cell r="G6">
            <v>2.1749999999999998</v>
          </cell>
          <cell r="H6">
            <v>7.8</v>
          </cell>
          <cell r="I6" t="str">
            <v>BP</v>
          </cell>
          <cell r="J6" t="str">
            <v>CG 07</v>
          </cell>
          <cell r="L6">
            <v>3000</v>
          </cell>
          <cell r="M6">
            <v>384.61538461538498</v>
          </cell>
          <cell r="N6">
            <v>2</v>
          </cell>
          <cell r="O6">
            <v>17806</v>
          </cell>
          <cell r="P6">
            <v>1.54318666666667</v>
          </cell>
          <cell r="Q6">
            <v>3</v>
          </cell>
          <cell r="R6">
            <v>4.5431866666666698</v>
          </cell>
          <cell r="S6">
            <v>0.37859888888888898</v>
          </cell>
        </row>
        <row r="7">
          <cell r="C7">
            <v>550006</v>
          </cell>
          <cell r="D7">
            <v>240505006</v>
          </cell>
          <cell r="E7" t="str">
            <v>RO 1.5x6 BP</v>
          </cell>
          <cell r="F7" t="str">
            <v>RO 1.5x6 BP</v>
          </cell>
          <cell r="G7">
            <v>1.5</v>
          </cell>
          <cell r="H7">
            <v>6</v>
          </cell>
          <cell r="I7" t="str">
            <v>BP</v>
          </cell>
          <cell r="J7" t="str">
            <v>CG 07</v>
          </cell>
          <cell r="L7">
            <v>3000</v>
          </cell>
          <cell r="M7">
            <v>500</v>
          </cell>
          <cell r="N7">
            <v>2</v>
          </cell>
          <cell r="O7">
            <v>430261</v>
          </cell>
          <cell r="P7">
            <v>28.684066666666698</v>
          </cell>
          <cell r="Q7">
            <v>3</v>
          </cell>
          <cell r="R7">
            <v>31.684066666666698</v>
          </cell>
          <cell r="S7">
            <v>2.6403388888888899</v>
          </cell>
        </row>
        <row r="8">
          <cell r="C8">
            <v>511965.21</v>
          </cell>
          <cell r="D8">
            <v>240628013</v>
          </cell>
          <cell r="E8" t="str">
            <v>RO 1.5x9.8 BR</v>
          </cell>
          <cell r="F8" t="str">
            <v>RO 1.5x9.8 BR</v>
          </cell>
          <cell r="G8">
            <v>1.5</v>
          </cell>
          <cell r="H8">
            <v>9.8000000000000007</v>
          </cell>
          <cell r="I8" t="str">
            <v>BR</v>
          </cell>
          <cell r="J8" t="str">
            <v>CG 07</v>
          </cell>
          <cell r="L8">
            <v>3000</v>
          </cell>
          <cell r="M8">
            <v>306.12244897959198</v>
          </cell>
          <cell r="N8">
            <v>2</v>
          </cell>
          <cell r="O8">
            <v>148811</v>
          </cell>
          <cell r="P8">
            <v>16.203864444444399</v>
          </cell>
          <cell r="Q8">
            <v>3</v>
          </cell>
          <cell r="R8">
            <v>19.203864444444399</v>
          </cell>
          <cell r="S8">
            <v>1.6003220370370399</v>
          </cell>
        </row>
        <row r="9">
          <cell r="C9">
            <v>511091</v>
          </cell>
          <cell r="D9">
            <v>240726017</v>
          </cell>
          <cell r="E9" t="str">
            <v>RO 2x5.8 BP</v>
          </cell>
          <cell r="F9" t="str">
            <v>RO 2x5.8 BP</v>
          </cell>
          <cell r="G9">
            <v>2</v>
          </cell>
          <cell r="H9">
            <v>5.8</v>
          </cell>
          <cell r="I9" t="str">
            <v>BP</v>
          </cell>
          <cell r="J9" t="str">
            <v>CG 07</v>
          </cell>
          <cell r="L9">
            <v>3000</v>
          </cell>
          <cell r="M9">
            <v>517.241379310345</v>
          </cell>
          <cell r="N9">
            <v>2</v>
          </cell>
          <cell r="O9">
            <v>284981</v>
          </cell>
          <cell r="P9">
            <v>18.3654422222222</v>
          </cell>
          <cell r="Q9">
            <v>3</v>
          </cell>
          <cell r="R9">
            <v>21.3654422222222</v>
          </cell>
          <cell r="S9">
            <v>1.78045351851852</v>
          </cell>
        </row>
        <row r="10">
          <cell r="C10">
            <v>502003</v>
          </cell>
          <cell r="D10">
            <v>241006013</v>
          </cell>
          <cell r="E10" t="str">
            <v>RO 3.96x22.2 BP</v>
          </cell>
          <cell r="F10" t="str">
            <v>RO 3.96x22.2 BP</v>
          </cell>
          <cell r="G10">
            <v>3.96</v>
          </cell>
          <cell r="H10">
            <v>22.2</v>
          </cell>
          <cell r="I10" t="str">
            <v>BP</v>
          </cell>
          <cell r="J10" t="str">
            <v>CG 06</v>
          </cell>
          <cell r="L10">
            <v>4000</v>
          </cell>
          <cell r="M10">
            <v>180.18018018018</v>
          </cell>
          <cell r="N10">
            <v>2</v>
          </cell>
          <cell r="O10">
            <v>37997</v>
          </cell>
          <cell r="P10">
            <v>7.0294450000000097</v>
          </cell>
          <cell r="Q10">
            <v>3</v>
          </cell>
          <cell r="R10">
            <v>10.029445000000001</v>
          </cell>
          <cell r="S10">
            <v>0.83578708333333396</v>
          </cell>
        </row>
        <row r="11">
          <cell r="C11">
            <v>502071</v>
          </cell>
          <cell r="D11">
            <v>241204005</v>
          </cell>
          <cell r="E11" t="str">
            <v>RO 5.494X10.8</v>
          </cell>
          <cell r="F11" t="str">
            <v>RO 5.494x10.8</v>
          </cell>
          <cell r="G11">
            <v>5.4939999999999998</v>
          </cell>
          <cell r="H11">
            <v>10.8</v>
          </cell>
          <cell r="J11" t="str">
            <v>CG 06</v>
          </cell>
          <cell r="K11" t="str">
            <v>CG 05</v>
          </cell>
          <cell r="L11">
            <v>4000</v>
          </cell>
          <cell r="M11">
            <v>370.37037037036998</v>
          </cell>
          <cell r="N11">
            <v>2</v>
          </cell>
          <cell r="O11">
            <v>4852</v>
          </cell>
          <cell r="P11">
            <v>0.43668000000000001</v>
          </cell>
          <cell r="Q11">
            <v>3</v>
          </cell>
          <cell r="R11">
            <v>3.43668</v>
          </cell>
          <cell r="S11">
            <v>0.28638999999999998</v>
          </cell>
        </row>
        <row r="12">
          <cell r="C12">
            <v>511200</v>
          </cell>
          <cell r="D12">
            <v>241217019</v>
          </cell>
          <cell r="E12" t="str">
            <v>RO 1.5x9.3 BP</v>
          </cell>
          <cell r="F12" t="str">
            <v>RO 1.5x9.3 BP</v>
          </cell>
          <cell r="G12">
            <v>1.5</v>
          </cell>
          <cell r="H12">
            <v>9.3000000000000007</v>
          </cell>
          <cell r="I12" t="str">
            <v>BP</v>
          </cell>
          <cell r="J12" t="str">
            <v>CG 07</v>
          </cell>
          <cell r="L12">
            <v>3000</v>
          </cell>
          <cell r="M12">
            <v>322.58064516129002</v>
          </cell>
          <cell r="N12">
            <v>2</v>
          </cell>
          <cell r="O12">
            <v>341205</v>
          </cell>
          <cell r="P12">
            <v>35.257849999999998</v>
          </cell>
          <cell r="Q12">
            <v>3</v>
          </cell>
          <cell r="R12">
            <v>38.257849999999998</v>
          </cell>
          <cell r="S12">
            <v>3.1881541666666702</v>
          </cell>
        </row>
        <row r="13">
          <cell r="C13">
            <v>502024</v>
          </cell>
          <cell r="D13">
            <v>241228003</v>
          </cell>
          <cell r="E13" t="str">
            <v>RO 3x6.8 BP</v>
          </cell>
          <cell r="F13" t="str">
            <v>RO 3x6.8 BP</v>
          </cell>
          <cell r="G13">
            <v>3</v>
          </cell>
          <cell r="H13">
            <v>6.8</v>
          </cell>
          <cell r="I13" t="str">
            <v>BP</v>
          </cell>
          <cell r="J13" t="str">
            <v>CG 06</v>
          </cell>
          <cell r="K13" t="str">
            <v>CG 08</v>
          </cell>
          <cell r="L13">
            <v>4000</v>
          </cell>
          <cell r="M13">
            <v>588.23529411764696</v>
          </cell>
          <cell r="N13">
            <v>2</v>
          </cell>
          <cell r="O13">
            <v>114890</v>
          </cell>
          <cell r="P13">
            <v>6.5104333333333404</v>
          </cell>
          <cell r="Q13">
            <v>3</v>
          </cell>
          <cell r="R13">
            <v>9.5104333333333404</v>
          </cell>
          <cell r="S13">
            <v>0.792536111111111</v>
          </cell>
        </row>
        <row r="14">
          <cell r="C14">
            <v>503143</v>
          </cell>
          <cell r="D14">
            <v>241229001</v>
          </cell>
          <cell r="E14" t="str">
            <v>RO 3.148X18.05</v>
          </cell>
          <cell r="F14" t="str">
            <v>RO 3.148x18.05</v>
          </cell>
          <cell r="G14">
            <v>3.1480000000000001</v>
          </cell>
          <cell r="H14">
            <v>18.05</v>
          </cell>
          <cell r="J14" t="str">
            <v>CG 06</v>
          </cell>
          <cell r="K14" t="str">
            <v>CG 08</v>
          </cell>
          <cell r="L14">
            <v>4000</v>
          </cell>
          <cell r="M14">
            <v>221.606648199446</v>
          </cell>
          <cell r="N14">
            <v>2</v>
          </cell>
          <cell r="O14">
            <v>41700</v>
          </cell>
          <cell r="P14">
            <v>6.2723750000000003</v>
          </cell>
          <cell r="Q14">
            <v>3</v>
          </cell>
          <cell r="R14">
            <v>9.2723750000000003</v>
          </cell>
          <cell r="S14">
            <v>0.77269791666666698</v>
          </cell>
        </row>
        <row r="15">
          <cell r="C15">
            <v>511310.06</v>
          </cell>
          <cell r="D15">
            <v>250127009</v>
          </cell>
          <cell r="E15" t="str">
            <v>RO 5x14.8 BPM SP</v>
          </cell>
          <cell r="F15" t="str">
            <v>RO 5x14.8 BPM SP</v>
          </cell>
          <cell r="G15">
            <v>5</v>
          </cell>
          <cell r="H15">
            <v>14.8</v>
          </cell>
          <cell r="I15" t="str">
            <v>BPM SP</v>
          </cell>
          <cell r="J15" t="str">
            <v>CG 06</v>
          </cell>
          <cell r="K15" t="str">
            <v>CG 05</v>
          </cell>
          <cell r="L15">
            <v>4000</v>
          </cell>
          <cell r="M15">
            <v>270.27027027026998</v>
          </cell>
          <cell r="N15">
            <v>2</v>
          </cell>
          <cell r="O15">
            <v>33963</v>
          </cell>
          <cell r="P15">
            <v>4.1887699999999999</v>
          </cell>
          <cell r="Q15">
            <v>3</v>
          </cell>
          <cell r="R15">
            <v>7.1887699999999999</v>
          </cell>
          <cell r="S15">
            <v>0.59906416666666695</v>
          </cell>
        </row>
        <row r="16">
          <cell r="C16">
            <v>511433.01</v>
          </cell>
          <cell r="D16">
            <v>250324009</v>
          </cell>
          <cell r="E16" t="str">
            <v>RO 3.175x17.8 BP</v>
          </cell>
          <cell r="F16" t="str">
            <v>RO 3.175x17.8 BP</v>
          </cell>
          <cell r="G16">
            <v>3.1749999999999998</v>
          </cell>
          <cell r="H16">
            <v>17.8</v>
          </cell>
          <cell r="I16" t="str">
            <v>BP</v>
          </cell>
          <cell r="J16" t="str">
            <v>CG 06</v>
          </cell>
          <cell r="K16" t="str">
            <v>CG 08</v>
          </cell>
          <cell r="L16">
            <v>4000</v>
          </cell>
          <cell r="M16">
            <v>224.71910112359501</v>
          </cell>
          <cell r="N16">
            <v>2</v>
          </cell>
          <cell r="O16">
            <v>41845</v>
          </cell>
          <cell r="P16">
            <v>6.2070083333333503</v>
          </cell>
          <cell r="Q16">
            <v>3</v>
          </cell>
          <cell r="R16">
            <v>9.2070083333333503</v>
          </cell>
          <cell r="S16">
            <v>0.76725069444444605</v>
          </cell>
        </row>
        <row r="17">
          <cell r="C17">
            <v>102032</v>
          </cell>
          <cell r="D17">
            <v>250802023</v>
          </cell>
          <cell r="E17" t="str">
            <v>RO 6.322X37.084</v>
          </cell>
          <cell r="F17" t="str">
            <v>RO 6.322x37.084</v>
          </cell>
          <cell r="G17">
            <v>6.3220000000000001</v>
          </cell>
          <cell r="H17">
            <v>37.084000000000003</v>
          </cell>
          <cell r="J17" t="str">
            <v>CG 05</v>
          </cell>
          <cell r="L17">
            <v>2000</v>
          </cell>
          <cell r="M17">
            <v>53.931614712544501</v>
          </cell>
          <cell r="N17">
            <v>4</v>
          </cell>
          <cell r="O17">
            <v>17248</v>
          </cell>
          <cell r="P17">
            <v>21.320827733333299</v>
          </cell>
          <cell r="Q17">
            <v>3</v>
          </cell>
          <cell r="R17">
            <v>24.320827733333299</v>
          </cell>
          <cell r="S17">
            <v>1.5200517333333301</v>
          </cell>
        </row>
        <row r="18">
          <cell r="C18">
            <v>503138</v>
          </cell>
          <cell r="D18">
            <v>250827012</v>
          </cell>
          <cell r="E18" t="str">
            <v>RO 2.778x11.17 BR</v>
          </cell>
          <cell r="F18" t="str">
            <v>RO 2.778x11.17 BR</v>
          </cell>
          <cell r="G18">
            <v>2.778</v>
          </cell>
          <cell r="H18">
            <v>11.17</v>
          </cell>
          <cell r="I18" t="str">
            <v>BR</v>
          </cell>
          <cell r="J18" t="str">
            <v>CG 06</v>
          </cell>
          <cell r="K18" t="str">
            <v>CG 08</v>
          </cell>
          <cell r="L18">
            <v>4000</v>
          </cell>
          <cell r="M18">
            <v>358.10205908683997</v>
          </cell>
          <cell r="N18">
            <v>2</v>
          </cell>
          <cell r="O18">
            <v>144359</v>
          </cell>
          <cell r="P18">
            <v>13.437416916666701</v>
          </cell>
          <cell r="Q18">
            <v>3</v>
          </cell>
          <cell r="R18">
            <v>16.437416916666699</v>
          </cell>
          <cell r="S18">
            <v>1.3697847430555501</v>
          </cell>
        </row>
        <row r="19">
          <cell r="C19">
            <v>501053.8</v>
          </cell>
          <cell r="D19">
            <v>250902008</v>
          </cell>
          <cell r="E19" t="str">
            <v>RO 5.2X32.25</v>
          </cell>
          <cell r="F19" t="str">
            <v>RO 5.2x32.25</v>
          </cell>
          <cell r="G19">
            <v>5.2</v>
          </cell>
          <cell r="H19">
            <v>32.25</v>
          </cell>
          <cell r="J19" t="str">
            <v>CG 06</v>
          </cell>
          <cell r="K19" t="str">
            <v>CG 05</v>
          </cell>
          <cell r="L19">
            <v>4000</v>
          </cell>
          <cell r="M19">
            <v>124.03100775193801</v>
          </cell>
          <cell r="N19">
            <v>2</v>
          </cell>
          <cell r="O19">
            <v>500</v>
          </cell>
          <cell r="P19">
            <v>0.13437499999999999</v>
          </cell>
          <cell r="Q19">
            <v>3</v>
          </cell>
          <cell r="R19">
            <v>3.1343749999999999</v>
          </cell>
          <cell r="S19">
            <v>0.26119791666666697</v>
          </cell>
        </row>
        <row r="20">
          <cell r="C20">
            <v>511395.04</v>
          </cell>
          <cell r="D20">
            <v>250919006</v>
          </cell>
          <cell r="E20" t="str">
            <v>RO 4x10.8 BP</v>
          </cell>
          <cell r="F20" t="str">
            <v>RO 4x10.8 BP</v>
          </cell>
          <cell r="G20">
            <v>4</v>
          </cell>
          <cell r="H20">
            <v>10.8</v>
          </cell>
          <cell r="I20" t="str">
            <v>BP</v>
          </cell>
          <cell r="J20" t="str">
            <v>CG 06</v>
          </cell>
          <cell r="L20">
            <v>4000</v>
          </cell>
          <cell r="M20">
            <v>370.37037037036998</v>
          </cell>
          <cell r="N20">
            <v>2</v>
          </cell>
          <cell r="O20">
            <v>42199</v>
          </cell>
          <cell r="P20">
            <v>3.7979099999999999</v>
          </cell>
          <cell r="Q20">
            <v>3</v>
          </cell>
          <cell r="R20">
            <v>6.7979099999999999</v>
          </cell>
          <cell r="S20">
            <v>0.56649249999999995</v>
          </cell>
        </row>
        <row r="21">
          <cell r="C21">
            <v>503146</v>
          </cell>
          <cell r="D21">
            <v>251208009</v>
          </cell>
          <cell r="E21" t="str">
            <v>RO 3.5X10.3</v>
          </cell>
          <cell r="F21" t="str">
            <v>RO 3.5x10.3</v>
          </cell>
          <cell r="G21">
            <v>3.5</v>
          </cell>
          <cell r="H21">
            <v>10.3</v>
          </cell>
          <cell r="J21" t="str">
            <v>CG 06</v>
          </cell>
          <cell r="L21">
            <v>4000</v>
          </cell>
          <cell r="M21">
            <v>388.34951456310699</v>
          </cell>
          <cell r="N21">
            <v>2</v>
          </cell>
          <cell r="O21">
            <v>11347</v>
          </cell>
          <cell r="P21">
            <v>0.97395083333333299</v>
          </cell>
          <cell r="Q21">
            <v>3</v>
          </cell>
          <cell r="R21">
            <v>3.9739508333333302</v>
          </cell>
          <cell r="S21">
            <v>0.331162569444444</v>
          </cell>
        </row>
        <row r="22">
          <cell r="C22">
            <v>503145</v>
          </cell>
          <cell r="D22">
            <v>251208010</v>
          </cell>
          <cell r="E22" t="str">
            <v>RO 3.148X14.8</v>
          </cell>
          <cell r="F22" t="str">
            <v>RO 3.148x14.8</v>
          </cell>
          <cell r="G22">
            <v>3.1480000000000001</v>
          </cell>
          <cell r="H22">
            <v>14.8</v>
          </cell>
          <cell r="J22" t="str">
            <v>CG 06</v>
          </cell>
          <cell r="K22" t="str">
            <v>CG 08</v>
          </cell>
          <cell r="L22">
            <v>4000</v>
          </cell>
          <cell r="M22">
            <v>270.27027027026998</v>
          </cell>
          <cell r="N22">
            <v>2</v>
          </cell>
          <cell r="O22">
            <v>22605</v>
          </cell>
          <cell r="P22">
            <v>2.7879499999999999</v>
          </cell>
          <cell r="Q22">
            <v>3</v>
          </cell>
          <cell r="R22">
            <v>5.7879500000000004</v>
          </cell>
          <cell r="S22">
            <v>0.48232916666666698</v>
          </cell>
        </row>
        <row r="23">
          <cell r="C23">
            <v>511209.01</v>
          </cell>
          <cell r="D23">
            <v>251229004</v>
          </cell>
          <cell r="E23" t="str">
            <v>RO 2.5x16.8 BP</v>
          </cell>
          <cell r="F23" t="str">
            <v>RO 2.5x16.8 BP</v>
          </cell>
          <cell r="G23">
            <v>2.5</v>
          </cell>
          <cell r="H23">
            <v>16.8</v>
          </cell>
          <cell r="I23" t="str">
            <v>BP</v>
          </cell>
          <cell r="J23" t="str">
            <v>CG 07</v>
          </cell>
          <cell r="L23">
            <v>3000</v>
          </cell>
          <cell r="M23">
            <v>178.57142857142901</v>
          </cell>
          <cell r="N23">
            <v>2</v>
          </cell>
          <cell r="O23">
            <v>132776</v>
          </cell>
          <cell r="P23">
            <v>24.784853333333299</v>
          </cell>
          <cell r="Q23">
            <v>3</v>
          </cell>
          <cell r="R23">
            <v>27.784853333333299</v>
          </cell>
          <cell r="S23">
            <v>2.3154044444444399</v>
          </cell>
        </row>
        <row r="24">
          <cell r="C24">
            <v>511395.03</v>
          </cell>
          <cell r="D24">
            <v>260102005</v>
          </cell>
          <cell r="E24" t="str">
            <v>RO 4x7.8 BP</v>
          </cell>
          <cell r="F24" t="str">
            <v>RO 4x7.8 BP</v>
          </cell>
          <cell r="G24">
            <v>4</v>
          </cell>
          <cell r="H24">
            <v>7.8</v>
          </cell>
          <cell r="I24" t="str">
            <v>BP</v>
          </cell>
          <cell r="J24" t="str">
            <v>CG 06</v>
          </cell>
          <cell r="L24">
            <v>4000</v>
          </cell>
          <cell r="M24">
            <v>512.82051282051304</v>
          </cell>
          <cell r="N24">
            <v>2</v>
          </cell>
          <cell r="O24">
            <v>117913</v>
          </cell>
          <cell r="P24">
            <v>7.664345</v>
          </cell>
          <cell r="Q24">
            <v>3</v>
          </cell>
          <cell r="R24">
            <v>10.664345000000001</v>
          </cell>
          <cell r="S24">
            <v>0.88869541666666596</v>
          </cell>
        </row>
        <row r="25">
          <cell r="C25">
            <v>511304.01</v>
          </cell>
          <cell r="D25">
            <v>260102006</v>
          </cell>
          <cell r="E25" t="str">
            <v>RO 4x12.8 BP</v>
          </cell>
          <cell r="F25" t="str">
            <v>RO 4x12.8 BP</v>
          </cell>
          <cell r="G25">
            <v>4</v>
          </cell>
          <cell r="H25">
            <v>12.8</v>
          </cell>
          <cell r="I25" t="str">
            <v>BP</v>
          </cell>
          <cell r="J25" t="str">
            <v>CG 06</v>
          </cell>
          <cell r="L25">
            <v>4000</v>
          </cell>
          <cell r="M25">
            <v>312.5</v>
          </cell>
          <cell r="N25">
            <v>2</v>
          </cell>
          <cell r="O25">
            <v>141529</v>
          </cell>
          <cell r="P25">
            <v>15.0964266666667</v>
          </cell>
          <cell r="Q25">
            <v>3</v>
          </cell>
          <cell r="R25">
            <v>18.096426666666702</v>
          </cell>
          <cell r="S25">
            <v>1.50803555555556</v>
          </cell>
        </row>
        <row r="26">
          <cell r="C26">
            <v>511446</v>
          </cell>
          <cell r="D26">
            <v>260107010</v>
          </cell>
          <cell r="E26" t="str">
            <v>RO 2.5x23.8 BP</v>
          </cell>
          <cell r="F26" t="str">
            <v>RO 2.5x23.8 BP</v>
          </cell>
          <cell r="G26">
            <v>2.5</v>
          </cell>
          <cell r="H26">
            <v>23.8</v>
          </cell>
          <cell r="I26" t="str">
            <v>BP</v>
          </cell>
          <cell r="J26" t="str">
            <v>CG 07</v>
          </cell>
          <cell r="L26">
            <v>3000</v>
          </cell>
          <cell r="M26">
            <v>126.05042016806701</v>
          </cell>
          <cell r="N26">
            <v>2</v>
          </cell>
          <cell r="O26">
            <v>95731</v>
          </cell>
          <cell r="P26">
            <v>25.315531111111198</v>
          </cell>
          <cell r="Q26">
            <v>3</v>
          </cell>
          <cell r="R26">
            <v>28.315531111111198</v>
          </cell>
          <cell r="S26">
            <v>2.3596275925926</v>
          </cell>
        </row>
        <row r="27">
          <cell r="C27">
            <v>511209.01</v>
          </cell>
          <cell r="D27">
            <v>260118016</v>
          </cell>
          <cell r="E27" t="str">
            <v>RO 2.5x16.8 BP</v>
          </cell>
          <cell r="F27" t="str">
            <v>RO 2.5x16.8 BP</v>
          </cell>
          <cell r="G27">
            <v>2.5</v>
          </cell>
          <cell r="H27">
            <v>16.8</v>
          </cell>
          <cell r="I27" t="str">
            <v>BP</v>
          </cell>
          <cell r="J27" t="str">
            <v>CG 07</v>
          </cell>
          <cell r="L27">
            <v>3000</v>
          </cell>
          <cell r="M27">
            <v>178.57142857142901</v>
          </cell>
          <cell r="N27">
            <v>2</v>
          </cell>
          <cell r="O27">
            <v>135619</v>
          </cell>
          <cell r="P27">
            <v>25.315546666666599</v>
          </cell>
          <cell r="Q27">
            <v>3</v>
          </cell>
          <cell r="R27">
            <v>28.315546666666599</v>
          </cell>
          <cell r="S27">
            <v>2.3596288888888801</v>
          </cell>
        </row>
        <row r="28">
          <cell r="C28">
            <v>500965.24</v>
          </cell>
          <cell r="D28">
            <v>260203007</v>
          </cell>
          <cell r="E28" t="str">
            <v>RO 2x14 BT</v>
          </cell>
          <cell r="F28" t="str">
            <v>RO 2x14 BT</v>
          </cell>
          <cell r="G28">
            <v>2</v>
          </cell>
          <cell r="H28">
            <v>14</v>
          </cell>
          <cell r="I28" t="str">
            <v>BT</v>
          </cell>
          <cell r="J28" t="str">
            <v>CG 07</v>
          </cell>
          <cell r="L28">
            <v>3000</v>
          </cell>
          <cell r="M28">
            <v>214.28571428571399</v>
          </cell>
          <cell r="N28">
            <v>2</v>
          </cell>
          <cell r="O28">
            <v>259096</v>
          </cell>
          <cell r="P28">
            <v>40.303822222222301</v>
          </cell>
          <cell r="Q28">
            <v>3</v>
          </cell>
          <cell r="R28">
            <v>43.303822222222301</v>
          </cell>
          <cell r="S28">
            <v>3.6086518518518602</v>
          </cell>
        </row>
        <row r="29">
          <cell r="C29">
            <v>550005</v>
          </cell>
          <cell r="D29">
            <v>260208004</v>
          </cell>
          <cell r="E29" t="str">
            <v>RO 2.379x20.8 BP</v>
          </cell>
          <cell r="F29" t="str">
            <v>RO 2.379x20.8 BP</v>
          </cell>
          <cell r="G29">
            <v>2.379</v>
          </cell>
          <cell r="H29">
            <v>20.8</v>
          </cell>
          <cell r="I29" t="str">
            <v>BP</v>
          </cell>
          <cell r="J29" t="str">
            <v>CG 07</v>
          </cell>
          <cell r="L29">
            <v>3000</v>
          </cell>
          <cell r="M29">
            <v>144.230769230769</v>
          </cell>
          <cell r="N29">
            <v>2</v>
          </cell>
          <cell r="O29">
            <v>10977</v>
          </cell>
          <cell r="P29">
            <v>2.53690666666667</v>
          </cell>
          <cell r="Q29">
            <v>3</v>
          </cell>
          <cell r="R29">
            <v>5.5369066666666704</v>
          </cell>
          <cell r="S29">
            <v>0.46140888888888898</v>
          </cell>
        </row>
        <row r="30">
          <cell r="C30">
            <v>511001</v>
          </cell>
          <cell r="D30">
            <v>260214005</v>
          </cell>
          <cell r="E30" t="str">
            <v>RO 2x9.8 BP</v>
          </cell>
          <cell r="F30" t="str">
            <v>RO 2x9.8 BP</v>
          </cell>
          <cell r="G30">
            <v>2</v>
          </cell>
          <cell r="H30">
            <v>9.8000000000000007</v>
          </cell>
          <cell r="I30" t="str">
            <v>BP</v>
          </cell>
          <cell r="J30" t="str">
            <v>CG 07</v>
          </cell>
          <cell r="L30">
            <v>3000</v>
          </cell>
          <cell r="M30">
            <v>306.12244897959198</v>
          </cell>
          <cell r="N30">
            <v>2</v>
          </cell>
          <cell r="O30">
            <v>349665</v>
          </cell>
          <cell r="P30">
            <v>38.074633333333303</v>
          </cell>
          <cell r="Q30">
            <v>3</v>
          </cell>
          <cell r="R30">
            <v>41.074633333333303</v>
          </cell>
          <cell r="S30">
            <v>3.4228861111111102</v>
          </cell>
        </row>
        <row r="31">
          <cell r="C31">
            <v>511042</v>
          </cell>
          <cell r="D31">
            <v>260214006</v>
          </cell>
          <cell r="E31" t="str">
            <v>RO 2.5x10.8 BP</v>
          </cell>
          <cell r="F31" t="str">
            <v>RO 2.5x10.8 BP</v>
          </cell>
          <cell r="G31">
            <v>2.5</v>
          </cell>
          <cell r="H31">
            <v>10.8</v>
          </cell>
          <cell r="I31" t="str">
            <v>BP</v>
          </cell>
          <cell r="J31" t="str">
            <v>CG 07</v>
          </cell>
          <cell r="L31">
            <v>3000</v>
          </cell>
          <cell r="M31">
            <v>277.777777777778</v>
          </cell>
          <cell r="N31">
            <v>2</v>
          </cell>
          <cell r="O31">
            <v>206742</v>
          </cell>
          <cell r="P31">
            <v>24.80904</v>
          </cell>
          <cell r="Q31">
            <v>3</v>
          </cell>
          <cell r="R31">
            <v>27.80904</v>
          </cell>
          <cell r="S31">
            <v>2.3174199999999998</v>
          </cell>
        </row>
        <row r="32">
          <cell r="C32">
            <v>511209.01</v>
          </cell>
          <cell r="D32">
            <v>260301024</v>
          </cell>
          <cell r="E32" t="str">
            <v>RO 2.5x16.8 BP</v>
          </cell>
          <cell r="F32" t="str">
            <v>RO 2.5x16.8 BP</v>
          </cell>
          <cell r="G32">
            <v>2.5</v>
          </cell>
          <cell r="H32">
            <v>16.8</v>
          </cell>
          <cell r="I32" t="str">
            <v>BP</v>
          </cell>
          <cell r="J32" t="str">
            <v>CG 07</v>
          </cell>
          <cell r="L32">
            <v>3000</v>
          </cell>
          <cell r="M32">
            <v>178.57142857142901</v>
          </cell>
          <cell r="N32">
            <v>2</v>
          </cell>
          <cell r="O32">
            <v>146467</v>
          </cell>
          <cell r="P32">
            <v>27.340506666666599</v>
          </cell>
          <cell r="Q32">
            <v>3</v>
          </cell>
          <cell r="R32">
            <v>30.340506666666599</v>
          </cell>
          <cell r="S32">
            <v>2.52837555555555</v>
          </cell>
        </row>
        <row r="33">
          <cell r="C33">
            <v>550009</v>
          </cell>
          <cell r="D33">
            <v>260306004</v>
          </cell>
          <cell r="E33" t="str">
            <v>RO 2.379x5 BP</v>
          </cell>
          <cell r="F33" t="str">
            <v>RO 2.379x5 BP</v>
          </cell>
          <cell r="G33">
            <v>2.379</v>
          </cell>
          <cell r="H33">
            <v>5</v>
          </cell>
          <cell r="I33" t="str">
            <v>BP</v>
          </cell>
          <cell r="J33" t="str">
            <v>CG 07</v>
          </cell>
          <cell r="L33">
            <v>3000</v>
          </cell>
          <cell r="M33">
            <v>600</v>
          </cell>
          <cell r="N33">
            <v>2</v>
          </cell>
          <cell r="O33">
            <v>305309</v>
          </cell>
          <cell r="P33">
            <v>16.9616111111111</v>
          </cell>
          <cell r="Q33">
            <v>3</v>
          </cell>
          <cell r="R33">
            <v>19.9616111111111</v>
          </cell>
          <cell r="S33">
            <v>1.6634675925925899</v>
          </cell>
        </row>
        <row r="34">
          <cell r="C34">
            <v>511436</v>
          </cell>
          <cell r="D34">
            <v>260310006</v>
          </cell>
          <cell r="E34" t="str">
            <v>RO 4x15.8 ER</v>
          </cell>
          <cell r="F34" t="str">
            <v>RO 4x15.8 ER</v>
          </cell>
          <cell r="G34">
            <v>4</v>
          </cell>
          <cell r="H34">
            <v>15.8</v>
          </cell>
          <cell r="I34" t="str">
            <v>ER</v>
          </cell>
          <cell r="J34" t="str">
            <v>CG 06</v>
          </cell>
          <cell r="L34">
            <v>4000</v>
          </cell>
          <cell r="M34">
            <v>253.16455696202499</v>
          </cell>
          <cell r="N34">
            <v>2</v>
          </cell>
          <cell r="O34">
            <v>137914</v>
          </cell>
          <cell r="P34">
            <v>18.1586766666667</v>
          </cell>
          <cell r="Q34">
            <v>3</v>
          </cell>
          <cell r="R34">
            <v>21.1586766666667</v>
          </cell>
          <cell r="S34">
            <v>1.7632230555555599</v>
          </cell>
        </row>
        <row r="35">
          <cell r="C35">
            <v>511436</v>
          </cell>
          <cell r="D35">
            <v>260310007</v>
          </cell>
          <cell r="E35" t="str">
            <v>RO 4x15.8 ER</v>
          </cell>
          <cell r="F35" t="str">
            <v>RO 4x15.8 ER</v>
          </cell>
          <cell r="G35">
            <v>4</v>
          </cell>
          <cell r="H35">
            <v>15.8</v>
          </cell>
          <cell r="I35" t="str">
            <v>ER</v>
          </cell>
          <cell r="J35" t="str">
            <v>CG 06</v>
          </cell>
          <cell r="L35">
            <v>4000</v>
          </cell>
          <cell r="M35">
            <v>253.16455696202499</v>
          </cell>
          <cell r="N35">
            <v>2</v>
          </cell>
          <cell r="O35">
            <v>113665</v>
          </cell>
          <cell r="P35">
            <v>14.9658916666667</v>
          </cell>
          <cell r="Q35">
            <v>3</v>
          </cell>
          <cell r="R35">
            <v>17.9658916666667</v>
          </cell>
          <cell r="S35">
            <v>1.4971576388888901</v>
          </cell>
        </row>
        <row r="36">
          <cell r="C36">
            <v>511311.02</v>
          </cell>
          <cell r="D36">
            <v>260319014</v>
          </cell>
          <cell r="E36" t="str">
            <v>RO 5.5x19.8 BP</v>
          </cell>
          <cell r="F36" t="str">
            <v>RO 5.5x19.8 BP</v>
          </cell>
          <cell r="G36">
            <v>5.5</v>
          </cell>
          <cell r="H36">
            <v>19.8</v>
          </cell>
          <cell r="I36" t="str">
            <v>BP</v>
          </cell>
          <cell r="J36" t="str">
            <v>CG 06</v>
          </cell>
          <cell r="K36" t="str">
            <v>CG 05</v>
          </cell>
          <cell r="L36">
            <v>4000</v>
          </cell>
          <cell r="M36">
            <v>202.02020202020199</v>
          </cell>
          <cell r="N36">
            <v>2</v>
          </cell>
          <cell r="O36">
            <v>122865</v>
          </cell>
          <cell r="P36">
            <v>20.272725000000001</v>
          </cell>
          <cell r="Q36">
            <v>3</v>
          </cell>
          <cell r="R36">
            <v>23.272725000000001</v>
          </cell>
          <cell r="S36">
            <v>1.93939375</v>
          </cell>
        </row>
        <row r="37">
          <cell r="C37">
            <v>511311.02</v>
          </cell>
          <cell r="D37">
            <v>260319015</v>
          </cell>
          <cell r="E37" t="str">
            <v>RO 5.5x19.8 BP</v>
          </cell>
          <cell r="F37" t="str">
            <v>RO 5.5x19.8 BP</v>
          </cell>
          <cell r="G37">
            <v>5.5</v>
          </cell>
          <cell r="H37">
            <v>19.8</v>
          </cell>
          <cell r="I37" t="str">
            <v>BP</v>
          </cell>
          <cell r="J37" t="str">
            <v>CG 06</v>
          </cell>
          <cell r="K37" t="str">
            <v>CG 05</v>
          </cell>
          <cell r="L37">
            <v>4000</v>
          </cell>
          <cell r="M37">
            <v>202.02020202020199</v>
          </cell>
          <cell r="N37">
            <v>2</v>
          </cell>
          <cell r="O37">
            <v>122865</v>
          </cell>
          <cell r="P37">
            <v>20.272725000000001</v>
          </cell>
          <cell r="Q37">
            <v>3</v>
          </cell>
          <cell r="R37">
            <v>23.272725000000001</v>
          </cell>
          <cell r="S37">
            <v>1.93939375</v>
          </cell>
        </row>
        <row r="38">
          <cell r="C38">
            <v>511311.02</v>
          </cell>
          <cell r="D38">
            <v>260319016</v>
          </cell>
          <cell r="E38" t="str">
            <v>RO 5.5x19.8 BP</v>
          </cell>
          <cell r="F38" t="str">
            <v>RO 5.5x19.8 BP</v>
          </cell>
          <cell r="G38">
            <v>5.5</v>
          </cell>
          <cell r="H38">
            <v>19.8</v>
          </cell>
          <cell r="I38" t="str">
            <v>BP</v>
          </cell>
          <cell r="J38" t="str">
            <v>CG 06</v>
          </cell>
          <cell r="K38" t="str">
            <v>CG 05</v>
          </cell>
          <cell r="L38">
            <v>4000</v>
          </cell>
          <cell r="M38">
            <v>202.02020202020199</v>
          </cell>
          <cell r="N38">
            <v>2</v>
          </cell>
          <cell r="O38">
            <v>134307</v>
          </cell>
          <cell r="P38">
            <v>22.160654999999998</v>
          </cell>
          <cell r="Q38">
            <v>3</v>
          </cell>
          <cell r="R38">
            <v>25.160654999999998</v>
          </cell>
          <cell r="S38">
            <v>2.0967212499999999</v>
          </cell>
        </row>
        <row r="39">
          <cell r="C39">
            <v>511308.01</v>
          </cell>
          <cell r="D39">
            <v>260327005</v>
          </cell>
          <cell r="E39" t="str">
            <v>RO 5x16.8 BP</v>
          </cell>
          <cell r="F39" t="str">
            <v>RO 5x16.8 BP</v>
          </cell>
          <cell r="G39">
            <v>5</v>
          </cell>
          <cell r="H39">
            <v>16.8</v>
          </cell>
          <cell r="I39" t="str">
            <v>BP</v>
          </cell>
          <cell r="J39" t="str">
            <v>CG 06</v>
          </cell>
          <cell r="K39" t="str">
            <v>CG 05</v>
          </cell>
          <cell r="L39">
            <v>4000</v>
          </cell>
          <cell r="M39">
            <v>238.09523809523799</v>
          </cell>
          <cell r="N39">
            <v>2</v>
          </cell>
          <cell r="O39">
            <v>34868</v>
          </cell>
          <cell r="P39">
            <v>4.8815200000000001</v>
          </cell>
          <cell r="Q39">
            <v>3</v>
          </cell>
          <cell r="R39">
            <v>7.8815200000000001</v>
          </cell>
          <cell r="S39">
            <v>0.65679333333333401</v>
          </cell>
        </row>
        <row r="40">
          <cell r="C40">
            <v>550003</v>
          </cell>
          <cell r="D40" t="str">
            <v>AD09012</v>
          </cell>
          <cell r="E40" t="str">
            <v>RO 2.379x14.8 BP</v>
          </cell>
          <cell r="F40" t="str">
            <v>RO 2.379x14.8 BP</v>
          </cell>
          <cell r="G40">
            <v>2.379</v>
          </cell>
          <cell r="H40">
            <v>14.8</v>
          </cell>
          <cell r="I40" t="str">
            <v>BP</v>
          </cell>
          <cell r="J40" t="str">
            <v>CG 07</v>
          </cell>
          <cell r="L40">
            <v>3000</v>
          </cell>
          <cell r="M40">
            <v>202.70270270270299</v>
          </cell>
          <cell r="N40">
            <v>2</v>
          </cell>
          <cell r="O40">
            <v>511871</v>
          </cell>
          <cell r="P40">
            <v>84.174342222222094</v>
          </cell>
          <cell r="Q40">
            <v>3</v>
          </cell>
          <cell r="R40">
            <v>87.174342222222094</v>
          </cell>
          <cell r="S40">
            <v>7.2645285185185102</v>
          </cell>
        </row>
        <row r="41">
          <cell r="C41">
            <v>502003</v>
          </cell>
          <cell r="D41" t="str">
            <v>AD09015</v>
          </cell>
          <cell r="E41" t="str">
            <v>RO 3.96x22.2 BP</v>
          </cell>
          <cell r="F41" t="str">
            <v>RO 3.96x22.2 BP</v>
          </cell>
          <cell r="G41">
            <v>3.96</v>
          </cell>
          <cell r="H41">
            <v>22.2</v>
          </cell>
          <cell r="I41" t="str">
            <v>BP</v>
          </cell>
          <cell r="J41" t="str">
            <v>CG 06</v>
          </cell>
          <cell r="L41">
            <v>4000</v>
          </cell>
          <cell r="M41">
            <v>180.18018018018</v>
          </cell>
          <cell r="N41">
            <v>2</v>
          </cell>
          <cell r="O41">
            <v>203379</v>
          </cell>
          <cell r="P41">
            <v>37.625115000000001</v>
          </cell>
          <cell r="Q41">
            <v>3</v>
          </cell>
          <cell r="R41">
            <v>40.625115000000001</v>
          </cell>
          <cell r="S41">
            <v>3.3854262500000001</v>
          </cell>
        </row>
        <row r="42">
          <cell r="C42">
            <v>102033</v>
          </cell>
          <cell r="D42" t="str">
            <v>AD09017</v>
          </cell>
          <cell r="E42" t="str">
            <v>RO 6X41</v>
          </cell>
          <cell r="F42" t="str">
            <v>RO 6x41</v>
          </cell>
          <cell r="G42">
            <v>6</v>
          </cell>
          <cell r="H42">
            <v>41</v>
          </cell>
          <cell r="J42" t="str">
            <v>CG 05</v>
          </cell>
          <cell r="L42">
            <v>2000</v>
          </cell>
          <cell r="M42">
            <v>48.780487804878</v>
          </cell>
          <cell r="N42">
            <v>3</v>
          </cell>
          <cell r="O42">
            <v>5394</v>
          </cell>
          <cell r="P42">
            <v>5.52885000000001</v>
          </cell>
          <cell r="Q42">
            <v>3</v>
          </cell>
          <cell r="R42">
            <v>8.5288500000000091</v>
          </cell>
          <cell r="S42">
            <v>0.71073750000000002</v>
          </cell>
        </row>
        <row r="43">
          <cell r="C43">
            <v>503109</v>
          </cell>
          <cell r="D43" t="str">
            <v>AD09019</v>
          </cell>
          <cell r="E43" t="str">
            <v>RO 2x7.2 BP</v>
          </cell>
          <cell r="F43" t="str">
            <v>RO 2x7.2 BP</v>
          </cell>
          <cell r="G43">
            <v>2</v>
          </cell>
          <cell r="H43">
            <v>7.2</v>
          </cell>
          <cell r="I43" t="str">
            <v>BP</v>
          </cell>
          <cell r="J43" t="str">
            <v>CG 07</v>
          </cell>
          <cell r="L43">
            <v>3000</v>
          </cell>
          <cell r="M43">
            <v>416.66666666666703</v>
          </cell>
          <cell r="N43">
            <v>2</v>
          </cell>
          <cell r="O43">
            <v>475932</v>
          </cell>
          <cell r="P43">
            <v>38.074559999999998</v>
          </cell>
          <cell r="Q43">
            <v>3</v>
          </cell>
          <cell r="R43">
            <v>41.074559999999998</v>
          </cell>
          <cell r="S43">
            <v>3.4228800000000001</v>
          </cell>
        </row>
        <row r="44">
          <cell r="C44">
            <v>511819.01</v>
          </cell>
          <cell r="D44" t="str">
            <v>AD09021</v>
          </cell>
          <cell r="E44" t="str">
            <v>RO 3x15.8 BP</v>
          </cell>
          <cell r="F44" t="str">
            <v>RO 3x15.8 BP</v>
          </cell>
          <cell r="G44">
            <v>3</v>
          </cell>
          <cell r="H44">
            <v>15.8</v>
          </cell>
          <cell r="I44" t="str">
            <v>BP</v>
          </cell>
          <cell r="J44" t="str">
            <v>CG 06</v>
          </cell>
          <cell r="K44" t="str">
            <v>CG 08</v>
          </cell>
          <cell r="L44">
            <v>4000</v>
          </cell>
          <cell r="M44">
            <v>253.16455696202499</v>
          </cell>
          <cell r="N44">
            <v>2</v>
          </cell>
          <cell r="O44">
            <v>505180</v>
          </cell>
          <cell r="P44">
            <v>66.515366666666793</v>
          </cell>
          <cell r="Q44">
            <v>3</v>
          </cell>
          <cell r="R44">
            <v>69.515366666666793</v>
          </cell>
          <cell r="S44">
            <v>5.7929472222222298</v>
          </cell>
        </row>
        <row r="45">
          <cell r="C45">
            <v>511504.01</v>
          </cell>
          <cell r="D45" t="str">
            <v>AD09022</v>
          </cell>
          <cell r="E45" t="str">
            <v>RO 4x14.8 BP</v>
          </cell>
          <cell r="F45" t="str">
            <v>RO 4x14.8 BP</v>
          </cell>
          <cell r="G45">
            <v>4</v>
          </cell>
          <cell r="H45">
            <v>14.8</v>
          </cell>
          <cell r="I45" t="str">
            <v>BP</v>
          </cell>
          <cell r="J45" t="str">
            <v>CG 06</v>
          </cell>
          <cell r="L45">
            <v>4000</v>
          </cell>
          <cell r="M45">
            <v>270.27027027026998</v>
          </cell>
          <cell r="N45">
            <v>2</v>
          </cell>
          <cell r="O45">
            <v>144374</v>
          </cell>
          <cell r="P45">
            <v>17.8061266666667</v>
          </cell>
          <cell r="Q45">
            <v>3</v>
          </cell>
          <cell r="R45">
            <v>20.8061266666667</v>
          </cell>
          <cell r="S45">
            <v>1.7338438888888901</v>
          </cell>
        </row>
        <row r="46">
          <cell r="C46">
            <v>511209.01</v>
          </cell>
          <cell r="D46" t="str">
            <v>AD09023</v>
          </cell>
          <cell r="E46" t="str">
            <v>RO 2.5x16.8 BP</v>
          </cell>
          <cell r="F46" t="str">
            <v>RO 2.5x16.8 BP</v>
          </cell>
          <cell r="G46">
            <v>2.5</v>
          </cell>
          <cell r="H46">
            <v>16.8</v>
          </cell>
          <cell r="I46" t="str">
            <v>BP</v>
          </cell>
          <cell r="J46" t="str">
            <v>CG 07</v>
          </cell>
          <cell r="L46">
            <v>3000</v>
          </cell>
          <cell r="M46">
            <v>178.57142857142901</v>
          </cell>
          <cell r="N46">
            <v>2</v>
          </cell>
          <cell r="O46">
            <v>162742</v>
          </cell>
          <cell r="P46">
            <v>30.378506666666599</v>
          </cell>
          <cell r="Q46">
            <v>3</v>
          </cell>
          <cell r="R46">
            <v>33.378506666666603</v>
          </cell>
          <cell r="S46">
            <v>2.7815422222222201</v>
          </cell>
        </row>
        <row r="47">
          <cell r="C47">
            <v>511209.01</v>
          </cell>
          <cell r="D47" t="str">
            <v>AD09024</v>
          </cell>
          <cell r="E47" t="str">
            <v>RO 2.5x16.8 BP</v>
          </cell>
          <cell r="F47" t="str">
            <v>RO 2.5x16.8 BP</v>
          </cell>
          <cell r="G47">
            <v>2.5</v>
          </cell>
          <cell r="H47">
            <v>16.8</v>
          </cell>
          <cell r="I47" t="str">
            <v>BP</v>
          </cell>
          <cell r="J47" t="str">
            <v>CG 07</v>
          </cell>
          <cell r="L47">
            <v>3000</v>
          </cell>
          <cell r="M47">
            <v>178.57142857142901</v>
          </cell>
          <cell r="N47">
            <v>2</v>
          </cell>
          <cell r="O47">
            <v>508569</v>
          </cell>
          <cell r="P47">
            <v>94.932879999999798</v>
          </cell>
          <cell r="Q47">
            <v>3</v>
          </cell>
          <cell r="R47">
            <v>97.932879999999798</v>
          </cell>
          <cell r="S47">
            <v>8.1610733333333094</v>
          </cell>
        </row>
        <row r="48">
          <cell r="C48">
            <v>502015.1</v>
          </cell>
          <cell r="D48" t="str">
            <v>AD09025</v>
          </cell>
          <cell r="E48" t="str">
            <v>RO 7x21 BP</v>
          </cell>
          <cell r="F48" t="str">
            <v>RO 7x21 BP</v>
          </cell>
          <cell r="G48">
            <v>7</v>
          </cell>
          <cell r="H48">
            <v>21</v>
          </cell>
          <cell r="I48" t="str">
            <v>BP</v>
          </cell>
          <cell r="J48" t="str">
            <v>CG 05</v>
          </cell>
          <cell r="L48">
            <v>2000</v>
          </cell>
          <cell r="M48">
            <v>95.238095238095198</v>
          </cell>
          <cell r="N48">
            <v>3</v>
          </cell>
          <cell r="O48">
            <v>25969</v>
          </cell>
          <cell r="P48">
            <v>13.633725</v>
          </cell>
          <cell r="Q48">
            <v>3</v>
          </cell>
          <cell r="R48">
            <v>16.633724999999998</v>
          </cell>
          <cell r="S48">
            <v>1.38614375</v>
          </cell>
        </row>
        <row r="49">
          <cell r="C49">
            <v>501041.65</v>
          </cell>
          <cell r="D49" t="str">
            <v>AD20001</v>
          </cell>
          <cell r="E49" t="str">
            <v>RO 2x3 BP</v>
          </cell>
          <cell r="F49" t="str">
            <v>RO 2x3 BP</v>
          </cell>
          <cell r="G49">
            <v>2</v>
          </cell>
          <cell r="H49">
            <v>3</v>
          </cell>
          <cell r="I49" t="str">
            <v>BP</v>
          </cell>
          <cell r="J49" t="str">
            <v>CG 07</v>
          </cell>
          <cell r="L49">
            <v>3000</v>
          </cell>
          <cell r="M49">
            <v>1000</v>
          </cell>
          <cell r="N49">
            <v>2</v>
          </cell>
          <cell r="O49">
            <v>1025399.04813413</v>
          </cell>
          <cell r="P49">
            <v>34.179968271137703</v>
          </cell>
          <cell r="Q49">
            <v>3</v>
          </cell>
          <cell r="R49">
            <v>37.179968271137703</v>
          </cell>
          <cell r="S49">
            <v>3.0983306892614699</v>
          </cell>
        </row>
        <row r="50">
          <cell r="C50">
            <v>503139</v>
          </cell>
          <cell r="D50" t="str">
            <v>AD20003</v>
          </cell>
          <cell r="E50" t="str">
            <v>RO 3.2x19.3 BR</v>
          </cell>
          <cell r="F50" t="str">
            <v>RO 3.2x19.3 BR</v>
          </cell>
          <cell r="G50">
            <v>3.2</v>
          </cell>
          <cell r="H50">
            <v>19.3</v>
          </cell>
          <cell r="I50" t="str">
            <v>BR</v>
          </cell>
          <cell r="J50" t="str">
            <v>CG 06</v>
          </cell>
          <cell r="K50" t="str">
            <v>CG 08</v>
          </cell>
          <cell r="L50">
            <v>4000</v>
          </cell>
          <cell r="M50">
            <v>207.253886010363</v>
          </cell>
          <cell r="N50">
            <v>2</v>
          </cell>
          <cell r="O50">
            <v>85339.835416031696</v>
          </cell>
          <cell r="P50">
            <v>13.7254901960784</v>
          </cell>
          <cell r="Q50">
            <v>3</v>
          </cell>
          <cell r="R50">
            <v>16.7254901960784</v>
          </cell>
          <cell r="S50">
            <v>1.3937908496732001</v>
          </cell>
        </row>
        <row r="51">
          <cell r="C51">
            <v>511433.01</v>
          </cell>
          <cell r="D51" t="str">
            <v>AD20004</v>
          </cell>
          <cell r="E51" t="str">
            <v>RO 3.175x17.8 BP</v>
          </cell>
          <cell r="F51" t="str">
            <v>RO 3.175x17.8 BP</v>
          </cell>
          <cell r="G51">
            <v>3.1749999999999998</v>
          </cell>
          <cell r="H51">
            <v>17.8</v>
          </cell>
          <cell r="I51" t="str">
            <v>BP</v>
          </cell>
          <cell r="J51" t="str">
            <v>CG 06</v>
          </cell>
          <cell r="K51" t="str">
            <v>CG 08</v>
          </cell>
          <cell r="L51">
            <v>4000</v>
          </cell>
          <cell r="M51">
            <v>224.71910112359501</v>
          </cell>
          <cell r="N51">
            <v>2</v>
          </cell>
          <cell r="O51">
            <v>153959.799385716</v>
          </cell>
          <cell r="P51">
            <v>22.8373702422146</v>
          </cell>
          <cell r="Q51">
            <v>3</v>
          </cell>
          <cell r="R51">
            <v>25.8373702422146</v>
          </cell>
          <cell r="S51">
            <v>2.1531141868512198</v>
          </cell>
        </row>
        <row r="52">
          <cell r="C52">
            <v>102030</v>
          </cell>
          <cell r="D52" t="str">
            <v>AD20005</v>
          </cell>
          <cell r="E52" t="str">
            <v>RO 5X49.8</v>
          </cell>
          <cell r="F52" t="str">
            <v>RO 5x49.8</v>
          </cell>
          <cell r="G52">
            <v>5</v>
          </cell>
          <cell r="H52">
            <v>49.8</v>
          </cell>
          <cell r="J52" t="str">
            <v>CG 06</v>
          </cell>
          <cell r="K52" t="str">
            <v>CG 05</v>
          </cell>
          <cell r="L52">
            <v>4000</v>
          </cell>
          <cell r="M52">
            <v>80.321285140562296</v>
          </cell>
          <cell r="N52">
            <v>2</v>
          </cell>
          <cell r="O52">
            <v>18184.802248239001</v>
          </cell>
          <cell r="P52">
            <v>7.5466929330191803</v>
          </cell>
          <cell r="Q52">
            <v>3</v>
          </cell>
          <cell r="R52">
            <v>10.5466929330192</v>
          </cell>
          <cell r="S52">
            <v>0.87889107775159803</v>
          </cell>
        </row>
        <row r="53">
          <cell r="C53">
            <v>502010.02</v>
          </cell>
          <cell r="D53" t="str">
            <v>AD20009</v>
          </cell>
          <cell r="E53" t="str">
            <v>RO 4x21.3 BP</v>
          </cell>
          <cell r="F53" t="str">
            <v>RO 4x21.3 BP</v>
          </cell>
          <cell r="G53">
            <v>4</v>
          </cell>
          <cell r="H53">
            <v>21.3</v>
          </cell>
          <cell r="I53" t="str">
            <v>BP</v>
          </cell>
          <cell r="J53" t="str">
            <v>CG 06</v>
          </cell>
          <cell r="L53">
            <v>4000</v>
          </cell>
          <cell r="M53">
            <v>187.793427230047</v>
          </cell>
          <cell r="N53">
            <v>2</v>
          </cell>
          <cell r="O53">
            <v>132768</v>
          </cell>
          <cell r="P53">
            <v>23.566320000000001</v>
          </cell>
          <cell r="Q53">
            <v>3</v>
          </cell>
          <cell r="R53">
            <v>26.566320000000001</v>
          </cell>
          <cell r="S53">
            <v>2.2138599999999999</v>
          </cell>
        </row>
        <row r="54">
          <cell r="C54">
            <v>511308.01</v>
          </cell>
          <cell r="D54" t="str">
            <v>AD30009</v>
          </cell>
          <cell r="E54" t="str">
            <v>RO 5x16.8 BP</v>
          </cell>
          <cell r="F54" t="str">
            <v>RO 5x16.8 BP</v>
          </cell>
          <cell r="G54">
            <v>5</v>
          </cell>
          <cell r="H54">
            <v>16.8</v>
          </cell>
          <cell r="I54" t="str">
            <v>BP</v>
          </cell>
          <cell r="J54" t="str">
            <v>CG 06</v>
          </cell>
          <cell r="K54" t="str">
            <v>CG 05</v>
          </cell>
          <cell r="L54">
            <v>4000</v>
          </cell>
          <cell r="M54">
            <v>238.09523809523799</v>
          </cell>
          <cell r="N54">
            <v>2</v>
          </cell>
          <cell r="O54">
            <v>35549.331430187303</v>
          </cell>
          <cell r="P54">
            <v>4.9769064002262304</v>
          </cell>
          <cell r="Q54">
            <v>3</v>
          </cell>
          <cell r="R54">
            <v>7.9769064002262304</v>
          </cell>
          <cell r="S54">
            <v>0.66474220001885198</v>
          </cell>
        </row>
        <row r="55">
          <cell r="C55">
            <v>503140</v>
          </cell>
          <cell r="D55" t="str">
            <v>AD30010</v>
          </cell>
          <cell r="E55" t="str">
            <v>RO 3.7x16.6 BT</v>
          </cell>
          <cell r="F55" t="str">
            <v>RO 3.7x16.6 BT</v>
          </cell>
          <cell r="G55">
            <v>3.7</v>
          </cell>
          <cell r="H55">
            <v>16.600000000000001</v>
          </cell>
          <cell r="I55" t="str">
            <v>BT</v>
          </cell>
          <cell r="J55" t="str">
            <v>CG 06</v>
          </cell>
          <cell r="L55">
            <v>4000</v>
          </cell>
          <cell r="M55">
            <v>240.96385542168699</v>
          </cell>
          <cell r="N55">
            <v>2</v>
          </cell>
          <cell r="O55">
            <v>21731.3982202324</v>
          </cell>
          <cell r="P55">
            <v>3.00617675379881</v>
          </cell>
          <cell r="Q55">
            <v>3</v>
          </cell>
          <cell r="R55">
            <v>6.00617675379881</v>
          </cell>
          <cell r="S55">
            <v>0.50051472948323406</v>
          </cell>
        </row>
        <row r="56">
          <cell r="C56">
            <v>511304.01</v>
          </cell>
          <cell r="D56" t="str">
            <v>AD30011</v>
          </cell>
          <cell r="E56" t="str">
            <v>RO 4x12.8 BP</v>
          </cell>
          <cell r="F56" t="str">
            <v>RO 4x12.8 BP</v>
          </cell>
          <cell r="G56">
            <v>4</v>
          </cell>
          <cell r="H56">
            <v>12.8</v>
          </cell>
          <cell r="I56" t="str">
            <v>BP</v>
          </cell>
          <cell r="J56" t="str">
            <v>CG 06</v>
          </cell>
          <cell r="L56">
            <v>4000</v>
          </cell>
          <cell r="M56">
            <v>312.5</v>
          </cell>
          <cell r="N56">
            <v>2</v>
          </cell>
          <cell r="O56">
            <v>143707.359558717</v>
          </cell>
          <cell r="P56">
            <v>15.3287850195965</v>
          </cell>
          <cell r="Q56">
            <v>3</v>
          </cell>
          <cell r="R56">
            <v>18.328785019596499</v>
          </cell>
          <cell r="S56">
            <v>1.5273987516330401</v>
          </cell>
        </row>
        <row r="57">
          <cell r="C57">
            <v>511395.04</v>
          </cell>
          <cell r="D57" t="str">
            <v>AE03001</v>
          </cell>
          <cell r="E57" t="str">
            <v>RO 4x10.8 BP</v>
          </cell>
          <cell r="F57" t="str">
            <v>RO 4x10.8 BP</v>
          </cell>
          <cell r="G57">
            <v>4</v>
          </cell>
          <cell r="H57">
            <v>10.8</v>
          </cell>
          <cell r="I57" t="str">
            <v>BP</v>
          </cell>
          <cell r="J57" t="str">
            <v>CG 06</v>
          </cell>
          <cell r="L57">
            <v>4000</v>
          </cell>
          <cell r="M57">
            <v>370.37037037036998</v>
          </cell>
          <cell r="N57">
            <v>2</v>
          </cell>
          <cell r="O57">
            <v>85159</v>
          </cell>
          <cell r="P57">
            <v>7.6643100000000102</v>
          </cell>
          <cell r="Q57">
            <v>3</v>
          </cell>
          <cell r="R57">
            <v>10.66431</v>
          </cell>
          <cell r="S57">
            <v>0.888692500000001</v>
          </cell>
        </row>
        <row r="58">
          <cell r="C58">
            <v>500497.11</v>
          </cell>
          <cell r="D58" t="str">
            <v>AE06017</v>
          </cell>
          <cell r="E58" t="str">
            <v>RO 5x15.862 BP</v>
          </cell>
          <cell r="F58" t="str">
            <v>RO 5x15.862 BP</v>
          </cell>
          <cell r="G58">
            <v>5</v>
          </cell>
          <cell r="H58">
            <v>15.862</v>
          </cell>
          <cell r="I58" t="str">
            <v>BP</v>
          </cell>
          <cell r="J58" t="str">
            <v>CG 06</v>
          </cell>
          <cell r="K58" t="str">
            <v>CG 05</v>
          </cell>
          <cell r="L58">
            <v>4000</v>
          </cell>
          <cell r="M58">
            <v>252.175009456563</v>
          </cell>
          <cell r="N58">
            <v>2</v>
          </cell>
          <cell r="O58">
            <v>188281</v>
          </cell>
          <cell r="P58">
            <v>24.887610183333301</v>
          </cell>
          <cell r="Q58">
            <v>3</v>
          </cell>
          <cell r="R58">
            <v>27.887610183333301</v>
          </cell>
          <cell r="S58">
            <v>2.3239675152777801</v>
          </cell>
        </row>
        <row r="59">
          <cell r="C59">
            <v>500497.11</v>
          </cell>
          <cell r="D59" t="str">
            <v>AE06018</v>
          </cell>
          <cell r="E59" t="str">
            <v>RO 5x15.862 BP</v>
          </cell>
          <cell r="F59" t="str">
            <v>RO 5x15.862 BP</v>
          </cell>
          <cell r="G59">
            <v>5</v>
          </cell>
          <cell r="H59">
            <v>15.862</v>
          </cell>
          <cell r="I59" t="str">
            <v>BP</v>
          </cell>
          <cell r="J59" t="str">
            <v>CG 06</v>
          </cell>
          <cell r="K59" t="str">
            <v>CG 05</v>
          </cell>
          <cell r="L59">
            <v>4000</v>
          </cell>
          <cell r="M59">
            <v>252.175009456563</v>
          </cell>
          <cell r="N59">
            <v>2</v>
          </cell>
          <cell r="O59">
            <v>184478</v>
          </cell>
          <cell r="P59">
            <v>24.384916966666701</v>
          </cell>
          <cell r="Q59">
            <v>3</v>
          </cell>
          <cell r="R59">
            <v>27.384916966666701</v>
          </cell>
          <cell r="S59">
            <v>2.2820764138888898</v>
          </cell>
        </row>
        <row r="60">
          <cell r="C60">
            <v>500497.11</v>
          </cell>
          <cell r="D60" t="str">
            <v>AE06019</v>
          </cell>
          <cell r="E60" t="str">
            <v>RO 5x15.862 BP</v>
          </cell>
          <cell r="F60" t="str">
            <v>RO 5x15.862 BP</v>
          </cell>
          <cell r="G60">
            <v>5</v>
          </cell>
          <cell r="H60">
            <v>15.862</v>
          </cell>
          <cell r="I60" t="str">
            <v>BP</v>
          </cell>
          <cell r="J60" t="str">
            <v>CG 06</v>
          </cell>
          <cell r="K60" t="str">
            <v>CG 05</v>
          </cell>
          <cell r="L60">
            <v>4000</v>
          </cell>
          <cell r="M60">
            <v>252.175009456563</v>
          </cell>
          <cell r="N60">
            <v>2</v>
          </cell>
          <cell r="O60">
            <v>229741</v>
          </cell>
          <cell r="P60">
            <v>30.367931183333301</v>
          </cell>
          <cell r="Q60">
            <v>3</v>
          </cell>
          <cell r="R60">
            <v>33.367931183333297</v>
          </cell>
          <cell r="S60">
            <v>2.78066093194444</v>
          </cell>
        </row>
        <row r="61">
          <cell r="C61">
            <v>501177</v>
          </cell>
          <cell r="D61" t="str">
            <v>AE06021</v>
          </cell>
          <cell r="E61" t="str">
            <v>RO 3X14.8 BP ER</v>
          </cell>
          <cell r="F61" t="str">
            <v>RO 3x14.8 BP ER</v>
          </cell>
          <cell r="G61">
            <v>3</v>
          </cell>
          <cell r="H61">
            <v>14.8</v>
          </cell>
          <cell r="I61" t="str">
            <v>BP ER</v>
          </cell>
          <cell r="J61" t="str">
            <v>CG 06</v>
          </cell>
          <cell r="K61" t="str">
            <v>CG 08</v>
          </cell>
          <cell r="L61">
            <v>4000</v>
          </cell>
          <cell r="M61">
            <v>270.27027027026998</v>
          </cell>
          <cell r="N61">
            <v>2</v>
          </cell>
          <cell r="O61">
            <v>371785</v>
          </cell>
          <cell r="P61">
            <v>45.853483333333401</v>
          </cell>
          <cell r="Q61">
            <v>3</v>
          </cell>
          <cell r="R61">
            <v>48.853483333333401</v>
          </cell>
          <cell r="S61">
            <v>4.07112361111112</v>
          </cell>
        </row>
        <row r="62">
          <cell r="C62">
            <v>550005</v>
          </cell>
          <cell r="D62" t="str">
            <v>AE06022</v>
          </cell>
          <cell r="E62" t="str">
            <v>RO 2.379x20.8 BP</v>
          </cell>
          <cell r="F62" t="str">
            <v>RO 2.379x20.8 BP</v>
          </cell>
          <cell r="G62">
            <v>2.379</v>
          </cell>
          <cell r="H62">
            <v>20.8</v>
          </cell>
          <cell r="I62" t="str">
            <v>BP</v>
          </cell>
          <cell r="J62" t="str">
            <v>CG 07</v>
          </cell>
          <cell r="L62">
            <v>3000</v>
          </cell>
          <cell r="M62">
            <v>144.230769230769</v>
          </cell>
          <cell r="N62">
            <v>2</v>
          </cell>
          <cell r="O62">
            <v>599599</v>
          </cell>
          <cell r="P62">
            <v>138.57399111111101</v>
          </cell>
          <cell r="Q62">
            <v>3</v>
          </cell>
          <cell r="R62">
            <v>141.57399111111101</v>
          </cell>
          <cell r="S62">
            <v>11.7978325925926</v>
          </cell>
        </row>
        <row r="63">
          <cell r="C63">
            <v>502001.1</v>
          </cell>
          <cell r="D63" t="str">
            <v>AE06026</v>
          </cell>
          <cell r="E63" t="str">
            <v>RO 5x25 BPM</v>
          </cell>
          <cell r="F63" t="str">
            <v>RO 5x25 BPM</v>
          </cell>
          <cell r="G63">
            <v>5</v>
          </cell>
          <cell r="H63">
            <v>25</v>
          </cell>
          <cell r="I63" t="str">
            <v>BPM</v>
          </cell>
          <cell r="J63" t="str">
            <v>CG 06</v>
          </cell>
          <cell r="K63" t="str">
            <v>CG 05</v>
          </cell>
          <cell r="L63">
            <v>4000</v>
          </cell>
          <cell r="M63">
            <v>160</v>
          </cell>
          <cell r="N63">
            <v>2</v>
          </cell>
          <cell r="O63">
            <v>33590</v>
          </cell>
          <cell r="P63">
            <v>6.9979166666666703</v>
          </cell>
          <cell r="Q63">
            <v>3</v>
          </cell>
          <cell r="R63">
            <v>9.9979166666666703</v>
          </cell>
          <cell r="S63">
            <v>0.83315972222222201</v>
          </cell>
        </row>
        <row r="64">
          <cell r="C64">
            <v>500397.25</v>
          </cell>
          <cell r="D64" t="str">
            <v>AE22015</v>
          </cell>
          <cell r="E64" t="str">
            <v>RO 3.175x23.6 BP</v>
          </cell>
          <cell r="F64" t="str">
            <v>RO 3.175x23.6 BP</v>
          </cell>
          <cell r="G64">
            <v>3.1749999999999998</v>
          </cell>
          <cell r="H64">
            <v>23.6</v>
          </cell>
          <cell r="I64" t="str">
            <v>BP</v>
          </cell>
          <cell r="J64" t="str">
            <v>CG 06</v>
          </cell>
          <cell r="K64" t="str">
            <v>CG 08</v>
          </cell>
          <cell r="L64">
            <v>4000</v>
          </cell>
          <cell r="M64">
            <v>169.491525423729</v>
          </cell>
          <cell r="N64">
            <v>2</v>
          </cell>
          <cell r="O64">
            <v>107324</v>
          </cell>
          <cell r="P64">
            <v>21.107053333333301</v>
          </cell>
          <cell r="Q64">
            <v>3</v>
          </cell>
          <cell r="R64">
            <v>24.107053333333301</v>
          </cell>
          <cell r="S64">
            <v>2.00892111111111</v>
          </cell>
        </row>
        <row r="65">
          <cell r="C65">
            <v>511130</v>
          </cell>
          <cell r="D65" t="str">
            <v>AE22016</v>
          </cell>
          <cell r="E65" t="str">
            <v>RO 2.5x13.8 BP</v>
          </cell>
          <cell r="F65" t="str">
            <v>RO 2.5x13.8 BP</v>
          </cell>
          <cell r="G65">
            <v>2.5</v>
          </cell>
          <cell r="H65">
            <v>13.8</v>
          </cell>
          <cell r="I65" t="str">
            <v>BP</v>
          </cell>
          <cell r="J65" t="str">
            <v>CG 07</v>
          </cell>
          <cell r="L65">
            <v>3000</v>
          </cell>
          <cell r="M65">
            <v>217.39130434782601</v>
          </cell>
          <cell r="N65">
            <v>2</v>
          </cell>
          <cell r="O65">
            <v>163449</v>
          </cell>
          <cell r="P65">
            <v>25.062180000000001</v>
          </cell>
          <cell r="Q65">
            <v>3</v>
          </cell>
          <cell r="R65">
            <v>28.062180000000001</v>
          </cell>
          <cell r="S65">
            <v>2.3385150000000001</v>
          </cell>
        </row>
        <row r="66">
          <cell r="C66">
            <v>502001</v>
          </cell>
          <cell r="D66" t="str">
            <v>AE22017</v>
          </cell>
          <cell r="E66" t="str">
            <v>RO 2x19.8 BP</v>
          </cell>
          <cell r="F66" t="str">
            <v>RO 2x19.8 BP</v>
          </cell>
          <cell r="G66">
            <v>2</v>
          </cell>
          <cell r="H66">
            <v>19.8</v>
          </cell>
          <cell r="I66" t="str">
            <v>BP</v>
          </cell>
          <cell r="J66" t="str">
            <v>CG 07</v>
          </cell>
          <cell r="L66">
            <v>3000</v>
          </cell>
          <cell r="M66">
            <v>151.51515151515201</v>
          </cell>
          <cell r="N66">
            <v>2</v>
          </cell>
          <cell r="O66">
            <v>256977</v>
          </cell>
          <cell r="P66">
            <v>56.5349399999998</v>
          </cell>
          <cell r="Q66">
            <v>3</v>
          </cell>
          <cell r="R66">
            <v>59.5349399999998</v>
          </cell>
          <cell r="S66">
            <v>4.9612449999999804</v>
          </cell>
        </row>
        <row r="67">
          <cell r="C67">
            <v>511990</v>
          </cell>
          <cell r="D67" t="str">
            <v>AF03001</v>
          </cell>
          <cell r="E67" t="str">
            <v>RO 3.5x25.4 BP</v>
          </cell>
          <cell r="F67" t="str">
            <v>RO 3.5x25.4 BP</v>
          </cell>
          <cell r="G67">
            <v>3.5</v>
          </cell>
          <cell r="H67">
            <v>25.4</v>
          </cell>
          <cell r="I67" t="str">
            <v>BP</v>
          </cell>
          <cell r="J67" t="str">
            <v>CG 06</v>
          </cell>
          <cell r="L67">
            <v>4000</v>
          </cell>
          <cell r="M67">
            <v>157.48031496063001</v>
          </cell>
          <cell r="N67">
            <v>2</v>
          </cell>
          <cell r="O67">
            <v>116873</v>
          </cell>
          <cell r="P67">
            <v>24.738118333333301</v>
          </cell>
          <cell r="Q67">
            <v>3</v>
          </cell>
          <cell r="R67">
            <v>27.738118333333301</v>
          </cell>
          <cell r="S67">
            <v>2.31150986111111</v>
          </cell>
        </row>
        <row r="68">
          <cell r="C68">
            <v>502010.04</v>
          </cell>
          <cell r="D68" t="str">
            <v>AF05009</v>
          </cell>
          <cell r="E68" t="str">
            <v>RO 4x20.8 BP</v>
          </cell>
          <cell r="F68" t="str">
            <v>RO 4x20.8 BP</v>
          </cell>
          <cell r="G68">
            <v>4</v>
          </cell>
          <cell r="H68">
            <v>20.8</v>
          </cell>
          <cell r="I68" t="str">
            <v>BP</v>
          </cell>
          <cell r="J68" t="str">
            <v>CG 06</v>
          </cell>
          <cell r="L68">
            <v>4000</v>
          </cell>
          <cell r="M68">
            <v>192.30769230769201</v>
          </cell>
          <cell r="N68">
            <v>2</v>
          </cell>
          <cell r="O68">
            <v>218855</v>
          </cell>
          <cell r="P68">
            <v>37.9348666666667</v>
          </cell>
          <cell r="Q68">
            <v>3</v>
          </cell>
          <cell r="R68">
            <v>40.9348666666667</v>
          </cell>
          <cell r="S68">
            <v>3.41123888888889</v>
          </cell>
        </row>
        <row r="69">
          <cell r="C69">
            <v>501178</v>
          </cell>
          <cell r="D69">
            <v>240614003</v>
          </cell>
          <cell r="J69" t="str">
            <v>CG 07</v>
          </cell>
          <cell r="L69">
            <v>3000</v>
          </cell>
          <cell r="M69" t="e">
            <v>#DIV/0!</v>
          </cell>
          <cell r="O69">
            <v>11927</v>
          </cell>
          <cell r="P69" t="e">
            <v>#DIV/0!</v>
          </cell>
          <cell r="Q69">
            <v>3</v>
          </cell>
          <cell r="R69" t="e">
            <v>#DIV/0!</v>
          </cell>
          <cell r="S69" t="e">
            <v>#DIV/0!</v>
          </cell>
        </row>
        <row r="70">
          <cell r="C70">
            <v>503138</v>
          </cell>
          <cell r="D70">
            <v>260319020</v>
          </cell>
          <cell r="E70" t="str">
            <v>RO 2.778x11.17 BR</v>
          </cell>
          <cell r="F70" t="str">
            <v>RO 2.778x11.17 BR</v>
          </cell>
          <cell r="G70">
            <v>2.778</v>
          </cell>
          <cell r="H70">
            <v>11.17</v>
          </cell>
          <cell r="I70" t="str">
            <v>BR</v>
          </cell>
          <cell r="J70" t="str">
            <v>CG 08</v>
          </cell>
          <cell r="L70">
            <v>4000</v>
          </cell>
          <cell r="M70">
            <v>358.10205908683997</v>
          </cell>
          <cell r="N70">
            <v>2</v>
          </cell>
          <cell r="O70">
            <v>159156</v>
          </cell>
          <cell r="P70">
            <v>14.814771</v>
          </cell>
          <cell r="Q70">
            <v>3</v>
          </cell>
          <cell r="R70">
            <v>17.814771</v>
          </cell>
          <cell r="S70">
            <v>1.48456425</v>
          </cell>
        </row>
        <row r="71">
          <cell r="C71">
            <v>503140</v>
          </cell>
          <cell r="D71" t="str">
            <v>AD10002</v>
          </cell>
          <cell r="E71" t="str">
            <v>RO 3.7x16.6 BT</v>
          </cell>
          <cell r="F71" t="str">
            <v>RO 3.7x16.6 BT</v>
          </cell>
          <cell r="G71">
            <v>3.7</v>
          </cell>
          <cell r="H71">
            <v>16.600000000000001</v>
          </cell>
          <cell r="I71" t="str">
            <v>BT</v>
          </cell>
          <cell r="J71" t="str">
            <v>CG 06</v>
          </cell>
          <cell r="L71">
            <v>4000</v>
          </cell>
          <cell r="M71">
            <v>240.96385542168699</v>
          </cell>
          <cell r="N71">
            <v>2</v>
          </cell>
          <cell r="O71">
            <v>53785.210595075303</v>
          </cell>
          <cell r="P71">
            <v>7.4402874656520801</v>
          </cell>
          <cell r="Q71">
            <v>3</v>
          </cell>
          <cell r="R71">
            <v>10.4402874656521</v>
          </cell>
          <cell r="S71">
            <v>0.87002395547100697</v>
          </cell>
        </row>
        <row r="72">
          <cell r="C72">
            <v>511060</v>
          </cell>
          <cell r="D72" t="str">
            <v>AD14024</v>
          </cell>
          <cell r="E72" t="str">
            <v>RO 2.5x9.8 BP</v>
          </cell>
          <cell r="F72" t="str">
            <v>RO 2.5x9.8 BP</v>
          </cell>
          <cell r="G72">
            <v>2.5</v>
          </cell>
          <cell r="H72">
            <v>9.8000000000000007</v>
          </cell>
          <cell r="I72" t="str">
            <v>BP</v>
          </cell>
          <cell r="J72" t="str">
            <v>CG 08</v>
          </cell>
          <cell r="L72">
            <v>4000</v>
          </cell>
          <cell r="M72">
            <v>408.16326530612201</v>
          </cell>
          <cell r="N72">
            <v>2</v>
          </cell>
          <cell r="O72">
            <v>230163.977303274</v>
          </cell>
          <cell r="P72">
            <v>18.796724813100699</v>
          </cell>
          <cell r="Q72">
            <v>3</v>
          </cell>
          <cell r="R72">
            <v>21.796724813100699</v>
          </cell>
          <cell r="S72">
            <v>1.81639373442506</v>
          </cell>
        </row>
        <row r="73">
          <cell r="C73">
            <v>503107.3</v>
          </cell>
          <cell r="D73" t="str">
            <v>AE06025</v>
          </cell>
          <cell r="E73" t="str">
            <v>RO 2x7.3 BP</v>
          </cell>
          <cell r="F73" t="str">
            <v>RO 2x7.3 BP</v>
          </cell>
          <cell r="G73">
            <v>2</v>
          </cell>
          <cell r="H73">
            <v>7.3</v>
          </cell>
          <cell r="I73" t="str">
            <v>BP</v>
          </cell>
          <cell r="J73" t="str">
            <v>CG 07</v>
          </cell>
          <cell r="L73">
            <v>4000</v>
          </cell>
          <cell r="M73">
            <v>547.94520547945206</v>
          </cell>
          <cell r="N73">
            <v>2</v>
          </cell>
          <cell r="O73">
            <v>469413</v>
          </cell>
          <cell r="P73">
            <v>28.555957500000002</v>
          </cell>
          <cell r="Q73">
            <v>3</v>
          </cell>
          <cell r="R73">
            <v>31.555957500000002</v>
          </cell>
          <cell r="S73">
            <v>2.629663125</v>
          </cell>
        </row>
        <row r="74">
          <cell r="C74">
            <v>501177</v>
          </cell>
          <cell r="D74" t="str">
            <v>AF05008</v>
          </cell>
          <cell r="E74" t="str">
            <v>RO 3X14.8 BP ER</v>
          </cell>
          <cell r="F74" t="str">
            <v>RO 3X14.8 BP ER</v>
          </cell>
          <cell r="G74">
            <v>3</v>
          </cell>
          <cell r="H74">
            <v>14.8</v>
          </cell>
          <cell r="I74" t="str">
            <v>BP ER</v>
          </cell>
          <cell r="J74" t="str">
            <v>CG 08</v>
          </cell>
          <cell r="L74">
            <v>4000</v>
          </cell>
          <cell r="M74">
            <v>270.27027027026998</v>
          </cell>
          <cell r="N74">
            <v>2</v>
          </cell>
          <cell r="O74">
            <v>413668</v>
          </cell>
          <cell r="P74">
            <v>51.019053333333297</v>
          </cell>
          <cell r="Q74">
            <v>3</v>
          </cell>
          <cell r="R74">
            <v>54.019053333333297</v>
          </cell>
          <cell r="S74">
            <v>4.5015877777777797</v>
          </cell>
        </row>
        <row r="75">
          <cell r="C75">
            <v>502010.02</v>
          </cell>
          <cell r="D75" t="str">
            <v>AF19009</v>
          </cell>
          <cell r="E75" t="str">
            <v>RO 4x21.3 BP</v>
          </cell>
          <cell r="F75" t="str">
            <v>RO 4x21.3 BP</v>
          </cell>
          <cell r="G75">
            <v>4</v>
          </cell>
          <cell r="H75">
            <v>21.3</v>
          </cell>
          <cell r="I75" t="str">
            <v>BP</v>
          </cell>
          <cell r="J75" t="str">
            <v>CG 06</v>
          </cell>
          <cell r="L75">
            <v>4000</v>
          </cell>
          <cell r="M75">
            <v>187.793427230047</v>
          </cell>
          <cell r="N75">
            <v>2</v>
          </cell>
          <cell r="O75">
            <v>215898</v>
          </cell>
          <cell r="P75">
            <v>38.321894999999998</v>
          </cell>
          <cell r="Q75">
            <v>3</v>
          </cell>
          <cell r="R75">
            <v>41.321894999999998</v>
          </cell>
          <cell r="S75">
            <v>3.4434912500000001</v>
          </cell>
        </row>
        <row r="76">
          <cell r="C76">
            <v>502001</v>
          </cell>
          <cell r="D76" t="str">
            <v>AF24009</v>
          </cell>
          <cell r="E76" t="str">
            <v>RO 2x19.8 BP</v>
          </cell>
          <cell r="F76" t="str">
            <v>RO 2x19.8 BP</v>
          </cell>
          <cell r="G76">
            <v>2</v>
          </cell>
          <cell r="H76">
            <v>19.8</v>
          </cell>
          <cell r="I76" t="str">
            <v>BP</v>
          </cell>
          <cell r="J76" t="str">
            <v>CG 07</v>
          </cell>
          <cell r="L76">
            <v>4000</v>
          </cell>
          <cell r="M76">
            <v>202.02020202020199</v>
          </cell>
          <cell r="N76">
            <v>2</v>
          </cell>
          <cell r="O76">
            <v>822112</v>
          </cell>
          <cell r="P76">
            <v>135.64848000000001</v>
          </cell>
          <cell r="Q76">
            <v>3</v>
          </cell>
          <cell r="R76">
            <v>138.64848000000001</v>
          </cell>
          <cell r="S76">
            <v>11.554040000000001</v>
          </cell>
        </row>
        <row r="77">
          <cell r="C77" t="str">
            <v>C00RL108.0</v>
          </cell>
          <cell r="D77" t="str">
            <v>AG08003</v>
          </cell>
          <cell r="E77" t="str">
            <v>RO 3x23 BP</v>
          </cell>
          <cell r="F77" t="str">
            <v>RO 3x23 BP</v>
          </cell>
          <cell r="G77">
            <v>3</v>
          </cell>
          <cell r="H77">
            <v>23</v>
          </cell>
          <cell r="I77" t="str">
            <v>BP</v>
          </cell>
          <cell r="J77" t="str">
            <v>CG 08</v>
          </cell>
          <cell r="L77">
            <v>4000</v>
          </cell>
          <cell r="M77">
            <v>173.91304347826099</v>
          </cell>
          <cell r="N77">
            <v>2</v>
          </cell>
          <cell r="O77">
            <v>170168</v>
          </cell>
          <cell r="P77">
            <v>32.615533333333303</v>
          </cell>
          <cell r="Q77">
            <v>3</v>
          </cell>
          <cell r="R77">
            <v>35.615533333333303</v>
          </cell>
          <cell r="S77">
            <v>2.9679611111111099</v>
          </cell>
        </row>
        <row r="78">
          <cell r="C78">
            <v>502005</v>
          </cell>
          <cell r="D78" t="str">
            <v>AF24010</v>
          </cell>
          <cell r="E78" t="str">
            <v>RO 3x12.8 BP</v>
          </cell>
          <cell r="F78" t="str">
            <v>RO 3x12.8 BP</v>
          </cell>
          <cell r="G78">
            <v>3</v>
          </cell>
          <cell r="H78">
            <v>12.8</v>
          </cell>
          <cell r="I78" t="str">
            <v>BP</v>
          </cell>
          <cell r="J78" t="str">
            <v>CG 08</v>
          </cell>
          <cell r="L78">
            <v>4000</v>
          </cell>
          <cell r="M78">
            <v>312.5</v>
          </cell>
          <cell r="N78">
            <v>2</v>
          </cell>
          <cell r="O78">
            <v>38901</v>
          </cell>
          <cell r="P78">
            <v>4.1494400000000002</v>
          </cell>
          <cell r="Q78">
            <v>3</v>
          </cell>
          <cell r="R78">
            <v>7.1494400000000002</v>
          </cell>
          <cell r="S78">
            <v>0.59578666666666702</v>
          </cell>
        </row>
        <row r="79">
          <cell r="C79">
            <v>511436</v>
          </cell>
          <cell r="D79" t="str">
            <v>AF24011</v>
          </cell>
          <cell r="E79" t="str">
            <v>RO 4x15.8 ER</v>
          </cell>
          <cell r="F79" t="str">
            <v>RO 4x15.8 ER</v>
          </cell>
          <cell r="G79">
            <v>4</v>
          </cell>
          <cell r="H79">
            <v>15.8</v>
          </cell>
          <cell r="I79" t="str">
            <v>ER</v>
          </cell>
          <cell r="J79" t="str">
            <v>CG 06</v>
          </cell>
          <cell r="L79">
            <v>4000</v>
          </cell>
          <cell r="M79">
            <v>253.16455696202499</v>
          </cell>
          <cell r="N79">
            <v>2</v>
          </cell>
          <cell r="O79">
            <v>291052</v>
          </cell>
          <cell r="P79">
            <v>38.321846666666701</v>
          </cell>
          <cell r="Q79">
            <v>3</v>
          </cell>
          <cell r="R79">
            <v>41.321846666666701</v>
          </cell>
          <cell r="S79">
            <v>3.4434872222222199</v>
          </cell>
        </row>
        <row r="80">
          <cell r="C80">
            <v>511995</v>
          </cell>
          <cell r="D80" t="str">
            <v>AG13002</v>
          </cell>
          <cell r="E80" t="str">
            <v>RO 3X13.8  BR</v>
          </cell>
          <cell r="F80" t="str">
            <v>RO 3X13.8  BR</v>
          </cell>
          <cell r="G80">
            <v>3</v>
          </cell>
          <cell r="H80">
            <v>13.8</v>
          </cell>
          <cell r="I80" t="str">
            <v>BP</v>
          </cell>
          <cell r="J80" t="str">
            <v>CG 08</v>
          </cell>
          <cell r="L80">
            <v>4000</v>
          </cell>
          <cell r="M80">
            <v>289.85507246376801</v>
          </cell>
          <cell r="N80">
            <v>2</v>
          </cell>
          <cell r="O80">
            <v>560461</v>
          </cell>
          <cell r="P80">
            <v>64.453014999999994</v>
          </cell>
          <cell r="Q80">
            <v>3</v>
          </cell>
          <cell r="R80">
            <v>67.453014999999994</v>
          </cell>
          <cell r="S80">
            <v>5.6210845833333298</v>
          </cell>
        </row>
        <row r="81">
          <cell r="C81">
            <v>511994</v>
          </cell>
          <cell r="D81" t="str">
            <v>AG13003</v>
          </cell>
          <cell r="E81" t="str">
            <v>RO 3X21.8</v>
          </cell>
          <cell r="F81" t="str">
            <v>RO 3X21.8</v>
          </cell>
          <cell r="G81">
            <v>3</v>
          </cell>
          <cell r="H81">
            <v>21.8</v>
          </cell>
          <cell r="I81" t="str">
            <v>ER</v>
          </cell>
          <cell r="J81" t="str">
            <v>CG 08</v>
          </cell>
          <cell r="L81">
            <v>4000</v>
          </cell>
          <cell r="M81">
            <v>183.48623853211001</v>
          </cell>
          <cell r="N81">
            <v>2</v>
          </cell>
          <cell r="O81">
            <v>354787</v>
          </cell>
          <cell r="P81">
            <v>64.452971666666699</v>
          </cell>
          <cell r="Q81">
            <v>3</v>
          </cell>
          <cell r="R81">
            <v>67.452971666666699</v>
          </cell>
          <cell r="S81">
            <v>5.6210809722222201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6"/>
  <sheetViews>
    <sheetView tabSelected="1" zoomScale="115" zoomScaleNormal="115" workbookViewId="0">
      <pane xSplit="1" ySplit="2" topLeftCell="C3" activePane="bottomRight" state="frozen"/>
      <selection pane="topRight"/>
      <selection pane="bottomLeft"/>
      <selection pane="bottomRight" activeCell="L4" sqref="L4"/>
    </sheetView>
  </sheetViews>
  <sheetFormatPr defaultColWidth="8.88671875" defaultRowHeight="13.8"/>
  <cols>
    <col min="1" max="1" width="4.33203125" style="87" customWidth="1"/>
    <col min="2" max="2" width="18" style="87" customWidth="1"/>
    <col min="3" max="3" width="13.44140625" style="87" customWidth="1"/>
    <col min="4" max="4" width="22.88671875" style="87" customWidth="1"/>
    <col min="5" max="6" width="12.77734375" style="89" customWidth="1"/>
    <col min="7" max="7" width="12.44140625" style="89" customWidth="1"/>
    <col min="8" max="8" width="12" style="89" customWidth="1"/>
    <col min="9" max="9" width="9.109375" style="89" customWidth="1"/>
    <col min="10" max="10" width="14" style="87" customWidth="1"/>
    <col min="11" max="11" width="12.77734375" style="87" customWidth="1"/>
    <col min="12" max="12" width="14.5546875" style="87" customWidth="1"/>
    <col min="13" max="16" width="17.5546875" style="90" bestFit="1" customWidth="1"/>
    <col min="17" max="17" width="17.5546875" style="91" bestFit="1" customWidth="1"/>
    <col min="18" max="18" width="17.5546875" style="90" bestFit="1" customWidth="1"/>
    <col min="19" max="20" width="16.77734375" style="90" bestFit="1" customWidth="1"/>
    <col min="21" max="21" width="12.6640625" style="90" customWidth="1"/>
    <col min="22" max="24" width="14.6640625" style="90" customWidth="1"/>
    <col min="25" max="25" width="12.6640625" style="90" customWidth="1"/>
    <col min="26" max="31" width="14.6640625" style="90" customWidth="1"/>
    <col min="32" max="32" width="18" style="90" bestFit="1" customWidth="1"/>
    <col min="33" max="38" width="14.6640625" style="90" customWidth="1"/>
    <col min="39" max="39" width="18" style="90" bestFit="1" customWidth="1"/>
    <col min="40" max="43" width="14.6640625" style="90" customWidth="1"/>
    <col min="44" max="16384" width="8.88671875" style="92"/>
  </cols>
  <sheetData>
    <row r="1" spans="1:43" s="86" customFormat="1" ht="27" customHeight="1">
      <c r="A1" s="112" t="s">
        <v>0</v>
      </c>
      <c r="B1" s="112"/>
      <c r="C1" s="112"/>
      <c r="D1" s="113" t="s">
        <v>1</v>
      </c>
      <c r="E1" s="113"/>
      <c r="F1" s="113"/>
      <c r="G1" s="113"/>
      <c r="H1" s="93">
        <f>SUM(E3:E143)</f>
        <v>1167</v>
      </c>
      <c r="I1" s="112" t="s">
        <v>2</v>
      </c>
      <c r="J1" s="112"/>
      <c r="K1" s="94">
        <f>SUM(M1:AQ1)</f>
        <v>1167</v>
      </c>
      <c r="L1" s="95">
        <f t="shared" ref="L1:O1" si="0">SUM(L3:L139)</f>
        <v>1300</v>
      </c>
      <c r="M1" s="95">
        <f t="shared" si="0"/>
        <v>208</v>
      </c>
      <c r="N1" s="95">
        <f>SUM(N3:N143)</f>
        <v>162</v>
      </c>
      <c r="O1" s="95">
        <f t="shared" si="0"/>
        <v>288</v>
      </c>
      <c r="P1" s="95">
        <f>SUM(P3:P124)</f>
        <v>237</v>
      </c>
      <c r="Q1" s="95">
        <f t="shared" ref="Q1:V1" si="1">SUM(Q3:Q139)</f>
        <v>159</v>
      </c>
      <c r="R1" s="95">
        <f t="shared" si="1"/>
        <v>113</v>
      </c>
      <c r="S1" s="95">
        <f t="shared" si="1"/>
        <v>0</v>
      </c>
      <c r="T1" s="95">
        <f t="shared" si="1"/>
        <v>0</v>
      </c>
      <c r="U1" s="95">
        <f t="shared" si="1"/>
        <v>0</v>
      </c>
      <c r="V1" s="95">
        <f t="shared" si="1"/>
        <v>0</v>
      </c>
      <c r="W1" s="95">
        <f>SUM(W3:W124)</f>
        <v>0</v>
      </c>
      <c r="X1" s="95">
        <f t="shared" ref="X1:AC1" si="2">SUM(X3:X139)</f>
        <v>0</v>
      </c>
      <c r="Y1" s="95">
        <f t="shared" si="2"/>
        <v>0</v>
      </c>
      <c r="Z1" s="95">
        <f t="shared" si="2"/>
        <v>0</v>
      </c>
      <c r="AA1" s="95">
        <f t="shared" si="2"/>
        <v>0</v>
      </c>
      <c r="AB1" s="95">
        <f t="shared" si="2"/>
        <v>0</v>
      </c>
      <c r="AC1" s="95">
        <f t="shared" si="2"/>
        <v>0</v>
      </c>
      <c r="AD1" s="95">
        <f>SUM(AD3:AD124)</f>
        <v>0</v>
      </c>
      <c r="AE1" s="95">
        <f t="shared" ref="AE1:AJ1" si="3">SUM(AE3:AE139)</f>
        <v>0</v>
      </c>
      <c r="AF1" s="95">
        <f>SUM(AF3:AF124)</f>
        <v>0</v>
      </c>
      <c r="AG1" s="95">
        <f t="shared" si="3"/>
        <v>0</v>
      </c>
      <c r="AH1" s="95">
        <f t="shared" si="3"/>
        <v>0</v>
      </c>
      <c r="AI1" s="95">
        <f t="shared" si="3"/>
        <v>0</v>
      </c>
      <c r="AJ1" s="95">
        <f t="shared" si="3"/>
        <v>0</v>
      </c>
      <c r="AK1" s="95">
        <f>SUM(AK3:AK124)</f>
        <v>0</v>
      </c>
      <c r="AL1" s="95">
        <f t="shared" ref="AL1:AQ1" si="4">SUM(AL3:AL139)</f>
        <v>0</v>
      </c>
      <c r="AM1" s="95">
        <f t="shared" si="4"/>
        <v>0</v>
      </c>
      <c r="AN1" s="95">
        <f t="shared" si="4"/>
        <v>0</v>
      </c>
      <c r="AO1" s="95">
        <f t="shared" si="4"/>
        <v>0</v>
      </c>
      <c r="AP1" s="95">
        <f t="shared" si="4"/>
        <v>0</v>
      </c>
      <c r="AQ1" s="95">
        <f t="shared" si="4"/>
        <v>0</v>
      </c>
    </row>
    <row r="2" spans="1:43" s="87" customFormat="1" ht="45.9" customHeight="1">
      <c r="A2" s="4" t="s">
        <v>3</v>
      </c>
      <c r="B2" s="4" t="s">
        <v>4</v>
      </c>
      <c r="C2" s="5" t="s">
        <v>5</v>
      </c>
      <c r="D2" s="5" t="s">
        <v>6</v>
      </c>
      <c r="E2" s="4" t="s">
        <v>7</v>
      </c>
      <c r="F2" s="4" t="s">
        <v>8</v>
      </c>
      <c r="G2" s="4" t="s">
        <v>2</v>
      </c>
      <c r="H2" s="4" t="s">
        <v>9</v>
      </c>
      <c r="I2" s="4" t="s">
        <v>10</v>
      </c>
      <c r="J2" s="4" t="s">
        <v>11</v>
      </c>
      <c r="K2" s="4" t="s">
        <v>12</v>
      </c>
      <c r="L2" s="96">
        <v>46258</v>
      </c>
      <c r="M2" s="96">
        <v>46259</v>
      </c>
      <c r="N2" s="96">
        <v>46260</v>
      </c>
      <c r="O2" s="96">
        <v>46261</v>
      </c>
      <c r="P2" s="96">
        <v>46262</v>
      </c>
      <c r="Q2" s="96">
        <v>46263</v>
      </c>
      <c r="R2" s="96">
        <v>46264</v>
      </c>
      <c r="S2" s="96">
        <v>46265</v>
      </c>
      <c r="T2" s="96">
        <v>46266</v>
      </c>
      <c r="U2" s="96">
        <v>46267</v>
      </c>
      <c r="V2" s="96">
        <v>46268</v>
      </c>
      <c r="W2" s="96">
        <v>46269</v>
      </c>
      <c r="X2" s="96">
        <v>46270</v>
      </c>
      <c r="Y2" s="96">
        <v>46271</v>
      </c>
      <c r="Z2" s="96">
        <v>46272</v>
      </c>
      <c r="AA2" s="96">
        <v>46273</v>
      </c>
      <c r="AB2" s="96">
        <v>46274</v>
      </c>
      <c r="AC2" s="96">
        <v>46275</v>
      </c>
      <c r="AD2" s="96">
        <v>46276</v>
      </c>
      <c r="AE2" s="96">
        <v>46277</v>
      </c>
      <c r="AF2" s="96">
        <v>46278</v>
      </c>
      <c r="AG2" s="96">
        <v>46279</v>
      </c>
      <c r="AH2" s="96">
        <v>46280</v>
      </c>
      <c r="AI2" s="96">
        <v>46281</v>
      </c>
      <c r="AJ2" s="96">
        <v>46282</v>
      </c>
      <c r="AK2" s="96">
        <v>46283</v>
      </c>
      <c r="AL2" s="96">
        <v>46284</v>
      </c>
      <c r="AM2" s="96">
        <v>46285</v>
      </c>
      <c r="AN2" s="96">
        <v>46286</v>
      </c>
      <c r="AO2" s="96">
        <v>46287</v>
      </c>
      <c r="AP2" s="96">
        <v>46288</v>
      </c>
      <c r="AQ2" s="96">
        <v>46289</v>
      </c>
    </row>
    <row r="3" spans="1:43" s="88" customFormat="1" ht="23.1" customHeight="1">
      <c r="A3" s="6">
        <v>1</v>
      </c>
      <c r="B3" s="9" t="s">
        <v>13</v>
      </c>
      <c r="C3" s="44">
        <v>511304.01</v>
      </c>
      <c r="D3" s="44" t="str">
        <f>+VLOOKUP(C3,[1]Sheet1!$C$5:$D$149979,2,0)</f>
        <v>RO 4X12.8</v>
      </c>
      <c r="E3" s="97">
        <v>177</v>
      </c>
      <c r="F3" s="97"/>
      <c r="G3" s="98">
        <f t="shared" ref="G3:G66" si="5">SUM(M3:AQ3)</f>
        <v>177</v>
      </c>
      <c r="H3" s="99">
        <f t="shared" ref="H3:H63" si="6">E3-G3</f>
        <v>0</v>
      </c>
      <c r="I3" s="6"/>
      <c r="J3" s="99" t="s">
        <v>20</v>
      </c>
      <c r="K3" s="100" t="s">
        <v>14</v>
      </c>
      <c r="L3" s="100">
        <v>1300</v>
      </c>
      <c r="M3" s="101"/>
      <c r="N3" s="101"/>
      <c r="O3" s="101">
        <v>136</v>
      </c>
      <c r="P3" s="101">
        <v>41</v>
      </c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</row>
    <row r="4" spans="1:43" s="88" customFormat="1" ht="23.1" customHeight="1">
      <c r="A4" s="6">
        <v>2</v>
      </c>
      <c r="B4" s="9" t="s">
        <v>16</v>
      </c>
      <c r="C4" s="44">
        <v>511995</v>
      </c>
      <c r="D4" s="44" t="str">
        <f>+VLOOKUP(C4,[1]Sheet1!$C$5:$D$149979,2,0)</f>
        <v>RO 3X13.8  BR</v>
      </c>
      <c r="E4" s="97">
        <v>260</v>
      </c>
      <c r="F4" s="97"/>
      <c r="G4" s="98">
        <f t="shared" si="5"/>
        <v>260</v>
      </c>
      <c r="H4" s="99">
        <f t="shared" si="6"/>
        <v>0</v>
      </c>
      <c r="I4" s="6"/>
      <c r="J4" s="99" t="s">
        <v>134</v>
      </c>
      <c r="K4" s="98" t="s">
        <v>135</v>
      </c>
      <c r="L4" s="98"/>
      <c r="M4" s="101">
        <v>152</v>
      </c>
      <c r="N4" s="101">
        <v>108</v>
      </c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</row>
    <row r="5" spans="1:43" s="88" customFormat="1" ht="22.5" customHeight="1">
      <c r="A5" s="6">
        <v>3</v>
      </c>
      <c r="B5" s="9" t="s">
        <v>18</v>
      </c>
      <c r="C5" s="44">
        <v>511994</v>
      </c>
      <c r="D5" s="44" t="str">
        <f>+VLOOKUP(C5,[1]Sheet1!$C$5:$D$149979,2,0)</f>
        <v>RO 3X21.8</v>
      </c>
      <c r="E5" s="97">
        <v>147</v>
      </c>
      <c r="F5" s="97"/>
      <c r="G5" s="98">
        <f t="shared" si="5"/>
        <v>147</v>
      </c>
      <c r="H5" s="99">
        <f t="shared" si="6"/>
        <v>0</v>
      </c>
      <c r="I5" s="6"/>
      <c r="J5" s="99" t="s">
        <v>20</v>
      </c>
      <c r="K5" s="98" t="s">
        <v>14</v>
      </c>
      <c r="L5" s="98"/>
      <c r="M5" s="101"/>
      <c r="N5" s="101"/>
      <c r="O5" s="101">
        <v>100</v>
      </c>
      <c r="P5" s="101">
        <v>47</v>
      </c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</row>
    <row r="6" spans="1:43" s="88" customFormat="1" ht="23.1" customHeight="1">
      <c r="A6" s="6">
        <v>4</v>
      </c>
      <c r="B6" s="9" t="s">
        <v>19</v>
      </c>
      <c r="C6" s="44">
        <v>550005</v>
      </c>
      <c r="D6" s="44" t="str">
        <f>+VLOOKUP(C6,[1]Sheet1!$C$5:$D$149979,2,0)</f>
        <v>RO 2.379X20.8 BP</v>
      </c>
      <c r="E6" s="97">
        <v>71</v>
      </c>
      <c r="F6" s="97"/>
      <c r="G6" s="98">
        <f t="shared" si="5"/>
        <v>71</v>
      </c>
      <c r="H6" s="99">
        <f t="shared" si="6"/>
        <v>0</v>
      </c>
      <c r="I6" s="6"/>
      <c r="J6" s="99" t="s">
        <v>134</v>
      </c>
      <c r="K6" s="98" t="s">
        <v>17</v>
      </c>
      <c r="L6" s="98"/>
      <c r="M6" s="101">
        <v>56</v>
      </c>
      <c r="N6" s="101">
        <v>15</v>
      </c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</row>
    <row r="7" spans="1:43" s="88" customFormat="1" ht="23.1" customHeight="1">
      <c r="A7" s="6">
        <v>5</v>
      </c>
      <c r="B7" s="9" t="s">
        <v>21</v>
      </c>
      <c r="C7" s="44">
        <v>511091</v>
      </c>
      <c r="D7" s="44" t="str">
        <f>+VLOOKUP(C7,[1]Sheet1!$C$5:$D$149979,2,0)</f>
        <v>RO 2X5.8</v>
      </c>
      <c r="E7" s="97">
        <v>39</v>
      </c>
      <c r="F7" s="97"/>
      <c r="G7" s="98">
        <f t="shared" si="5"/>
        <v>39</v>
      </c>
      <c r="H7" s="99">
        <f t="shared" si="6"/>
        <v>0</v>
      </c>
      <c r="I7" s="6"/>
      <c r="J7" s="99" t="s">
        <v>17</v>
      </c>
      <c r="K7" s="98" t="s">
        <v>14</v>
      </c>
      <c r="L7" s="98"/>
      <c r="M7" s="101"/>
      <c r="N7" s="101">
        <v>39</v>
      </c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</row>
    <row r="8" spans="1:43" s="88" customFormat="1" ht="23.1" customHeight="1">
      <c r="A8" s="6">
        <v>6</v>
      </c>
      <c r="B8" s="9" t="s">
        <v>22</v>
      </c>
      <c r="C8" s="44">
        <v>501041.65</v>
      </c>
      <c r="D8" s="44" t="str">
        <f>+VLOOKUP(C8,[1]Sheet1!$C$5:$D$149979,2,0)</f>
        <v>RO 2X3 BP</v>
      </c>
      <c r="E8" s="97">
        <v>52</v>
      </c>
      <c r="F8" s="97"/>
      <c r="G8" s="98">
        <f t="shared" si="5"/>
        <v>52</v>
      </c>
      <c r="H8" s="99">
        <f t="shared" si="6"/>
        <v>0</v>
      </c>
      <c r="I8" s="6"/>
      <c r="J8" s="99" t="s">
        <v>20</v>
      </c>
      <c r="K8" s="98" t="s">
        <v>14</v>
      </c>
      <c r="L8" s="98"/>
      <c r="M8" s="101"/>
      <c r="N8" s="101"/>
      <c r="O8" s="101">
        <v>52</v>
      </c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</row>
    <row r="9" spans="1:43" s="88" customFormat="1" ht="23.1" customHeight="1">
      <c r="A9" s="6">
        <v>7</v>
      </c>
      <c r="B9" s="9" t="s">
        <v>23</v>
      </c>
      <c r="C9" s="44">
        <v>511965.11</v>
      </c>
      <c r="D9" s="44" t="str">
        <f>+VLOOKUP(C9,[1]Sheet1!$C$5:$D$149979,2,0)</f>
        <v>RO 3X23</v>
      </c>
      <c r="E9" s="97">
        <v>126</v>
      </c>
      <c r="F9" s="97"/>
      <c r="G9" s="98">
        <f t="shared" si="5"/>
        <v>126</v>
      </c>
      <c r="H9" s="99">
        <f t="shared" si="6"/>
        <v>0</v>
      </c>
      <c r="I9" s="6"/>
      <c r="J9" s="99" t="s">
        <v>15</v>
      </c>
      <c r="K9" s="98" t="s">
        <v>24</v>
      </c>
      <c r="L9" s="98"/>
      <c r="M9" s="101"/>
      <c r="N9" s="101"/>
      <c r="O9" s="101"/>
      <c r="P9" s="101"/>
      <c r="Q9" s="101">
        <v>112</v>
      </c>
      <c r="R9" s="101">
        <v>14</v>
      </c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</row>
    <row r="10" spans="1:43" s="88" customFormat="1" ht="23.1" customHeight="1">
      <c r="A10" s="6">
        <v>8</v>
      </c>
      <c r="B10" s="9" t="s">
        <v>26</v>
      </c>
      <c r="C10" s="43">
        <v>503138</v>
      </c>
      <c r="D10" s="44" t="str">
        <f>+VLOOKUP(C10,[1]Sheet1!$C$5:$D$149979,2,0)</f>
        <v>RO 2.778X11.17 BR</v>
      </c>
      <c r="E10" s="97">
        <v>78</v>
      </c>
      <c r="F10" s="97"/>
      <c r="G10" s="98">
        <f t="shared" si="5"/>
        <v>78</v>
      </c>
      <c r="H10" s="99">
        <f t="shared" si="6"/>
        <v>0</v>
      </c>
      <c r="I10" s="6"/>
      <c r="J10" s="99" t="s">
        <v>24</v>
      </c>
      <c r="K10" s="98" t="s">
        <v>25</v>
      </c>
      <c r="L10" s="98"/>
      <c r="M10" s="101"/>
      <c r="N10" s="101"/>
      <c r="O10" s="101"/>
      <c r="P10" s="101"/>
      <c r="Q10" s="101"/>
      <c r="R10" s="101">
        <v>78</v>
      </c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</row>
    <row r="11" spans="1:43" s="88" customFormat="1" ht="23.1" customHeight="1">
      <c r="A11" s="6">
        <v>9</v>
      </c>
      <c r="B11" s="9" t="s">
        <v>27</v>
      </c>
      <c r="C11" s="43">
        <v>503145</v>
      </c>
      <c r="D11" s="44" t="str">
        <f>+VLOOKUP(C11,[1]Sheet1!$C$5:$D$149979,2,0)</f>
        <v>RO 3.148X14.8 BP</v>
      </c>
      <c r="E11" s="97">
        <v>21</v>
      </c>
      <c r="F11" s="97"/>
      <c r="G11" s="98">
        <f t="shared" si="5"/>
        <v>21</v>
      </c>
      <c r="H11" s="99">
        <f t="shared" si="6"/>
        <v>0</v>
      </c>
      <c r="I11" s="6"/>
      <c r="J11" s="99" t="s">
        <v>24</v>
      </c>
      <c r="K11" s="98" t="s">
        <v>25</v>
      </c>
      <c r="L11" s="98"/>
      <c r="M11" s="101"/>
      <c r="N11" s="101"/>
      <c r="O11" s="101"/>
      <c r="P11" s="101"/>
      <c r="Q11" s="101"/>
      <c r="R11" s="101">
        <v>21</v>
      </c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</row>
    <row r="12" spans="1:43" s="88" customFormat="1" ht="23.1" customHeight="1">
      <c r="A12" s="6">
        <v>10</v>
      </c>
      <c r="B12" s="9" t="s">
        <v>28</v>
      </c>
      <c r="C12" s="43">
        <v>503143</v>
      </c>
      <c r="D12" s="44" t="str">
        <f>+VLOOKUP(C12,[1]Sheet1!$C$5:$D$149979,2,0)</f>
        <v>RO 3.148X18.05 M.RO</v>
      </c>
      <c r="E12" s="97">
        <v>47</v>
      </c>
      <c r="F12" s="97"/>
      <c r="G12" s="98">
        <f t="shared" si="5"/>
        <v>47</v>
      </c>
      <c r="H12" s="99">
        <f t="shared" si="6"/>
        <v>0</v>
      </c>
      <c r="I12" s="6"/>
      <c r="J12" s="99" t="s">
        <v>15</v>
      </c>
      <c r="K12" s="98" t="s">
        <v>24</v>
      </c>
      <c r="L12" s="98"/>
      <c r="M12" s="101"/>
      <c r="N12" s="101"/>
      <c r="O12" s="101"/>
      <c r="P12" s="101"/>
      <c r="Q12" s="101">
        <v>47</v>
      </c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</row>
    <row r="13" spans="1:43" s="88" customFormat="1" ht="23.1" customHeight="1">
      <c r="A13" s="6">
        <v>11</v>
      </c>
      <c r="B13" s="1" t="s">
        <v>29</v>
      </c>
      <c r="C13" s="43">
        <v>503139</v>
      </c>
      <c r="D13" s="44" t="str">
        <f>+VLOOKUP(C13,[1]Sheet1!$C$5:$D$149979,2,0)</f>
        <v>RO 3.20X19.3 BR</v>
      </c>
      <c r="E13" s="97">
        <v>105</v>
      </c>
      <c r="F13" s="97"/>
      <c r="G13" s="98">
        <f t="shared" si="5"/>
        <v>105</v>
      </c>
      <c r="H13" s="99">
        <f t="shared" si="6"/>
        <v>0</v>
      </c>
      <c r="I13" s="6"/>
      <c r="J13" s="99" t="s">
        <v>14</v>
      </c>
      <c r="K13" s="98" t="s">
        <v>24</v>
      </c>
      <c r="L13" s="98"/>
      <c r="M13" s="101"/>
      <c r="N13" s="101"/>
      <c r="O13" s="101"/>
      <c r="P13" s="101">
        <v>105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</row>
    <row r="14" spans="1:43" s="88" customFormat="1" ht="23.1" customHeight="1">
      <c r="A14" s="6">
        <v>12</v>
      </c>
      <c r="B14" s="1" t="s">
        <v>30</v>
      </c>
      <c r="C14" s="43">
        <v>502024</v>
      </c>
      <c r="D14" s="44" t="str">
        <f>+VLOOKUP(C14,[1]Sheet1!$C$5:$D$149979,2,0)</f>
        <v>RO 3X6.8 BP</v>
      </c>
      <c r="E14" s="97">
        <v>44</v>
      </c>
      <c r="F14" s="97"/>
      <c r="G14" s="98">
        <f t="shared" si="5"/>
        <v>44</v>
      </c>
      <c r="H14" s="99">
        <f t="shared" si="6"/>
        <v>0</v>
      </c>
      <c r="I14" s="6"/>
      <c r="J14" s="99" t="s">
        <v>14</v>
      </c>
      <c r="K14" s="98" t="s">
        <v>15</v>
      </c>
      <c r="L14" s="98"/>
      <c r="M14" s="101"/>
      <c r="N14" s="101"/>
      <c r="O14" s="101"/>
      <c r="P14" s="101">
        <v>44</v>
      </c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</row>
    <row r="15" spans="1:43" s="88" customFormat="1" ht="23.1" customHeight="1">
      <c r="A15" s="6">
        <v>13</v>
      </c>
      <c r="B15" s="6"/>
      <c r="C15" s="43"/>
      <c r="D15" s="44" t="e">
        <f>+VLOOKUP(C15,[1]Sheet1!$C$5:$D$149979,2,0)</f>
        <v>#N/A</v>
      </c>
      <c r="E15" s="97"/>
      <c r="F15" s="97"/>
      <c r="G15" s="98">
        <f t="shared" si="5"/>
        <v>0</v>
      </c>
      <c r="H15" s="99">
        <f t="shared" si="6"/>
        <v>0</v>
      </c>
      <c r="I15" s="6"/>
      <c r="J15" s="99"/>
      <c r="K15" s="98"/>
      <c r="L15" s="98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</row>
    <row r="16" spans="1:43" s="88" customFormat="1" ht="23.1" customHeight="1">
      <c r="A16" s="6">
        <v>14</v>
      </c>
      <c r="B16" s="6"/>
      <c r="C16" s="43"/>
      <c r="D16" s="44" t="e">
        <f>+VLOOKUP(C16,[1]Sheet1!$C$5:$D$149979,2,0)</f>
        <v>#N/A</v>
      </c>
      <c r="E16" s="97"/>
      <c r="F16" s="97"/>
      <c r="G16" s="98">
        <f t="shared" si="5"/>
        <v>0</v>
      </c>
      <c r="H16" s="99">
        <f t="shared" si="6"/>
        <v>0</v>
      </c>
      <c r="I16" s="6"/>
      <c r="J16" s="98"/>
      <c r="K16" s="98"/>
      <c r="L16" s="98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</row>
    <row r="17" spans="1:43" s="88" customFormat="1" ht="23.1" customHeight="1">
      <c r="A17" s="6">
        <v>15</v>
      </c>
      <c r="B17" s="6"/>
      <c r="C17" s="43"/>
      <c r="D17" s="44" t="e">
        <f>+VLOOKUP(C17,[1]Sheet1!$C$5:$D$149979,2,0)</f>
        <v>#N/A</v>
      </c>
      <c r="E17" s="97"/>
      <c r="F17" s="97"/>
      <c r="G17" s="98">
        <f t="shared" si="5"/>
        <v>0</v>
      </c>
      <c r="H17" s="99">
        <f t="shared" si="6"/>
        <v>0</v>
      </c>
      <c r="I17" s="6"/>
      <c r="J17" s="99"/>
      <c r="K17" s="98"/>
      <c r="L17" s="98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</row>
    <row r="18" spans="1:43" s="88" customFormat="1" ht="23.1" customHeight="1">
      <c r="A18" s="6">
        <v>16</v>
      </c>
      <c r="B18" s="6"/>
      <c r="C18" s="43"/>
      <c r="D18" s="44" t="e">
        <f>+VLOOKUP(C18,[1]Sheet1!$C$5:$D$149979,2,0)</f>
        <v>#N/A</v>
      </c>
      <c r="E18" s="97"/>
      <c r="F18" s="97"/>
      <c r="G18" s="98">
        <f t="shared" si="5"/>
        <v>0</v>
      </c>
      <c r="H18" s="99">
        <f t="shared" si="6"/>
        <v>0</v>
      </c>
      <c r="I18" s="6"/>
      <c r="J18" s="99"/>
      <c r="K18" s="98"/>
      <c r="L18" s="98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</row>
    <row r="19" spans="1:43" s="88" customFormat="1" ht="23.1" customHeight="1">
      <c r="A19" s="6">
        <v>17</v>
      </c>
      <c r="B19" s="6"/>
      <c r="C19" s="43"/>
      <c r="D19" s="44" t="e">
        <f>+VLOOKUP(C19,[1]Sheet1!$C$5:$D$149979,2,0)</f>
        <v>#N/A</v>
      </c>
      <c r="E19" s="97"/>
      <c r="F19" s="97"/>
      <c r="G19" s="98">
        <f t="shared" si="5"/>
        <v>0</v>
      </c>
      <c r="H19" s="99">
        <f t="shared" si="6"/>
        <v>0</v>
      </c>
      <c r="I19" s="6"/>
      <c r="J19" s="99"/>
      <c r="K19" s="98"/>
      <c r="L19" s="98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</row>
    <row r="20" spans="1:43" s="88" customFormat="1" ht="23.1" customHeight="1">
      <c r="A20" s="6">
        <v>18</v>
      </c>
      <c r="B20" s="6"/>
      <c r="C20" s="43"/>
      <c r="D20" s="44" t="e">
        <f>+VLOOKUP(C20,[1]Sheet1!$C$5:$D$149979,2,0)</f>
        <v>#N/A</v>
      </c>
      <c r="E20" s="97"/>
      <c r="F20" s="97"/>
      <c r="G20" s="98">
        <f t="shared" si="5"/>
        <v>0</v>
      </c>
      <c r="H20" s="99">
        <f t="shared" si="6"/>
        <v>0</v>
      </c>
      <c r="I20" s="6"/>
      <c r="J20" s="99"/>
      <c r="K20" s="98"/>
      <c r="L20" s="98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</row>
    <row r="21" spans="1:43" s="88" customFormat="1" ht="23.1" customHeight="1">
      <c r="A21" s="6">
        <v>19</v>
      </c>
      <c r="B21" s="6"/>
      <c r="C21" s="43"/>
      <c r="D21" s="44" t="e">
        <f>+VLOOKUP(C21,[1]Sheet1!$C$5:$D$149979,2,0)</f>
        <v>#N/A</v>
      </c>
      <c r="E21" s="97"/>
      <c r="F21" s="97"/>
      <c r="G21" s="98">
        <f t="shared" si="5"/>
        <v>0</v>
      </c>
      <c r="H21" s="99">
        <f t="shared" si="6"/>
        <v>0</v>
      </c>
      <c r="I21" s="6"/>
      <c r="J21" s="99"/>
      <c r="K21" s="98"/>
      <c r="L21" s="98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</row>
    <row r="22" spans="1:43" s="88" customFormat="1" ht="23.1" customHeight="1">
      <c r="A22" s="6">
        <v>20</v>
      </c>
      <c r="B22" s="6"/>
      <c r="C22" s="43"/>
      <c r="D22" s="44" t="e">
        <f>+VLOOKUP(C22,[1]Sheet1!$C$5:$D$149979,2,0)</f>
        <v>#N/A</v>
      </c>
      <c r="E22" s="97"/>
      <c r="F22" s="97"/>
      <c r="G22" s="98">
        <f t="shared" si="5"/>
        <v>0</v>
      </c>
      <c r="H22" s="99">
        <f t="shared" si="6"/>
        <v>0</v>
      </c>
      <c r="I22" s="6"/>
      <c r="J22" s="99"/>
      <c r="K22" s="98"/>
      <c r="L22" s="98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</row>
    <row r="23" spans="1:43" s="88" customFormat="1" ht="23.1" customHeight="1">
      <c r="A23" s="6">
        <v>21</v>
      </c>
      <c r="B23" s="6"/>
      <c r="C23" s="43"/>
      <c r="D23" s="44" t="e">
        <f>+VLOOKUP(C23,[1]Sheet1!$C$5:$D$149979,2,0)</f>
        <v>#N/A</v>
      </c>
      <c r="E23" s="97"/>
      <c r="F23" s="97"/>
      <c r="G23" s="98">
        <f t="shared" si="5"/>
        <v>0</v>
      </c>
      <c r="H23" s="99">
        <f t="shared" si="6"/>
        <v>0</v>
      </c>
      <c r="I23" s="6"/>
      <c r="J23" s="99"/>
      <c r="K23" s="98"/>
      <c r="L23" s="98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</row>
    <row r="24" spans="1:43" s="88" customFormat="1" ht="23.1" customHeight="1">
      <c r="A24" s="6">
        <v>22</v>
      </c>
      <c r="B24" s="6"/>
      <c r="C24" s="43"/>
      <c r="D24" s="44" t="e">
        <f>+VLOOKUP(C24,[1]Sheet1!$C$5:$D$149979,2,0)</f>
        <v>#N/A</v>
      </c>
      <c r="E24" s="97"/>
      <c r="F24" s="97"/>
      <c r="G24" s="98">
        <f t="shared" si="5"/>
        <v>0</v>
      </c>
      <c r="H24" s="99">
        <f t="shared" si="6"/>
        <v>0</v>
      </c>
      <c r="I24" s="6"/>
      <c r="J24" s="99"/>
      <c r="K24" s="98"/>
      <c r="L24" s="98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</row>
    <row r="25" spans="1:43" s="88" customFormat="1" ht="23.1" customHeight="1">
      <c r="A25" s="6">
        <v>23</v>
      </c>
      <c r="B25" s="6"/>
      <c r="C25" s="43"/>
      <c r="D25" s="44" t="e">
        <f>+VLOOKUP(C25,[1]Sheet1!$C$5:$D$149979,2,0)</f>
        <v>#N/A</v>
      </c>
      <c r="E25" s="97"/>
      <c r="F25" s="97"/>
      <c r="G25" s="98">
        <f t="shared" si="5"/>
        <v>0</v>
      </c>
      <c r="H25" s="99">
        <f t="shared" si="6"/>
        <v>0</v>
      </c>
      <c r="I25" s="6"/>
      <c r="J25" s="99"/>
      <c r="K25" s="98"/>
      <c r="L25" s="98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</row>
    <row r="26" spans="1:43" s="88" customFormat="1" ht="23.1" customHeight="1">
      <c r="A26" s="6">
        <v>24</v>
      </c>
      <c r="B26" s="6"/>
      <c r="C26" s="43"/>
      <c r="D26" s="44" t="e">
        <f>+VLOOKUP(C26,[1]Sheet1!$C$5:$D$149979,2,0)</f>
        <v>#N/A</v>
      </c>
      <c r="E26" s="97"/>
      <c r="F26" s="97"/>
      <c r="G26" s="98">
        <f t="shared" si="5"/>
        <v>0</v>
      </c>
      <c r="H26" s="99">
        <f t="shared" si="6"/>
        <v>0</v>
      </c>
      <c r="I26" s="6"/>
      <c r="J26" s="99"/>
      <c r="K26" s="98"/>
      <c r="L26" s="98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</row>
    <row r="27" spans="1:43" s="88" customFormat="1" ht="23.1" customHeight="1">
      <c r="A27" s="6">
        <v>25</v>
      </c>
      <c r="B27" s="6"/>
      <c r="C27" s="43"/>
      <c r="D27" s="44" t="e">
        <f>+VLOOKUP(C27,[1]Sheet1!$C$5:$D$149979,2,0)</f>
        <v>#N/A</v>
      </c>
      <c r="E27" s="97"/>
      <c r="F27" s="97"/>
      <c r="G27" s="98">
        <f t="shared" si="5"/>
        <v>0</v>
      </c>
      <c r="H27" s="99">
        <f t="shared" si="6"/>
        <v>0</v>
      </c>
      <c r="I27" s="6"/>
      <c r="J27" s="99"/>
      <c r="K27" s="98"/>
      <c r="L27" s="98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</row>
    <row r="28" spans="1:43" s="88" customFormat="1" ht="23.1" customHeight="1">
      <c r="A28" s="6">
        <v>26</v>
      </c>
      <c r="B28" s="6"/>
      <c r="C28" s="43"/>
      <c r="D28" s="44" t="e">
        <f>+VLOOKUP(C28,[1]Sheet1!$C$5:$D$149979,2,0)</f>
        <v>#N/A</v>
      </c>
      <c r="E28" s="97"/>
      <c r="F28" s="97"/>
      <c r="G28" s="98">
        <f t="shared" si="5"/>
        <v>0</v>
      </c>
      <c r="H28" s="99">
        <f t="shared" si="6"/>
        <v>0</v>
      </c>
      <c r="I28" s="6"/>
      <c r="J28" s="99"/>
      <c r="K28" s="98"/>
      <c r="L28" s="98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</row>
    <row r="29" spans="1:43" s="88" customFormat="1" ht="23.1" customHeight="1">
      <c r="A29" s="6">
        <v>27</v>
      </c>
      <c r="B29" s="6"/>
      <c r="C29" s="43"/>
      <c r="D29" s="44" t="e">
        <f>+VLOOKUP(C29,[1]Sheet1!$C$5:$D$149979,2,0)</f>
        <v>#N/A</v>
      </c>
      <c r="E29" s="97"/>
      <c r="F29" s="97"/>
      <c r="G29" s="98">
        <f t="shared" si="5"/>
        <v>0</v>
      </c>
      <c r="H29" s="99">
        <f t="shared" si="6"/>
        <v>0</v>
      </c>
      <c r="I29" s="6"/>
      <c r="J29" s="99"/>
      <c r="K29" s="98"/>
      <c r="L29" s="98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</row>
    <row r="30" spans="1:43" s="88" customFormat="1" ht="24" customHeight="1">
      <c r="A30" s="6">
        <v>28</v>
      </c>
      <c r="B30" s="6"/>
      <c r="C30" s="43"/>
      <c r="D30" s="44" t="e">
        <f>+VLOOKUP(C30,[1]Sheet1!$C$5:$D$149979,2,0)</f>
        <v>#N/A</v>
      </c>
      <c r="E30" s="97"/>
      <c r="F30" s="97"/>
      <c r="G30" s="98">
        <f t="shared" si="5"/>
        <v>0</v>
      </c>
      <c r="H30" s="99">
        <f t="shared" si="6"/>
        <v>0</v>
      </c>
      <c r="I30" s="6"/>
      <c r="J30" s="99"/>
      <c r="K30" s="98"/>
      <c r="L30" s="98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</row>
    <row r="31" spans="1:43" s="88" customFormat="1" ht="23.1" customHeight="1">
      <c r="A31" s="6">
        <v>29</v>
      </c>
      <c r="B31" s="6"/>
      <c r="C31" s="43"/>
      <c r="D31" s="44" t="e">
        <f>+VLOOKUP(C31,[1]Sheet1!$C$5:$D$149979,2,0)</f>
        <v>#N/A</v>
      </c>
      <c r="E31" s="97"/>
      <c r="F31" s="97"/>
      <c r="G31" s="98">
        <f t="shared" si="5"/>
        <v>0</v>
      </c>
      <c r="H31" s="99">
        <f t="shared" si="6"/>
        <v>0</v>
      </c>
      <c r="I31" s="6"/>
      <c r="J31" s="99"/>
      <c r="K31" s="98"/>
      <c r="L31" s="98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</row>
    <row r="32" spans="1:43" s="88" customFormat="1" ht="23.1" customHeight="1">
      <c r="A32" s="6">
        <v>30</v>
      </c>
      <c r="B32" s="6"/>
      <c r="C32" s="43"/>
      <c r="D32" s="44" t="e">
        <f>+VLOOKUP(C32,[1]Sheet1!$C$5:$D$149979,2,0)</f>
        <v>#N/A</v>
      </c>
      <c r="E32" s="97"/>
      <c r="F32" s="97"/>
      <c r="G32" s="98">
        <f t="shared" si="5"/>
        <v>0</v>
      </c>
      <c r="H32" s="99">
        <f t="shared" si="6"/>
        <v>0</v>
      </c>
      <c r="I32" s="6"/>
      <c r="J32" s="99"/>
      <c r="K32" s="98"/>
      <c r="L32" s="98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</row>
    <row r="33" spans="1:43" s="88" customFormat="1" ht="23.1" customHeight="1">
      <c r="A33" s="6">
        <v>31</v>
      </c>
      <c r="B33" s="6"/>
      <c r="C33" s="43"/>
      <c r="D33" s="44" t="e">
        <f>+VLOOKUP(C33,[1]Sheet1!$C$5:$D$149979,2,0)</f>
        <v>#N/A</v>
      </c>
      <c r="E33" s="97"/>
      <c r="F33" s="97"/>
      <c r="G33" s="98">
        <f t="shared" si="5"/>
        <v>0</v>
      </c>
      <c r="H33" s="99">
        <f t="shared" si="6"/>
        <v>0</v>
      </c>
      <c r="I33" s="97"/>
      <c r="J33" s="99"/>
      <c r="K33" s="98"/>
      <c r="L33" s="98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</row>
    <row r="34" spans="1:43" s="88" customFormat="1" ht="23.1" customHeight="1">
      <c r="A34" s="6">
        <v>32</v>
      </c>
      <c r="B34" s="6"/>
      <c r="C34" s="43"/>
      <c r="D34" s="44" t="e">
        <f>+VLOOKUP(C34,[1]Sheet1!$C$5:$D$149979,2,0)</f>
        <v>#N/A</v>
      </c>
      <c r="E34" s="97"/>
      <c r="F34" s="97"/>
      <c r="G34" s="98">
        <f t="shared" si="5"/>
        <v>0</v>
      </c>
      <c r="H34" s="99">
        <f t="shared" si="6"/>
        <v>0</v>
      </c>
      <c r="I34" s="6"/>
      <c r="J34" s="99"/>
      <c r="K34" s="98"/>
      <c r="L34" s="98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</row>
    <row r="35" spans="1:43" s="88" customFormat="1" ht="23.1" customHeight="1">
      <c r="A35" s="6">
        <v>33</v>
      </c>
      <c r="B35" s="6"/>
      <c r="C35" s="43"/>
      <c r="D35" s="44" t="e">
        <f>+VLOOKUP(C35,[1]Sheet1!$C$5:$D$149979,2,0)</f>
        <v>#N/A</v>
      </c>
      <c r="E35" s="97"/>
      <c r="F35" s="97"/>
      <c r="G35" s="98">
        <f t="shared" si="5"/>
        <v>0</v>
      </c>
      <c r="H35" s="99">
        <f t="shared" si="6"/>
        <v>0</v>
      </c>
      <c r="I35" s="6"/>
      <c r="J35" s="99"/>
      <c r="K35" s="98"/>
      <c r="L35" s="98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</row>
    <row r="36" spans="1:43" s="88" customFormat="1" ht="23.1" customHeight="1">
      <c r="A36" s="6">
        <v>34</v>
      </c>
      <c r="B36" s="6"/>
      <c r="C36" s="43"/>
      <c r="D36" s="44" t="e">
        <f>+VLOOKUP(C36,[1]Sheet1!$C$5:$D$149979,2,0)</f>
        <v>#N/A</v>
      </c>
      <c r="E36" s="97"/>
      <c r="F36" s="97"/>
      <c r="G36" s="98">
        <f t="shared" si="5"/>
        <v>0</v>
      </c>
      <c r="H36" s="99">
        <f t="shared" si="6"/>
        <v>0</v>
      </c>
      <c r="I36" s="6"/>
      <c r="J36" s="99"/>
      <c r="K36" s="98"/>
      <c r="L36" s="98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</row>
    <row r="37" spans="1:43" s="88" customFormat="1" ht="23.1" customHeight="1">
      <c r="A37" s="6">
        <v>35</v>
      </c>
      <c r="B37" s="6"/>
      <c r="C37" s="43"/>
      <c r="D37" s="44" t="e">
        <f>+VLOOKUP(C37,[1]Sheet1!$C$5:$D$149979,2,0)</f>
        <v>#N/A</v>
      </c>
      <c r="E37" s="97"/>
      <c r="F37" s="97"/>
      <c r="G37" s="98">
        <f t="shared" si="5"/>
        <v>0</v>
      </c>
      <c r="H37" s="99">
        <f t="shared" si="6"/>
        <v>0</v>
      </c>
      <c r="I37" s="6"/>
      <c r="J37" s="99"/>
      <c r="K37" s="98"/>
      <c r="L37" s="98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</row>
    <row r="38" spans="1:43" s="88" customFormat="1" ht="23.1" customHeight="1">
      <c r="A38" s="6">
        <v>36</v>
      </c>
      <c r="B38" s="6"/>
      <c r="C38" s="43"/>
      <c r="D38" s="44" t="e">
        <f>+VLOOKUP(C38,[1]Sheet1!$C$5:$D$149979,2,0)</f>
        <v>#N/A</v>
      </c>
      <c r="E38" s="97"/>
      <c r="F38" s="97"/>
      <c r="G38" s="98">
        <f t="shared" si="5"/>
        <v>0</v>
      </c>
      <c r="H38" s="99">
        <f t="shared" si="6"/>
        <v>0</v>
      </c>
      <c r="I38" s="6"/>
      <c r="J38" s="99"/>
      <c r="K38" s="98"/>
      <c r="L38" s="98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</row>
    <row r="39" spans="1:43" s="88" customFormat="1" ht="23.1" customHeight="1">
      <c r="A39" s="6">
        <v>37</v>
      </c>
      <c r="B39" s="6"/>
      <c r="C39" s="43"/>
      <c r="D39" s="44" t="e">
        <f>+VLOOKUP(C39,[1]Sheet1!$C$5:$D$149979,2,0)</f>
        <v>#N/A</v>
      </c>
      <c r="E39" s="97"/>
      <c r="F39" s="97"/>
      <c r="G39" s="98">
        <f t="shared" si="5"/>
        <v>0</v>
      </c>
      <c r="H39" s="99">
        <f t="shared" si="6"/>
        <v>0</v>
      </c>
      <c r="I39" s="6"/>
      <c r="J39" s="99"/>
      <c r="K39" s="98"/>
      <c r="L39" s="98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</row>
    <row r="40" spans="1:43" s="88" customFormat="1" ht="23.1" customHeight="1">
      <c r="A40" s="6">
        <v>38</v>
      </c>
      <c r="B40" s="6"/>
      <c r="C40" s="43"/>
      <c r="D40" s="44" t="e">
        <f>+VLOOKUP(C40,[1]Sheet1!$C$5:$D$149979,2,0)</f>
        <v>#N/A</v>
      </c>
      <c r="E40" s="97"/>
      <c r="F40" s="97"/>
      <c r="G40" s="98">
        <f t="shared" si="5"/>
        <v>0</v>
      </c>
      <c r="H40" s="99">
        <f t="shared" si="6"/>
        <v>0</v>
      </c>
      <c r="I40" s="6"/>
      <c r="J40" s="99"/>
      <c r="K40" s="98"/>
      <c r="L40" s="98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</row>
    <row r="41" spans="1:43" s="88" customFormat="1" ht="23.1" customHeight="1">
      <c r="A41" s="6">
        <v>39</v>
      </c>
      <c r="B41" s="6"/>
      <c r="C41" s="43"/>
      <c r="D41" s="44" t="e">
        <f>+VLOOKUP(C41,[1]Sheet1!$C$5:$D$149979,2,0)</f>
        <v>#N/A</v>
      </c>
      <c r="E41" s="97"/>
      <c r="F41" s="97"/>
      <c r="G41" s="98">
        <f t="shared" si="5"/>
        <v>0</v>
      </c>
      <c r="H41" s="99">
        <f t="shared" si="6"/>
        <v>0</v>
      </c>
      <c r="I41" s="6"/>
      <c r="J41" s="99"/>
      <c r="K41" s="98"/>
      <c r="L41" s="98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</row>
    <row r="42" spans="1:43" s="88" customFormat="1" ht="23.1" customHeight="1">
      <c r="A42" s="6">
        <v>40</v>
      </c>
      <c r="B42" s="6"/>
      <c r="C42" s="43"/>
      <c r="D42" s="44" t="e">
        <f>+VLOOKUP(C42,[1]Sheet1!$C$5:$D$149979,2,0)</f>
        <v>#N/A</v>
      </c>
      <c r="E42" s="97"/>
      <c r="F42" s="97"/>
      <c r="G42" s="98">
        <f t="shared" si="5"/>
        <v>0</v>
      </c>
      <c r="H42" s="99">
        <f t="shared" si="6"/>
        <v>0</v>
      </c>
      <c r="I42" s="6"/>
      <c r="J42" s="99"/>
      <c r="K42" s="98"/>
      <c r="L42" s="98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</row>
    <row r="43" spans="1:43" s="88" customFormat="1" ht="23.1" customHeight="1">
      <c r="A43" s="6">
        <v>41</v>
      </c>
      <c r="B43" s="6"/>
      <c r="C43" s="43"/>
      <c r="D43" s="44" t="e">
        <f>+VLOOKUP(C43,[1]Sheet1!$C$5:$D$149979,2,0)</f>
        <v>#N/A</v>
      </c>
      <c r="E43" s="97"/>
      <c r="F43" s="97"/>
      <c r="G43" s="98">
        <f t="shared" si="5"/>
        <v>0</v>
      </c>
      <c r="H43" s="99">
        <f t="shared" si="6"/>
        <v>0</v>
      </c>
      <c r="I43" s="6"/>
      <c r="J43" s="99"/>
      <c r="K43" s="98"/>
      <c r="L43" s="98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</row>
    <row r="44" spans="1:43" s="88" customFormat="1" ht="23.1" customHeight="1">
      <c r="A44" s="6">
        <v>42</v>
      </c>
      <c r="B44" s="6"/>
      <c r="C44" s="43"/>
      <c r="D44" s="44" t="e">
        <f>+VLOOKUP(C44,[1]Sheet1!$C$5:$D$149979,2,0)</f>
        <v>#N/A</v>
      </c>
      <c r="E44" s="97"/>
      <c r="F44" s="97"/>
      <c r="G44" s="98">
        <f t="shared" si="5"/>
        <v>0</v>
      </c>
      <c r="H44" s="99">
        <f t="shared" si="6"/>
        <v>0</v>
      </c>
      <c r="I44" s="6"/>
      <c r="J44" s="99"/>
      <c r="K44" s="98"/>
      <c r="L44" s="98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</row>
    <row r="45" spans="1:43" s="88" customFormat="1" ht="23.1" customHeight="1">
      <c r="A45" s="6">
        <v>43</v>
      </c>
      <c r="B45" s="6"/>
      <c r="C45" s="43"/>
      <c r="D45" s="44" t="e">
        <f>+VLOOKUP(C45,[1]Sheet1!$C$5:$D$149979,2,0)</f>
        <v>#N/A</v>
      </c>
      <c r="E45" s="97"/>
      <c r="F45" s="97"/>
      <c r="G45" s="98">
        <f t="shared" si="5"/>
        <v>0</v>
      </c>
      <c r="H45" s="99">
        <f t="shared" si="6"/>
        <v>0</v>
      </c>
      <c r="I45" s="6"/>
      <c r="J45" s="99"/>
      <c r="K45" s="98"/>
      <c r="L45" s="98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</row>
    <row r="46" spans="1:43" s="88" customFormat="1" ht="23.1" customHeight="1">
      <c r="A46" s="6">
        <v>44</v>
      </c>
      <c r="B46" s="6"/>
      <c r="C46" s="43"/>
      <c r="D46" s="44" t="e">
        <f>+VLOOKUP(C46,[1]Sheet1!$C$5:$D$149979,2,0)</f>
        <v>#N/A</v>
      </c>
      <c r="E46" s="97"/>
      <c r="F46" s="97"/>
      <c r="G46" s="98">
        <f t="shared" si="5"/>
        <v>0</v>
      </c>
      <c r="H46" s="99">
        <f t="shared" si="6"/>
        <v>0</v>
      </c>
      <c r="I46" s="6"/>
      <c r="J46" s="99"/>
      <c r="K46" s="98"/>
      <c r="L46" s="98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</row>
    <row r="47" spans="1:43" s="88" customFormat="1" ht="23.1" customHeight="1">
      <c r="A47" s="6">
        <v>45</v>
      </c>
      <c r="B47" s="6"/>
      <c r="C47" s="43"/>
      <c r="D47" s="44" t="e">
        <f>+VLOOKUP(C47,[1]Sheet1!$C$5:$D$149979,2,0)</f>
        <v>#N/A</v>
      </c>
      <c r="E47" s="97"/>
      <c r="F47" s="97"/>
      <c r="G47" s="98">
        <f t="shared" si="5"/>
        <v>0</v>
      </c>
      <c r="H47" s="99">
        <f t="shared" si="6"/>
        <v>0</v>
      </c>
      <c r="I47" s="6"/>
      <c r="J47" s="99"/>
      <c r="K47" s="98"/>
      <c r="L47" s="98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  <c r="AO47" s="101"/>
      <c r="AP47" s="101"/>
      <c r="AQ47" s="101"/>
    </row>
    <row r="48" spans="1:43" s="88" customFormat="1" ht="23.1" customHeight="1">
      <c r="A48" s="6">
        <v>46</v>
      </c>
      <c r="B48" s="6"/>
      <c r="C48" s="43"/>
      <c r="D48" s="44" t="e">
        <f>+VLOOKUP(C48,[1]Sheet1!$C$5:$D$149979,2,0)</f>
        <v>#N/A</v>
      </c>
      <c r="E48" s="97"/>
      <c r="F48" s="97"/>
      <c r="G48" s="98">
        <f t="shared" si="5"/>
        <v>0</v>
      </c>
      <c r="H48" s="99">
        <f t="shared" si="6"/>
        <v>0</v>
      </c>
      <c r="I48" s="6"/>
      <c r="J48" s="99"/>
      <c r="K48" s="98"/>
      <c r="L48" s="98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1"/>
    </row>
    <row r="49" spans="1:43" s="88" customFormat="1" ht="23.1" customHeight="1">
      <c r="A49" s="6">
        <v>47</v>
      </c>
      <c r="B49" s="6"/>
      <c r="C49" s="43"/>
      <c r="D49" s="44" t="e">
        <f>+VLOOKUP(C49,[1]Sheet1!$C$5:$D$149979,2,0)</f>
        <v>#N/A</v>
      </c>
      <c r="E49" s="97"/>
      <c r="F49" s="97"/>
      <c r="G49" s="98">
        <f t="shared" si="5"/>
        <v>0</v>
      </c>
      <c r="H49" s="99">
        <f t="shared" si="6"/>
        <v>0</v>
      </c>
      <c r="I49" s="6"/>
      <c r="J49" s="99"/>
      <c r="K49" s="98"/>
      <c r="L49" s="98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</row>
    <row r="50" spans="1:43" s="88" customFormat="1" ht="23.1" customHeight="1">
      <c r="A50" s="6">
        <v>48</v>
      </c>
      <c r="B50" s="6"/>
      <c r="C50" s="43"/>
      <c r="D50" s="44" t="e">
        <f>+VLOOKUP(C50,[1]Sheet1!$C$5:$D$149979,2,0)</f>
        <v>#N/A</v>
      </c>
      <c r="E50" s="97"/>
      <c r="F50" s="97"/>
      <c r="G50" s="98">
        <f t="shared" si="5"/>
        <v>0</v>
      </c>
      <c r="H50" s="99">
        <f t="shared" si="6"/>
        <v>0</v>
      </c>
      <c r="I50" s="6"/>
      <c r="J50" s="99"/>
      <c r="K50" s="98"/>
      <c r="L50" s="98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</row>
    <row r="51" spans="1:43" s="88" customFormat="1" ht="23.1" customHeight="1">
      <c r="A51" s="6">
        <v>49</v>
      </c>
      <c r="B51" s="6"/>
      <c r="C51" s="43"/>
      <c r="D51" s="44" t="e">
        <f>+VLOOKUP(C51,[1]Sheet1!$C$5:$D$149979,2,0)</f>
        <v>#N/A</v>
      </c>
      <c r="E51" s="97"/>
      <c r="F51" s="97"/>
      <c r="G51" s="98">
        <f t="shared" si="5"/>
        <v>0</v>
      </c>
      <c r="H51" s="99">
        <f t="shared" si="6"/>
        <v>0</v>
      </c>
      <c r="I51" s="6"/>
      <c r="J51" s="99"/>
      <c r="K51" s="98"/>
      <c r="L51" s="98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</row>
    <row r="52" spans="1:43" s="88" customFormat="1" ht="23.1" customHeight="1">
      <c r="A52" s="6">
        <v>50</v>
      </c>
      <c r="B52" s="6"/>
      <c r="C52" s="43"/>
      <c r="D52" s="44" t="e">
        <f>+VLOOKUP(C52,[1]Sheet1!$C$5:$D$149979,2,0)</f>
        <v>#N/A</v>
      </c>
      <c r="E52" s="97"/>
      <c r="F52" s="97"/>
      <c r="G52" s="98">
        <f t="shared" si="5"/>
        <v>0</v>
      </c>
      <c r="H52" s="99">
        <f t="shared" si="6"/>
        <v>0</v>
      </c>
      <c r="I52" s="6"/>
      <c r="J52" s="99"/>
      <c r="K52" s="98"/>
      <c r="L52" s="98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1"/>
    </row>
    <row r="53" spans="1:43" s="88" customFormat="1" ht="23.1" customHeight="1">
      <c r="A53" s="6">
        <v>51</v>
      </c>
      <c r="B53" s="6"/>
      <c r="C53" s="43"/>
      <c r="D53" s="44" t="e">
        <f>+VLOOKUP(C53,[1]Sheet1!$C$5:$D$149979,2,0)</f>
        <v>#N/A</v>
      </c>
      <c r="E53" s="97"/>
      <c r="F53" s="97"/>
      <c r="G53" s="98">
        <f t="shared" si="5"/>
        <v>0</v>
      </c>
      <c r="H53" s="99">
        <f t="shared" si="6"/>
        <v>0</v>
      </c>
      <c r="I53" s="6"/>
      <c r="J53" s="99"/>
      <c r="K53" s="98"/>
      <c r="L53" s="98"/>
      <c r="M53" s="101"/>
      <c r="N53" s="101"/>
      <c r="O53" s="102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</row>
    <row r="54" spans="1:43" s="88" customFormat="1" ht="23.1" customHeight="1">
      <c r="A54" s="6">
        <v>52</v>
      </c>
      <c r="B54" s="6"/>
      <c r="C54" s="43"/>
      <c r="D54" s="44" t="e">
        <f>+VLOOKUP(C54,[1]Sheet1!$C$5:$D$149979,2,0)</f>
        <v>#N/A</v>
      </c>
      <c r="E54" s="97"/>
      <c r="F54" s="97"/>
      <c r="G54" s="98">
        <f t="shared" si="5"/>
        <v>0</v>
      </c>
      <c r="H54" s="99">
        <f t="shared" si="6"/>
        <v>0</v>
      </c>
      <c r="I54" s="6"/>
      <c r="J54" s="99"/>
      <c r="K54" s="98"/>
      <c r="L54" s="98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</row>
    <row r="55" spans="1:43" s="88" customFormat="1" ht="23.1" customHeight="1">
      <c r="A55" s="6">
        <v>53</v>
      </c>
      <c r="B55" s="6"/>
      <c r="C55" s="43"/>
      <c r="D55" s="44" t="e">
        <f>+VLOOKUP(C55,[1]Sheet1!$C$5:$D$149979,2,0)</f>
        <v>#N/A</v>
      </c>
      <c r="E55" s="97"/>
      <c r="F55" s="97"/>
      <c r="G55" s="98">
        <f t="shared" si="5"/>
        <v>0</v>
      </c>
      <c r="H55" s="99">
        <f t="shared" si="6"/>
        <v>0</v>
      </c>
      <c r="I55" s="6"/>
      <c r="J55" s="99"/>
      <c r="K55" s="98"/>
      <c r="L55" s="98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  <c r="AO55" s="101"/>
      <c r="AP55" s="101"/>
      <c r="AQ55" s="101"/>
    </row>
    <row r="56" spans="1:43" s="88" customFormat="1" ht="23.1" customHeight="1">
      <c r="A56" s="6">
        <v>54</v>
      </c>
      <c r="B56" s="6"/>
      <c r="C56" s="43"/>
      <c r="D56" s="44" t="e">
        <f>+VLOOKUP(C56,[1]Sheet1!$C$5:$D$149979,2,0)</f>
        <v>#N/A</v>
      </c>
      <c r="E56" s="97"/>
      <c r="F56" s="97"/>
      <c r="G56" s="98">
        <f t="shared" si="5"/>
        <v>0</v>
      </c>
      <c r="H56" s="99">
        <f t="shared" si="6"/>
        <v>0</v>
      </c>
      <c r="I56" s="6"/>
      <c r="J56" s="99"/>
      <c r="K56" s="98"/>
      <c r="L56" s="98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</row>
    <row r="57" spans="1:43" s="88" customFormat="1" ht="23.1" customHeight="1">
      <c r="A57" s="6">
        <v>55</v>
      </c>
      <c r="B57" s="6"/>
      <c r="C57" s="43"/>
      <c r="D57" s="44" t="e">
        <f>+VLOOKUP(C57,[1]Sheet1!$C$5:$D$149979,2,0)</f>
        <v>#N/A</v>
      </c>
      <c r="E57" s="97"/>
      <c r="F57" s="97"/>
      <c r="G57" s="98">
        <f t="shared" si="5"/>
        <v>0</v>
      </c>
      <c r="H57" s="99">
        <f t="shared" si="6"/>
        <v>0</v>
      </c>
      <c r="I57" s="6"/>
      <c r="J57" s="99"/>
      <c r="K57" s="98"/>
      <c r="L57" s="98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  <c r="AP57" s="101"/>
      <c r="AQ57" s="101"/>
    </row>
    <row r="58" spans="1:43" s="88" customFormat="1" ht="23.1" customHeight="1">
      <c r="A58" s="6">
        <v>56</v>
      </c>
      <c r="B58" s="6"/>
      <c r="C58" s="43"/>
      <c r="D58" s="44" t="e">
        <f>+VLOOKUP(C58,[1]Sheet1!$C$5:$D$149979,2,0)</f>
        <v>#N/A</v>
      </c>
      <c r="E58" s="97"/>
      <c r="F58" s="97"/>
      <c r="G58" s="98">
        <f t="shared" si="5"/>
        <v>0</v>
      </c>
      <c r="H58" s="99">
        <f t="shared" si="6"/>
        <v>0</v>
      </c>
      <c r="I58" s="6"/>
      <c r="J58" s="99"/>
      <c r="K58" s="98"/>
      <c r="L58" s="98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  <c r="AP58" s="101"/>
      <c r="AQ58" s="101"/>
    </row>
    <row r="59" spans="1:43" s="88" customFormat="1" ht="23.1" customHeight="1">
      <c r="A59" s="6">
        <v>57</v>
      </c>
      <c r="B59" s="6"/>
      <c r="C59" s="43"/>
      <c r="D59" s="44" t="e">
        <f>+VLOOKUP(C59,[1]Sheet1!$C$5:$D$149979,2,0)</f>
        <v>#N/A</v>
      </c>
      <c r="E59" s="97"/>
      <c r="F59" s="97"/>
      <c r="G59" s="98">
        <f t="shared" si="5"/>
        <v>0</v>
      </c>
      <c r="H59" s="99">
        <f t="shared" si="6"/>
        <v>0</v>
      </c>
      <c r="I59" s="6"/>
      <c r="J59" s="99"/>
      <c r="K59" s="98"/>
      <c r="L59" s="98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</row>
    <row r="60" spans="1:43" s="88" customFormat="1" ht="23.1" customHeight="1">
      <c r="A60" s="6">
        <v>58</v>
      </c>
      <c r="B60" s="6"/>
      <c r="C60" s="43"/>
      <c r="D60" s="44" t="e">
        <f>+VLOOKUP(C60,[1]Sheet1!$C$5:$D$149979,2,0)</f>
        <v>#N/A</v>
      </c>
      <c r="E60" s="97"/>
      <c r="F60" s="97"/>
      <c r="G60" s="98">
        <f t="shared" si="5"/>
        <v>0</v>
      </c>
      <c r="H60" s="99">
        <f t="shared" si="6"/>
        <v>0</v>
      </c>
      <c r="I60" s="6"/>
      <c r="J60" s="99"/>
      <c r="K60" s="98"/>
      <c r="L60" s="98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</row>
    <row r="61" spans="1:43" s="88" customFormat="1" ht="23.1" customHeight="1">
      <c r="A61" s="6">
        <v>59</v>
      </c>
      <c r="B61" s="6"/>
      <c r="C61" s="43"/>
      <c r="D61" s="44" t="e">
        <f>+VLOOKUP(C61,[1]Sheet1!$C$5:$D$149979,2,0)</f>
        <v>#N/A</v>
      </c>
      <c r="E61" s="97"/>
      <c r="F61" s="97"/>
      <c r="G61" s="98">
        <f t="shared" si="5"/>
        <v>0</v>
      </c>
      <c r="H61" s="99">
        <f t="shared" si="6"/>
        <v>0</v>
      </c>
      <c r="I61" s="6"/>
      <c r="J61" s="99"/>
      <c r="K61" s="98"/>
      <c r="L61" s="98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</row>
    <row r="62" spans="1:43" s="88" customFormat="1" ht="23.1" customHeight="1">
      <c r="A62" s="6">
        <v>60</v>
      </c>
      <c r="B62" s="6"/>
      <c r="C62" s="43"/>
      <c r="D62" s="44" t="e">
        <f>+VLOOKUP(C62,[1]Sheet1!$C$5:$D$149979,2,0)</f>
        <v>#N/A</v>
      </c>
      <c r="E62" s="97"/>
      <c r="F62" s="97"/>
      <c r="G62" s="98">
        <f t="shared" si="5"/>
        <v>0</v>
      </c>
      <c r="H62" s="99">
        <f t="shared" si="6"/>
        <v>0</v>
      </c>
      <c r="I62" s="6"/>
      <c r="J62" s="99"/>
      <c r="K62" s="98"/>
      <c r="L62" s="98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</row>
    <row r="63" spans="1:43" s="88" customFormat="1" ht="23.1" customHeight="1">
      <c r="A63" s="6">
        <v>61</v>
      </c>
      <c r="B63" s="6"/>
      <c r="C63" s="43"/>
      <c r="D63" s="44" t="e">
        <f>+VLOOKUP(C63,[1]Sheet1!$C$5:$D$149979,2,0)</f>
        <v>#N/A</v>
      </c>
      <c r="E63" s="97"/>
      <c r="F63" s="97"/>
      <c r="G63" s="98">
        <f t="shared" si="5"/>
        <v>0</v>
      </c>
      <c r="H63" s="99">
        <f t="shared" si="6"/>
        <v>0</v>
      </c>
      <c r="I63" s="6"/>
      <c r="J63" s="99"/>
      <c r="K63" s="98"/>
      <c r="L63" s="98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</row>
    <row r="64" spans="1:43" s="88" customFormat="1" ht="23.1" customHeight="1">
      <c r="A64" s="6">
        <v>62</v>
      </c>
      <c r="B64" s="6"/>
      <c r="C64" s="43"/>
      <c r="D64" s="44" t="e">
        <f>+VLOOKUP(C64,[1]Sheet1!$C$5:$D$149979,2,0)</f>
        <v>#N/A</v>
      </c>
      <c r="E64" s="97"/>
      <c r="F64" s="97"/>
      <c r="G64" s="98">
        <f t="shared" si="5"/>
        <v>0</v>
      </c>
      <c r="H64" s="99">
        <f t="shared" ref="H64:H127" si="7">E64-G64</f>
        <v>0</v>
      </c>
      <c r="I64" s="6"/>
      <c r="J64" s="99"/>
      <c r="K64" s="98"/>
      <c r="L64" s="98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</row>
    <row r="65" spans="1:43" s="88" customFormat="1" ht="23.1" customHeight="1">
      <c r="A65" s="6">
        <v>63</v>
      </c>
      <c r="B65" s="6"/>
      <c r="C65" s="43"/>
      <c r="D65" s="44" t="e">
        <f>+VLOOKUP(C65,[1]Sheet1!$C$5:$D$149979,2,0)</f>
        <v>#N/A</v>
      </c>
      <c r="E65" s="97"/>
      <c r="F65" s="97"/>
      <c r="G65" s="98">
        <f t="shared" si="5"/>
        <v>0</v>
      </c>
      <c r="H65" s="99">
        <f t="shared" si="7"/>
        <v>0</v>
      </c>
      <c r="I65" s="6"/>
      <c r="J65" s="99"/>
      <c r="K65" s="98"/>
      <c r="L65" s="98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</row>
    <row r="66" spans="1:43" s="88" customFormat="1" ht="23.1" customHeight="1">
      <c r="A66" s="6">
        <v>64</v>
      </c>
      <c r="B66" s="6"/>
      <c r="C66" s="43"/>
      <c r="D66" s="44" t="e">
        <f>+VLOOKUP(C66,[1]Sheet1!$C$5:$D$149979,2,0)</f>
        <v>#N/A</v>
      </c>
      <c r="E66" s="97"/>
      <c r="F66" s="97"/>
      <c r="G66" s="98">
        <f t="shared" si="5"/>
        <v>0</v>
      </c>
      <c r="H66" s="99">
        <f t="shared" si="7"/>
        <v>0</v>
      </c>
      <c r="I66" s="6"/>
      <c r="J66" s="99"/>
      <c r="K66" s="98"/>
      <c r="L66" s="98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</row>
    <row r="67" spans="1:43" s="88" customFormat="1" ht="23.1" customHeight="1">
      <c r="A67" s="6">
        <v>65</v>
      </c>
      <c r="B67" s="6"/>
      <c r="C67" s="43"/>
      <c r="D67" s="44" t="e">
        <f>+VLOOKUP(C67,[1]Sheet1!$C$5:$D$149979,2,0)</f>
        <v>#N/A</v>
      </c>
      <c r="E67" s="97"/>
      <c r="F67" s="97"/>
      <c r="G67" s="98">
        <f t="shared" ref="G67:G130" si="8">SUM(M67:AQ67)</f>
        <v>0</v>
      </c>
      <c r="H67" s="99">
        <f t="shared" si="7"/>
        <v>0</v>
      </c>
      <c r="I67" s="6"/>
      <c r="J67" s="99"/>
      <c r="K67" s="98"/>
      <c r="L67" s="98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</row>
    <row r="68" spans="1:43" s="88" customFormat="1" ht="23.1" customHeight="1">
      <c r="A68" s="6">
        <v>66</v>
      </c>
      <c r="B68" s="6"/>
      <c r="C68" s="43"/>
      <c r="D68" s="44" t="e">
        <f>+VLOOKUP(C68,[1]Sheet1!$C$5:$D$149979,2,0)</f>
        <v>#N/A</v>
      </c>
      <c r="E68" s="97"/>
      <c r="F68" s="97"/>
      <c r="G68" s="98">
        <f t="shared" si="8"/>
        <v>0</v>
      </c>
      <c r="H68" s="99">
        <f t="shared" si="7"/>
        <v>0</v>
      </c>
      <c r="I68" s="6"/>
      <c r="J68" s="99"/>
      <c r="K68" s="98"/>
      <c r="L68" s="98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</row>
    <row r="69" spans="1:43" s="88" customFormat="1" ht="23.1" customHeight="1">
      <c r="A69" s="6">
        <v>67</v>
      </c>
      <c r="B69" s="6"/>
      <c r="C69" s="43"/>
      <c r="D69" s="44" t="e">
        <f>+VLOOKUP(C69,[1]Sheet1!$C$5:$D$149979,2,0)</f>
        <v>#N/A</v>
      </c>
      <c r="E69" s="97"/>
      <c r="F69" s="97"/>
      <c r="G69" s="98">
        <f t="shared" si="8"/>
        <v>0</v>
      </c>
      <c r="H69" s="99">
        <f t="shared" si="7"/>
        <v>0</v>
      </c>
      <c r="I69" s="6"/>
      <c r="J69" s="99"/>
      <c r="K69" s="98"/>
      <c r="L69" s="98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</row>
    <row r="70" spans="1:43" s="88" customFormat="1" ht="23.1" customHeight="1">
      <c r="A70" s="6">
        <v>68</v>
      </c>
      <c r="B70" s="6"/>
      <c r="C70" s="43"/>
      <c r="D70" s="44" t="e">
        <f>+VLOOKUP(C70,[1]Sheet1!$C$5:$D$149979,2,0)</f>
        <v>#N/A</v>
      </c>
      <c r="E70" s="97"/>
      <c r="F70" s="97"/>
      <c r="G70" s="98">
        <f t="shared" si="8"/>
        <v>0</v>
      </c>
      <c r="H70" s="99">
        <f t="shared" si="7"/>
        <v>0</v>
      </c>
      <c r="I70" s="6"/>
      <c r="J70" s="99"/>
      <c r="K70" s="98"/>
      <c r="L70" s="98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</row>
    <row r="71" spans="1:43" s="88" customFormat="1" ht="23.1" customHeight="1">
      <c r="A71" s="6">
        <v>69</v>
      </c>
      <c r="B71" s="6"/>
      <c r="C71" s="43"/>
      <c r="D71" s="44" t="e">
        <f>+VLOOKUP(C71,[1]Sheet1!$C$5:$D$149979,2,0)</f>
        <v>#N/A</v>
      </c>
      <c r="E71" s="97"/>
      <c r="F71" s="97"/>
      <c r="G71" s="98">
        <f t="shared" si="8"/>
        <v>0</v>
      </c>
      <c r="H71" s="99">
        <f t="shared" si="7"/>
        <v>0</v>
      </c>
      <c r="I71" s="6"/>
      <c r="J71" s="99"/>
      <c r="K71" s="98"/>
      <c r="L71" s="98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</row>
    <row r="72" spans="1:43" s="88" customFormat="1" ht="23.1" customHeight="1">
      <c r="A72" s="6">
        <v>70</v>
      </c>
      <c r="B72" s="6"/>
      <c r="C72" s="43"/>
      <c r="D72" s="44" t="e">
        <f>+VLOOKUP(C72,[1]Sheet1!$C$5:$D$149979,2,0)</f>
        <v>#N/A</v>
      </c>
      <c r="E72" s="97"/>
      <c r="F72" s="97"/>
      <c r="G72" s="98">
        <f t="shared" si="8"/>
        <v>0</v>
      </c>
      <c r="H72" s="99">
        <f t="shared" si="7"/>
        <v>0</v>
      </c>
      <c r="I72" s="6"/>
      <c r="J72" s="99"/>
      <c r="K72" s="98"/>
      <c r="L72" s="98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</row>
    <row r="73" spans="1:43" s="88" customFormat="1" ht="23.1" customHeight="1">
      <c r="A73" s="6">
        <v>71</v>
      </c>
      <c r="B73" s="6"/>
      <c r="C73" s="43"/>
      <c r="D73" s="44" t="e">
        <f>+VLOOKUP(C73,[1]Sheet1!$C$5:$D$149979,2,0)</f>
        <v>#N/A</v>
      </c>
      <c r="E73" s="97"/>
      <c r="F73" s="97"/>
      <c r="G73" s="98">
        <f t="shared" si="8"/>
        <v>0</v>
      </c>
      <c r="H73" s="99">
        <f t="shared" si="7"/>
        <v>0</v>
      </c>
      <c r="I73" s="6"/>
      <c r="J73" s="99"/>
      <c r="K73" s="98"/>
      <c r="L73" s="98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</row>
    <row r="74" spans="1:43" s="88" customFormat="1" ht="23.1" customHeight="1">
      <c r="A74" s="6">
        <v>72</v>
      </c>
      <c r="B74" s="6"/>
      <c r="C74" s="43"/>
      <c r="D74" s="44" t="e">
        <f>+VLOOKUP(C74,[1]Sheet1!$C$5:$D$149979,2,0)</f>
        <v>#N/A</v>
      </c>
      <c r="E74" s="97"/>
      <c r="F74" s="97"/>
      <c r="G74" s="98">
        <f t="shared" si="8"/>
        <v>0</v>
      </c>
      <c r="H74" s="99">
        <f t="shared" si="7"/>
        <v>0</v>
      </c>
      <c r="I74" s="6"/>
      <c r="J74" s="99"/>
      <c r="K74" s="98"/>
      <c r="L74" s="98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</row>
    <row r="75" spans="1:43" s="88" customFormat="1" ht="23.1" customHeight="1">
      <c r="A75" s="6">
        <v>73</v>
      </c>
      <c r="B75" s="6"/>
      <c r="C75" s="43"/>
      <c r="D75" s="44" t="e">
        <f>+VLOOKUP(C75,[1]Sheet1!$C$5:$D$149979,2,0)</f>
        <v>#N/A</v>
      </c>
      <c r="E75" s="97"/>
      <c r="F75" s="97"/>
      <c r="G75" s="98">
        <f t="shared" si="8"/>
        <v>0</v>
      </c>
      <c r="H75" s="99">
        <f t="shared" si="7"/>
        <v>0</v>
      </c>
      <c r="I75" s="6"/>
      <c r="J75" s="99"/>
      <c r="K75" s="98"/>
      <c r="L75" s="98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</row>
    <row r="76" spans="1:43" s="88" customFormat="1" ht="23.1" customHeight="1">
      <c r="A76" s="6">
        <v>74</v>
      </c>
      <c r="B76" s="6"/>
      <c r="C76" s="43"/>
      <c r="D76" s="44" t="e">
        <f>+VLOOKUP(C76,[1]Sheet1!$C$5:$D$149979,2,0)</f>
        <v>#N/A</v>
      </c>
      <c r="E76" s="97"/>
      <c r="F76" s="97"/>
      <c r="G76" s="98">
        <f t="shared" si="8"/>
        <v>0</v>
      </c>
      <c r="H76" s="99">
        <f t="shared" si="7"/>
        <v>0</v>
      </c>
      <c r="I76" s="6"/>
      <c r="J76" s="99"/>
      <c r="K76" s="98"/>
      <c r="L76" s="98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</row>
    <row r="77" spans="1:43" s="88" customFormat="1" ht="23.1" customHeight="1">
      <c r="A77" s="6">
        <v>75</v>
      </c>
      <c r="B77" s="6"/>
      <c r="C77" s="43"/>
      <c r="D77" s="44" t="e">
        <f>+VLOOKUP(C77,[1]Sheet1!$C$5:$D$149979,2,0)</f>
        <v>#N/A</v>
      </c>
      <c r="E77" s="97"/>
      <c r="F77" s="97"/>
      <c r="G77" s="98">
        <f t="shared" si="8"/>
        <v>0</v>
      </c>
      <c r="H77" s="99">
        <f t="shared" si="7"/>
        <v>0</v>
      </c>
      <c r="I77" s="6"/>
      <c r="J77" s="99"/>
      <c r="K77" s="98"/>
      <c r="L77" s="98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</row>
    <row r="78" spans="1:43" s="88" customFormat="1" ht="23.1" customHeight="1">
      <c r="A78" s="6">
        <v>76</v>
      </c>
      <c r="B78" s="6"/>
      <c r="C78" s="43"/>
      <c r="D78" s="44" t="e">
        <f>+VLOOKUP(C78,[1]Sheet1!$C$5:$D$149979,2,0)</f>
        <v>#N/A</v>
      </c>
      <c r="E78" s="97"/>
      <c r="F78" s="97"/>
      <c r="G78" s="98">
        <f t="shared" si="8"/>
        <v>0</v>
      </c>
      <c r="H78" s="99">
        <f t="shared" si="7"/>
        <v>0</v>
      </c>
      <c r="I78" s="6"/>
      <c r="J78" s="99"/>
      <c r="K78" s="98"/>
      <c r="L78" s="98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</row>
    <row r="79" spans="1:43" s="88" customFormat="1" ht="23.1" customHeight="1">
      <c r="A79" s="6">
        <v>77</v>
      </c>
      <c r="B79" s="6"/>
      <c r="C79" s="43"/>
      <c r="D79" s="44" t="e">
        <f>+VLOOKUP(C79,[1]Sheet1!$C$5:$D$149979,2,0)</f>
        <v>#N/A</v>
      </c>
      <c r="E79" s="97"/>
      <c r="F79" s="97"/>
      <c r="G79" s="98">
        <f t="shared" si="8"/>
        <v>0</v>
      </c>
      <c r="H79" s="99">
        <f t="shared" si="7"/>
        <v>0</v>
      </c>
      <c r="I79" s="6"/>
      <c r="J79" s="99"/>
      <c r="K79" s="98"/>
      <c r="L79" s="98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</row>
    <row r="80" spans="1:43" s="88" customFormat="1" ht="23.1" customHeight="1">
      <c r="A80" s="6">
        <v>78</v>
      </c>
      <c r="B80" s="6"/>
      <c r="C80" s="43"/>
      <c r="D80" s="44" t="e">
        <f>+VLOOKUP(C80,[1]Sheet1!$C$5:$D$149979,2,0)</f>
        <v>#N/A</v>
      </c>
      <c r="E80" s="97"/>
      <c r="F80" s="97"/>
      <c r="G80" s="98">
        <f t="shared" si="8"/>
        <v>0</v>
      </c>
      <c r="H80" s="99">
        <f t="shared" si="7"/>
        <v>0</v>
      </c>
      <c r="I80" s="6"/>
      <c r="J80" s="99"/>
      <c r="K80" s="98"/>
      <c r="L80" s="98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</row>
    <row r="81" spans="1:43" s="88" customFormat="1" ht="23.1" customHeight="1">
      <c r="A81" s="6">
        <v>79</v>
      </c>
      <c r="B81" s="6"/>
      <c r="C81" s="43"/>
      <c r="D81" s="44" t="e">
        <f>+VLOOKUP(C81,[1]Sheet1!$C$5:$D$149979,2,0)</f>
        <v>#N/A</v>
      </c>
      <c r="E81" s="97"/>
      <c r="F81" s="97"/>
      <c r="G81" s="98">
        <f t="shared" si="8"/>
        <v>0</v>
      </c>
      <c r="H81" s="99">
        <f t="shared" si="7"/>
        <v>0</v>
      </c>
      <c r="I81" s="6"/>
      <c r="J81" s="99"/>
      <c r="K81" s="98"/>
      <c r="L81" s="98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1"/>
      <c r="AN81" s="101"/>
      <c r="AO81" s="101"/>
      <c r="AP81" s="101"/>
      <c r="AQ81" s="101"/>
    </row>
    <row r="82" spans="1:43" s="88" customFormat="1" ht="23.1" customHeight="1">
      <c r="A82" s="6">
        <v>80</v>
      </c>
      <c r="B82" s="6"/>
      <c r="C82" s="43"/>
      <c r="D82" s="44" t="e">
        <f>+VLOOKUP(C82,[1]Sheet1!$C$5:$D$149979,2,0)</f>
        <v>#N/A</v>
      </c>
      <c r="E82" s="97"/>
      <c r="F82" s="97"/>
      <c r="G82" s="98">
        <f t="shared" si="8"/>
        <v>0</v>
      </c>
      <c r="H82" s="99">
        <f t="shared" si="7"/>
        <v>0</v>
      </c>
      <c r="I82" s="6"/>
      <c r="J82" s="99"/>
      <c r="K82" s="98"/>
      <c r="L82" s="98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</row>
    <row r="83" spans="1:43" s="88" customFormat="1" ht="23.1" customHeight="1">
      <c r="A83" s="6">
        <v>81</v>
      </c>
      <c r="B83" s="6"/>
      <c r="C83" s="43"/>
      <c r="D83" s="44" t="e">
        <f>+VLOOKUP(C83,[1]Sheet1!$C$5:$D$149979,2,0)</f>
        <v>#N/A</v>
      </c>
      <c r="E83" s="97"/>
      <c r="F83" s="97"/>
      <c r="G83" s="98">
        <f t="shared" si="8"/>
        <v>0</v>
      </c>
      <c r="H83" s="99">
        <f t="shared" si="7"/>
        <v>0</v>
      </c>
      <c r="I83" s="6"/>
      <c r="J83" s="99"/>
      <c r="K83" s="98"/>
      <c r="L83" s="98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</row>
    <row r="84" spans="1:43" s="88" customFormat="1" ht="23.1" customHeight="1">
      <c r="A84" s="6">
        <v>82</v>
      </c>
      <c r="B84" s="6"/>
      <c r="C84" s="43"/>
      <c r="D84" s="44" t="e">
        <f>+VLOOKUP(C84,[1]Sheet1!$C$5:$D$149979,2,0)</f>
        <v>#N/A</v>
      </c>
      <c r="E84" s="97"/>
      <c r="F84" s="97"/>
      <c r="G84" s="98">
        <f t="shared" si="8"/>
        <v>0</v>
      </c>
      <c r="H84" s="99">
        <f t="shared" si="7"/>
        <v>0</v>
      </c>
      <c r="I84" s="6"/>
      <c r="J84" s="99"/>
      <c r="K84" s="98"/>
      <c r="L84" s="98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</row>
    <row r="85" spans="1:43" s="88" customFormat="1" ht="23.1" customHeight="1">
      <c r="A85" s="6">
        <v>83</v>
      </c>
      <c r="B85" s="6"/>
      <c r="C85" s="43"/>
      <c r="D85" s="44" t="e">
        <f>+VLOOKUP(C85,[1]Sheet1!$C$5:$D$149979,2,0)</f>
        <v>#N/A</v>
      </c>
      <c r="E85" s="97"/>
      <c r="F85" s="97"/>
      <c r="G85" s="98">
        <f t="shared" si="8"/>
        <v>0</v>
      </c>
      <c r="H85" s="99">
        <f t="shared" si="7"/>
        <v>0</v>
      </c>
      <c r="I85" s="6"/>
      <c r="J85" s="99"/>
      <c r="K85" s="98"/>
      <c r="L85" s="98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</row>
    <row r="86" spans="1:43" s="88" customFormat="1" ht="23.1" customHeight="1">
      <c r="A86" s="6">
        <v>84</v>
      </c>
      <c r="B86" s="6"/>
      <c r="C86" s="43"/>
      <c r="D86" s="44" t="e">
        <f>+VLOOKUP(C86,[1]Sheet1!$C$5:$D$149979,2,0)</f>
        <v>#N/A</v>
      </c>
      <c r="E86" s="97"/>
      <c r="F86" s="97"/>
      <c r="G86" s="98">
        <f t="shared" si="8"/>
        <v>0</v>
      </c>
      <c r="H86" s="99">
        <f t="shared" si="7"/>
        <v>0</v>
      </c>
      <c r="I86" s="6"/>
      <c r="J86" s="99"/>
      <c r="K86" s="98"/>
      <c r="L86" s="98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</row>
    <row r="87" spans="1:43" s="88" customFormat="1" ht="23.1" customHeight="1">
      <c r="A87" s="6">
        <v>85</v>
      </c>
      <c r="B87" s="6"/>
      <c r="C87" s="43"/>
      <c r="D87" s="44" t="e">
        <f>+VLOOKUP(C87,[1]Sheet1!$C$5:$D$149979,2,0)</f>
        <v>#N/A</v>
      </c>
      <c r="E87" s="97"/>
      <c r="F87" s="97"/>
      <c r="G87" s="98">
        <f t="shared" si="8"/>
        <v>0</v>
      </c>
      <c r="H87" s="99">
        <f t="shared" si="7"/>
        <v>0</v>
      </c>
      <c r="I87" s="6"/>
      <c r="J87" s="99"/>
      <c r="K87" s="98"/>
      <c r="L87" s="98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</row>
    <row r="88" spans="1:43" s="88" customFormat="1" ht="23.1" customHeight="1">
      <c r="A88" s="6">
        <v>86</v>
      </c>
      <c r="B88" s="6"/>
      <c r="C88" s="43"/>
      <c r="D88" s="44" t="e">
        <f>+VLOOKUP(C88,[1]Sheet1!$C$5:$D$149979,2,0)</f>
        <v>#N/A</v>
      </c>
      <c r="E88" s="97"/>
      <c r="F88" s="97"/>
      <c r="G88" s="98">
        <f t="shared" si="8"/>
        <v>0</v>
      </c>
      <c r="H88" s="99">
        <f t="shared" si="7"/>
        <v>0</v>
      </c>
      <c r="I88" s="6"/>
      <c r="J88" s="99"/>
      <c r="K88" s="98"/>
      <c r="L88" s="98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</row>
    <row r="89" spans="1:43" s="88" customFormat="1" ht="23.1" customHeight="1">
      <c r="A89" s="6">
        <v>87</v>
      </c>
      <c r="B89" s="6"/>
      <c r="C89" s="43"/>
      <c r="D89" s="44" t="e">
        <f>+VLOOKUP(C89,[1]Sheet1!$C$5:$D$149979,2,0)</f>
        <v>#N/A</v>
      </c>
      <c r="E89" s="97"/>
      <c r="F89" s="97"/>
      <c r="G89" s="98">
        <f t="shared" si="8"/>
        <v>0</v>
      </c>
      <c r="H89" s="99">
        <f t="shared" si="7"/>
        <v>0</v>
      </c>
      <c r="I89" s="6"/>
      <c r="J89" s="99"/>
      <c r="K89" s="98"/>
      <c r="L89" s="98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</row>
    <row r="90" spans="1:43" s="88" customFormat="1" ht="23.1" customHeight="1">
      <c r="A90" s="6">
        <v>88</v>
      </c>
      <c r="B90" s="6"/>
      <c r="C90" s="43"/>
      <c r="D90" s="44" t="e">
        <f>+VLOOKUP(C90,[1]Sheet1!$C$5:$D$149979,2,0)</f>
        <v>#N/A</v>
      </c>
      <c r="E90" s="97"/>
      <c r="F90" s="97"/>
      <c r="G90" s="98">
        <f t="shared" si="8"/>
        <v>0</v>
      </c>
      <c r="H90" s="99">
        <f t="shared" si="7"/>
        <v>0</v>
      </c>
      <c r="I90" s="6"/>
      <c r="J90" s="99"/>
      <c r="K90" s="98"/>
      <c r="L90" s="98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</row>
    <row r="91" spans="1:43" s="88" customFormat="1" ht="23.1" customHeight="1">
      <c r="A91" s="6">
        <v>89</v>
      </c>
      <c r="B91" s="6"/>
      <c r="C91" s="43"/>
      <c r="D91" s="44" t="e">
        <f>+VLOOKUP(C91,[1]Sheet1!$C$5:$D$149979,2,0)</f>
        <v>#N/A</v>
      </c>
      <c r="E91" s="97"/>
      <c r="F91" s="97"/>
      <c r="G91" s="98">
        <f t="shared" si="8"/>
        <v>0</v>
      </c>
      <c r="H91" s="99">
        <f t="shared" si="7"/>
        <v>0</v>
      </c>
      <c r="I91" s="6"/>
      <c r="J91" s="99"/>
      <c r="K91" s="98"/>
      <c r="L91" s="98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</row>
    <row r="92" spans="1:43" s="88" customFormat="1" ht="23.1" customHeight="1">
      <c r="A92" s="6">
        <v>90</v>
      </c>
      <c r="B92" s="6"/>
      <c r="C92" s="103"/>
      <c r="D92" s="44" t="e">
        <f>+VLOOKUP(C92,[1]Sheet1!$C$5:$D$149979,2,0)</f>
        <v>#N/A</v>
      </c>
      <c r="E92" s="97"/>
      <c r="F92" s="97"/>
      <c r="G92" s="98">
        <f t="shared" si="8"/>
        <v>0</v>
      </c>
      <c r="H92" s="99">
        <f t="shared" si="7"/>
        <v>0</v>
      </c>
      <c r="I92" s="6"/>
      <c r="J92" s="99"/>
      <c r="K92" s="98"/>
      <c r="L92" s="98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  <c r="AM92" s="101"/>
      <c r="AN92" s="101"/>
      <c r="AO92" s="101"/>
      <c r="AP92" s="101"/>
      <c r="AQ92" s="101"/>
    </row>
    <row r="93" spans="1:43" s="88" customFormat="1" ht="23.1" customHeight="1">
      <c r="A93" s="6">
        <v>91</v>
      </c>
      <c r="B93" s="6"/>
      <c r="C93" s="103"/>
      <c r="D93" s="44" t="e">
        <f>+VLOOKUP(C93,[1]Sheet1!$C$5:$D$149979,2,0)</f>
        <v>#N/A</v>
      </c>
      <c r="E93" s="97"/>
      <c r="F93" s="97"/>
      <c r="G93" s="98">
        <f t="shared" si="8"/>
        <v>0</v>
      </c>
      <c r="H93" s="99">
        <f t="shared" si="7"/>
        <v>0</v>
      </c>
      <c r="I93" s="6"/>
      <c r="J93" s="99"/>
      <c r="K93" s="98"/>
      <c r="L93" s="98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1"/>
      <c r="AN93" s="101"/>
      <c r="AO93" s="101"/>
      <c r="AP93" s="101"/>
      <c r="AQ93" s="101"/>
    </row>
    <row r="94" spans="1:43" s="88" customFormat="1" ht="23.1" customHeight="1">
      <c r="A94" s="6">
        <v>92</v>
      </c>
      <c r="B94" s="6"/>
      <c r="C94" s="103"/>
      <c r="D94" s="44" t="e">
        <f>+VLOOKUP(C94,[1]Sheet1!$C$5:$D$149979,2,0)</f>
        <v>#N/A</v>
      </c>
      <c r="E94" s="97"/>
      <c r="F94" s="97"/>
      <c r="G94" s="98">
        <f t="shared" si="8"/>
        <v>0</v>
      </c>
      <c r="H94" s="99">
        <f t="shared" si="7"/>
        <v>0</v>
      </c>
      <c r="I94" s="6"/>
      <c r="J94" s="99"/>
      <c r="K94" s="98"/>
      <c r="L94" s="98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1"/>
      <c r="AN94" s="101"/>
      <c r="AO94" s="101"/>
      <c r="AP94" s="101"/>
      <c r="AQ94" s="101"/>
    </row>
    <row r="95" spans="1:43" s="88" customFormat="1" ht="23.1" customHeight="1">
      <c r="A95" s="6">
        <v>93</v>
      </c>
      <c r="B95" s="6"/>
      <c r="C95" s="103"/>
      <c r="D95" s="44" t="e">
        <f>+VLOOKUP(C95,[1]Sheet1!$C$5:$D$149979,2,0)</f>
        <v>#N/A</v>
      </c>
      <c r="E95" s="97"/>
      <c r="F95" s="97"/>
      <c r="G95" s="98">
        <f t="shared" si="8"/>
        <v>0</v>
      </c>
      <c r="H95" s="99">
        <f t="shared" si="7"/>
        <v>0</v>
      </c>
      <c r="I95" s="6"/>
      <c r="J95" s="99"/>
      <c r="K95" s="98"/>
      <c r="L95" s="98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1"/>
      <c r="AN95" s="101"/>
      <c r="AO95" s="101"/>
      <c r="AP95" s="101"/>
      <c r="AQ95" s="101"/>
    </row>
    <row r="96" spans="1:43" s="88" customFormat="1" ht="23.1" customHeight="1">
      <c r="A96" s="6">
        <v>94</v>
      </c>
      <c r="B96" s="6"/>
      <c r="C96" s="103"/>
      <c r="D96" s="97" t="e">
        <f>VLOOKUP(C96,[2]Sheet1!$C$5:$D$65000,2,0)</f>
        <v>#N/A</v>
      </c>
      <c r="E96" s="97"/>
      <c r="F96" s="97"/>
      <c r="G96" s="98">
        <f t="shared" si="8"/>
        <v>0</v>
      </c>
      <c r="H96" s="99">
        <f t="shared" si="7"/>
        <v>0</v>
      </c>
      <c r="I96" s="6"/>
      <c r="J96" s="99"/>
      <c r="K96" s="98"/>
      <c r="L96" s="98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  <c r="AM96" s="101"/>
      <c r="AN96" s="101"/>
      <c r="AO96" s="101"/>
      <c r="AP96" s="101"/>
      <c r="AQ96" s="101"/>
    </row>
    <row r="97" spans="1:43" s="88" customFormat="1" ht="23.1" customHeight="1">
      <c r="A97" s="6">
        <v>95</v>
      </c>
      <c r="B97" s="6"/>
      <c r="C97" s="103"/>
      <c r="D97" s="97" t="e">
        <f>VLOOKUP(C97,[2]Sheet1!$C$5:$D$65000,2,0)</f>
        <v>#N/A</v>
      </c>
      <c r="E97" s="97"/>
      <c r="F97" s="97"/>
      <c r="G97" s="98">
        <f t="shared" si="8"/>
        <v>0</v>
      </c>
      <c r="H97" s="99">
        <f t="shared" si="7"/>
        <v>0</v>
      </c>
      <c r="I97" s="6"/>
      <c r="J97" s="99"/>
      <c r="K97" s="98"/>
      <c r="L97" s="98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  <c r="AM97" s="101"/>
      <c r="AN97" s="101"/>
      <c r="AO97" s="101"/>
      <c r="AP97" s="101"/>
      <c r="AQ97" s="101"/>
    </row>
    <row r="98" spans="1:43" s="88" customFormat="1" ht="23.1" customHeight="1">
      <c r="A98" s="6">
        <v>96</v>
      </c>
      <c r="B98" s="6"/>
      <c r="C98" s="103"/>
      <c r="D98" s="97" t="e">
        <f>VLOOKUP(C98,[2]Sheet1!$C$5:$D$65000,2,0)</f>
        <v>#N/A</v>
      </c>
      <c r="E98" s="97"/>
      <c r="F98" s="97"/>
      <c r="G98" s="98">
        <f t="shared" si="8"/>
        <v>0</v>
      </c>
      <c r="H98" s="99">
        <f t="shared" si="7"/>
        <v>0</v>
      </c>
      <c r="I98" s="6"/>
      <c r="J98" s="99"/>
      <c r="K98" s="98"/>
      <c r="L98" s="98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</row>
    <row r="99" spans="1:43" s="88" customFormat="1" ht="23.1" customHeight="1">
      <c r="A99" s="6">
        <v>97</v>
      </c>
      <c r="B99" s="6"/>
      <c r="C99" s="103"/>
      <c r="D99" s="97" t="e">
        <f>VLOOKUP(C99,[2]Sheet1!$C$5:$D$65000,2,0)</f>
        <v>#N/A</v>
      </c>
      <c r="E99" s="97"/>
      <c r="F99" s="97"/>
      <c r="G99" s="98">
        <f t="shared" si="8"/>
        <v>0</v>
      </c>
      <c r="H99" s="99">
        <f t="shared" si="7"/>
        <v>0</v>
      </c>
      <c r="I99" s="6"/>
      <c r="J99" s="99"/>
      <c r="K99" s="98"/>
      <c r="L99" s="98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</row>
    <row r="100" spans="1:43" s="88" customFormat="1" ht="23.1" customHeight="1">
      <c r="A100" s="6">
        <v>98</v>
      </c>
      <c r="B100" s="6"/>
      <c r="C100" s="103"/>
      <c r="D100" s="97" t="e">
        <f>VLOOKUP(C100,[2]Sheet1!$C$5:$D$65000,2,0)</f>
        <v>#N/A</v>
      </c>
      <c r="E100" s="97"/>
      <c r="F100" s="97"/>
      <c r="G100" s="98">
        <f t="shared" si="8"/>
        <v>0</v>
      </c>
      <c r="H100" s="99">
        <f t="shared" si="7"/>
        <v>0</v>
      </c>
      <c r="I100" s="6"/>
      <c r="J100" s="99"/>
      <c r="K100" s="98"/>
      <c r="L100" s="98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101"/>
      <c r="AN100" s="101"/>
      <c r="AO100" s="101"/>
      <c r="AP100" s="101"/>
      <c r="AQ100" s="101"/>
    </row>
    <row r="101" spans="1:43" s="88" customFormat="1" ht="23.1" customHeight="1">
      <c r="A101" s="6">
        <v>99</v>
      </c>
      <c r="B101" s="104"/>
      <c r="C101" s="105"/>
      <c r="D101" s="106" t="e">
        <f>VLOOKUP(C101,[2]Sheet1!$C$5:$D$65000,2,0)</f>
        <v>#N/A</v>
      </c>
      <c r="E101" s="106"/>
      <c r="F101" s="106"/>
      <c r="G101" s="107">
        <f t="shared" si="8"/>
        <v>0</v>
      </c>
      <c r="H101" s="108">
        <f t="shared" si="7"/>
        <v>0</v>
      </c>
      <c r="I101" s="104"/>
      <c r="J101" s="108"/>
      <c r="K101" s="107"/>
      <c r="L101" s="11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09"/>
      <c r="AK101" s="109"/>
      <c r="AL101" s="109"/>
      <c r="AM101" s="109"/>
      <c r="AN101" s="109"/>
      <c r="AO101" s="109"/>
      <c r="AP101" s="109"/>
      <c r="AQ101" s="109"/>
    </row>
    <row r="102" spans="1:43" s="88" customFormat="1" ht="23.1" customHeight="1">
      <c r="A102" s="6">
        <v>100</v>
      </c>
      <c r="B102" s="6"/>
      <c r="C102" s="103"/>
      <c r="D102" s="97" t="e">
        <f>VLOOKUP(C102,[2]Sheet1!$C$5:$D$65000,2,0)</f>
        <v>#N/A</v>
      </c>
      <c r="E102" s="97"/>
      <c r="F102" s="97"/>
      <c r="G102" s="98">
        <f t="shared" si="8"/>
        <v>0</v>
      </c>
      <c r="H102" s="99">
        <f t="shared" si="7"/>
        <v>0</v>
      </c>
      <c r="I102" s="6"/>
      <c r="J102" s="99"/>
      <c r="K102" s="98"/>
      <c r="L102" s="115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0"/>
    </row>
    <row r="103" spans="1:43" s="88" customFormat="1" ht="23.1" customHeight="1">
      <c r="A103" s="6">
        <v>101</v>
      </c>
      <c r="B103" s="6"/>
      <c r="C103" s="103"/>
      <c r="D103" s="97" t="e">
        <f>VLOOKUP(C103,[2]Sheet1!$C$5:$D$65000,2,0)</f>
        <v>#N/A</v>
      </c>
      <c r="E103" s="97"/>
      <c r="F103" s="97"/>
      <c r="G103" s="98">
        <f t="shared" si="8"/>
        <v>0</v>
      </c>
      <c r="H103" s="99">
        <f t="shared" si="7"/>
        <v>0</v>
      </c>
      <c r="I103" s="6"/>
      <c r="J103" s="99"/>
      <c r="K103" s="98"/>
      <c r="L103" s="115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0"/>
    </row>
    <row r="104" spans="1:43" s="88" customFormat="1" ht="23.1" customHeight="1">
      <c r="A104" s="6">
        <v>102</v>
      </c>
      <c r="B104" s="6"/>
      <c r="C104" s="103"/>
      <c r="D104" s="97" t="e">
        <f>VLOOKUP(C104,[2]Sheet1!$C$5:$D$65000,2,0)</f>
        <v>#N/A</v>
      </c>
      <c r="E104" s="97"/>
      <c r="F104" s="97"/>
      <c r="G104" s="98">
        <f t="shared" si="8"/>
        <v>0</v>
      </c>
      <c r="H104" s="99">
        <f t="shared" si="7"/>
        <v>0</v>
      </c>
      <c r="I104" s="6"/>
      <c r="J104" s="99"/>
      <c r="K104" s="98"/>
      <c r="L104" s="115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0"/>
    </row>
    <row r="105" spans="1:43" s="88" customFormat="1" ht="23.1" customHeight="1">
      <c r="A105" s="6">
        <v>103</v>
      </c>
      <c r="B105" s="6"/>
      <c r="C105" s="103"/>
      <c r="D105" s="97" t="e">
        <f>VLOOKUP(C105,[2]Sheet1!$C$5:$D$65000,2,0)</f>
        <v>#N/A</v>
      </c>
      <c r="E105" s="97"/>
      <c r="F105" s="97"/>
      <c r="G105" s="98">
        <f t="shared" si="8"/>
        <v>0</v>
      </c>
      <c r="H105" s="99">
        <f t="shared" si="7"/>
        <v>0</v>
      </c>
      <c r="I105" s="6"/>
      <c r="J105" s="99"/>
      <c r="K105" s="98"/>
      <c r="L105" s="115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0"/>
    </row>
    <row r="106" spans="1:43" s="88" customFormat="1" ht="23.1" customHeight="1">
      <c r="A106" s="6">
        <v>104</v>
      </c>
      <c r="B106" s="6"/>
      <c r="C106" s="103"/>
      <c r="D106" s="97" t="e">
        <f>VLOOKUP(C106,[2]Sheet1!$C$5:$D$65000,2,0)</f>
        <v>#N/A</v>
      </c>
      <c r="E106" s="97"/>
      <c r="F106" s="97"/>
      <c r="G106" s="98">
        <f t="shared" si="8"/>
        <v>0</v>
      </c>
      <c r="H106" s="99">
        <f t="shared" si="7"/>
        <v>0</v>
      </c>
      <c r="I106" s="6"/>
      <c r="J106" s="99"/>
      <c r="K106" s="98"/>
      <c r="L106" s="115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0"/>
    </row>
    <row r="107" spans="1:43" s="88" customFormat="1" ht="23.1" customHeight="1">
      <c r="A107" s="6">
        <v>105</v>
      </c>
      <c r="B107" s="6"/>
      <c r="C107" s="103"/>
      <c r="D107" s="97" t="e">
        <f>VLOOKUP(C107,[2]Sheet1!$C$5:$D$65000,2,0)</f>
        <v>#N/A</v>
      </c>
      <c r="E107" s="97"/>
      <c r="F107" s="97"/>
      <c r="G107" s="98">
        <f t="shared" si="8"/>
        <v>0</v>
      </c>
      <c r="H107" s="99">
        <f t="shared" si="7"/>
        <v>0</v>
      </c>
      <c r="I107" s="6"/>
      <c r="J107" s="99"/>
      <c r="K107" s="98"/>
      <c r="L107" s="115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0"/>
      <c r="AP107" s="110"/>
      <c r="AQ107" s="110"/>
    </row>
    <row r="108" spans="1:43" s="88" customFormat="1" ht="23.1" customHeight="1">
      <c r="A108" s="6">
        <v>106</v>
      </c>
      <c r="B108" s="6"/>
      <c r="C108" s="103"/>
      <c r="D108" s="97" t="e">
        <f>VLOOKUP(C108,[2]Sheet1!$C$5:$D$65000,2,0)</f>
        <v>#N/A</v>
      </c>
      <c r="E108" s="97"/>
      <c r="F108" s="97"/>
      <c r="G108" s="98">
        <f t="shared" si="8"/>
        <v>0</v>
      </c>
      <c r="H108" s="99">
        <f t="shared" si="7"/>
        <v>0</v>
      </c>
      <c r="I108" s="6"/>
      <c r="J108" s="99"/>
      <c r="K108" s="98"/>
      <c r="L108" s="115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10"/>
      <c r="AO108" s="110"/>
      <c r="AP108" s="110"/>
      <c r="AQ108" s="110"/>
    </row>
    <row r="109" spans="1:43" s="88" customFormat="1" ht="23.1" customHeight="1">
      <c r="A109" s="6">
        <v>107</v>
      </c>
      <c r="B109" s="6"/>
      <c r="C109" s="103"/>
      <c r="D109" s="97" t="e">
        <f>VLOOKUP(C109,[2]Sheet1!$C$5:$D$65000,2,0)</f>
        <v>#N/A</v>
      </c>
      <c r="E109" s="97"/>
      <c r="F109" s="97"/>
      <c r="G109" s="98">
        <f t="shared" si="8"/>
        <v>0</v>
      </c>
      <c r="H109" s="99">
        <f t="shared" si="7"/>
        <v>0</v>
      </c>
      <c r="I109" s="6"/>
      <c r="J109" s="99"/>
      <c r="K109" s="98"/>
      <c r="L109" s="115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0"/>
    </row>
    <row r="110" spans="1:43" s="88" customFormat="1" ht="23.1" customHeight="1">
      <c r="A110" s="6">
        <v>108</v>
      </c>
      <c r="B110" s="6"/>
      <c r="C110" s="103"/>
      <c r="D110" s="97" t="e">
        <f>VLOOKUP(C110,[2]Sheet1!$C$5:$D$65000,2,0)</f>
        <v>#N/A</v>
      </c>
      <c r="E110" s="97"/>
      <c r="F110" s="97"/>
      <c r="G110" s="98">
        <f t="shared" si="8"/>
        <v>0</v>
      </c>
      <c r="H110" s="99">
        <f t="shared" si="7"/>
        <v>0</v>
      </c>
      <c r="I110" s="6"/>
      <c r="J110" s="99"/>
      <c r="K110" s="98"/>
      <c r="L110" s="115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</row>
    <row r="111" spans="1:43" s="88" customFormat="1" ht="23.1" customHeight="1">
      <c r="A111" s="6">
        <v>109</v>
      </c>
      <c r="B111" s="6"/>
      <c r="C111" s="103"/>
      <c r="D111" s="97" t="e">
        <f>VLOOKUP(C111,[2]Sheet1!$C$5:$D$65000,2,0)</f>
        <v>#N/A</v>
      </c>
      <c r="E111" s="97"/>
      <c r="F111" s="97"/>
      <c r="G111" s="98">
        <f t="shared" si="8"/>
        <v>0</v>
      </c>
      <c r="H111" s="99">
        <f t="shared" si="7"/>
        <v>0</v>
      </c>
      <c r="I111" s="6"/>
      <c r="J111" s="99"/>
      <c r="K111" s="98"/>
      <c r="L111" s="115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0"/>
    </row>
    <row r="112" spans="1:43" s="88" customFormat="1" ht="23.1" customHeight="1">
      <c r="A112" s="6">
        <v>110</v>
      </c>
      <c r="B112" s="6"/>
      <c r="C112" s="103"/>
      <c r="D112" s="97" t="e">
        <f>VLOOKUP(C112,[2]Sheet1!$C$5:$D$65000,2,0)</f>
        <v>#N/A</v>
      </c>
      <c r="E112" s="97"/>
      <c r="F112" s="97"/>
      <c r="G112" s="98">
        <f t="shared" si="8"/>
        <v>0</v>
      </c>
      <c r="H112" s="99">
        <f t="shared" si="7"/>
        <v>0</v>
      </c>
      <c r="I112" s="6"/>
      <c r="J112" s="99"/>
      <c r="K112" s="98"/>
      <c r="L112" s="115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</row>
    <row r="113" spans="1:43" s="88" customFormat="1" ht="23.1" customHeight="1">
      <c r="A113" s="6">
        <v>111</v>
      </c>
      <c r="B113" s="6"/>
      <c r="C113" s="103"/>
      <c r="D113" s="97" t="e">
        <f>VLOOKUP(C113,[2]Sheet1!$C$5:$D$65000,2,0)</f>
        <v>#N/A</v>
      </c>
      <c r="E113" s="97"/>
      <c r="F113" s="97"/>
      <c r="G113" s="98">
        <f t="shared" si="8"/>
        <v>0</v>
      </c>
      <c r="H113" s="99">
        <f t="shared" si="7"/>
        <v>0</v>
      </c>
      <c r="I113" s="6"/>
      <c r="J113" s="99"/>
      <c r="K113" s="98"/>
      <c r="L113" s="115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</row>
    <row r="114" spans="1:43" s="88" customFormat="1" ht="23.1" customHeight="1">
      <c r="A114" s="6">
        <v>112</v>
      </c>
      <c r="B114" s="6"/>
      <c r="C114" s="103"/>
      <c r="D114" s="97" t="e">
        <f>VLOOKUP(C114,[2]Sheet1!$C$5:$D$65000,2,0)</f>
        <v>#N/A</v>
      </c>
      <c r="E114" s="97"/>
      <c r="F114" s="97"/>
      <c r="G114" s="98">
        <f t="shared" si="8"/>
        <v>0</v>
      </c>
      <c r="H114" s="99">
        <f t="shared" si="7"/>
        <v>0</v>
      </c>
      <c r="I114" s="6"/>
      <c r="J114" s="99"/>
      <c r="K114" s="98"/>
      <c r="L114" s="115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0"/>
      <c r="AP114" s="110"/>
      <c r="AQ114" s="110"/>
    </row>
    <row r="115" spans="1:43" s="88" customFormat="1" ht="23.1" customHeight="1">
      <c r="A115" s="6">
        <v>113</v>
      </c>
      <c r="B115" s="6"/>
      <c r="C115" s="103"/>
      <c r="D115" s="97" t="e">
        <f>VLOOKUP(C115,[2]Sheet1!$C$5:$D$65000,2,0)</f>
        <v>#N/A</v>
      </c>
      <c r="E115" s="97"/>
      <c r="F115" s="97"/>
      <c r="G115" s="98">
        <f t="shared" si="8"/>
        <v>0</v>
      </c>
      <c r="H115" s="99">
        <f t="shared" si="7"/>
        <v>0</v>
      </c>
      <c r="I115" s="6"/>
      <c r="J115" s="99"/>
      <c r="K115" s="98"/>
      <c r="L115" s="115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</row>
    <row r="116" spans="1:43" s="88" customFormat="1" ht="23.1" customHeight="1">
      <c r="A116" s="6">
        <v>114</v>
      </c>
      <c r="B116" s="6"/>
      <c r="C116" s="103"/>
      <c r="D116" s="97" t="e">
        <f>VLOOKUP(C116,[2]Sheet1!$C$5:$D$65000,2,0)</f>
        <v>#N/A</v>
      </c>
      <c r="E116" s="97"/>
      <c r="F116" s="97"/>
      <c r="G116" s="98">
        <f t="shared" si="8"/>
        <v>0</v>
      </c>
      <c r="H116" s="99">
        <f t="shared" si="7"/>
        <v>0</v>
      </c>
      <c r="I116" s="6"/>
      <c r="J116" s="99"/>
      <c r="K116" s="98"/>
      <c r="L116" s="115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</row>
    <row r="117" spans="1:43" s="88" customFormat="1" ht="23.1" customHeight="1">
      <c r="A117" s="6">
        <v>115</v>
      </c>
      <c r="B117" s="6"/>
      <c r="C117" s="103"/>
      <c r="D117" s="97" t="e">
        <f>VLOOKUP(C117,[2]Sheet1!$C$5:$D$65000,2,0)</f>
        <v>#N/A</v>
      </c>
      <c r="E117" s="97"/>
      <c r="F117" s="97"/>
      <c r="G117" s="98">
        <f t="shared" si="8"/>
        <v>0</v>
      </c>
      <c r="H117" s="99">
        <f t="shared" si="7"/>
        <v>0</v>
      </c>
      <c r="I117" s="6"/>
      <c r="J117" s="99"/>
      <c r="K117" s="98"/>
      <c r="L117" s="115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</row>
    <row r="118" spans="1:43" s="88" customFormat="1" ht="23.1" customHeight="1">
      <c r="A118" s="6">
        <v>116</v>
      </c>
      <c r="B118" s="6"/>
      <c r="C118" s="103"/>
      <c r="D118" s="97" t="e">
        <f>VLOOKUP(C118,[2]Sheet1!$C$5:$D$65000,2,0)</f>
        <v>#N/A</v>
      </c>
      <c r="E118" s="97"/>
      <c r="F118" s="97"/>
      <c r="G118" s="98">
        <f t="shared" si="8"/>
        <v>0</v>
      </c>
      <c r="H118" s="99">
        <f t="shared" si="7"/>
        <v>0</v>
      </c>
      <c r="I118" s="6"/>
      <c r="J118" s="99"/>
      <c r="K118" s="98"/>
      <c r="L118" s="115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</row>
    <row r="119" spans="1:43" s="88" customFormat="1" ht="23.1" customHeight="1">
      <c r="A119" s="6">
        <v>117</v>
      </c>
      <c r="B119" s="6"/>
      <c r="C119" s="103"/>
      <c r="D119" s="97" t="e">
        <f>VLOOKUP(C119,[2]Sheet1!$C$5:$D$65000,2,0)</f>
        <v>#N/A</v>
      </c>
      <c r="E119" s="97"/>
      <c r="F119" s="97"/>
      <c r="G119" s="98">
        <f t="shared" si="8"/>
        <v>0</v>
      </c>
      <c r="H119" s="99">
        <f t="shared" si="7"/>
        <v>0</v>
      </c>
      <c r="I119" s="6"/>
      <c r="J119" s="99"/>
      <c r="K119" s="98"/>
      <c r="L119" s="115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</row>
    <row r="120" spans="1:43" s="88" customFormat="1" ht="23.1" customHeight="1">
      <c r="A120" s="6">
        <v>118</v>
      </c>
      <c r="B120" s="6"/>
      <c r="C120" s="103"/>
      <c r="D120" s="97" t="e">
        <f>VLOOKUP(C120,[2]Sheet1!$C$5:$D$65000,2,0)</f>
        <v>#N/A</v>
      </c>
      <c r="E120" s="97"/>
      <c r="F120" s="97"/>
      <c r="G120" s="98">
        <f t="shared" si="8"/>
        <v>0</v>
      </c>
      <c r="H120" s="99">
        <f t="shared" si="7"/>
        <v>0</v>
      </c>
      <c r="I120" s="6"/>
      <c r="J120" s="99"/>
      <c r="K120" s="98"/>
      <c r="L120" s="115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</row>
    <row r="121" spans="1:43" s="88" customFormat="1" ht="23.1" customHeight="1">
      <c r="A121" s="6">
        <v>119</v>
      </c>
      <c r="B121" s="6"/>
      <c r="C121" s="103"/>
      <c r="D121" s="97" t="e">
        <f>VLOOKUP(C121,[2]Sheet1!$C$5:$D$65000,2,0)</f>
        <v>#N/A</v>
      </c>
      <c r="E121" s="97"/>
      <c r="F121" s="97"/>
      <c r="G121" s="98">
        <f t="shared" si="8"/>
        <v>0</v>
      </c>
      <c r="H121" s="99">
        <f t="shared" si="7"/>
        <v>0</v>
      </c>
      <c r="I121" s="6"/>
      <c r="J121" s="99"/>
      <c r="K121" s="98"/>
      <c r="L121" s="115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0"/>
    </row>
    <row r="122" spans="1:43" s="88" customFormat="1" ht="23.1" customHeight="1">
      <c r="A122" s="6">
        <v>120</v>
      </c>
      <c r="B122" s="6"/>
      <c r="C122" s="103"/>
      <c r="D122" s="97" t="e">
        <f>VLOOKUP(C122,[2]Sheet1!$C$5:$D$65000,2,0)</f>
        <v>#N/A</v>
      </c>
      <c r="E122" s="97"/>
      <c r="F122" s="97"/>
      <c r="G122" s="98">
        <f t="shared" si="8"/>
        <v>0</v>
      </c>
      <c r="H122" s="99">
        <f t="shared" si="7"/>
        <v>0</v>
      </c>
      <c r="I122" s="6"/>
      <c r="J122" s="99"/>
      <c r="K122" s="98"/>
      <c r="L122" s="115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</row>
    <row r="123" spans="1:43" s="88" customFormat="1" ht="23.1" customHeight="1">
      <c r="A123" s="6">
        <v>121</v>
      </c>
      <c r="B123" s="6"/>
      <c r="C123" s="103"/>
      <c r="D123" s="97" t="e">
        <f>VLOOKUP(C123,[2]Sheet1!$C$5:$D$65000,2,0)</f>
        <v>#N/A</v>
      </c>
      <c r="E123" s="97"/>
      <c r="F123" s="97"/>
      <c r="G123" s="98">
        <f t="shared" si="8"/>
        <v>0</v>
      </c>
      <c r="H123" s="99">
        <f t="shared" si="7"/>
        <v>0</v>
      </c>
      <c r="I123" s="6"/>
      <c r="J123" s="99"/>
      <c r="K123" s="98"/>
      <c r="L123" s="115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0"/>
    </row>
    <row r="124" spans="1:43" s="88" customFormat="1" ht="23.1" customHeight="1">
      <c r="A124" s="6">
        <v>122</v>
      </c>
      <c r="B124" s="6"/>
      <c r="C124" s="103"/>
      <c r="D124" s="97" t="e">
        <f>VLOOKUP(C124,[2]Sheet1!$C$5:$D$65000,2,0)</f>
        <v>#N/A</v>
      </c>
      <c r="E124" s="97"/>
      <c r="F124" s="97"/>
      <c r="G124" s="98">
        <f t="shared" si="8"/>
        <v>0</v>
      </c>
      <c r="H124" s="99">
        <f t="shared" si="7"/>
        <v>0</v>
      </c>
      <c r="I124" s="6"/>
      <c r="J124" s="99"/>
      <c r="K124" s="98"/>
      <c r="L124" s="115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0"/>
    </row>
    <row r="125" spans="1:43" s="88" customFormat="1" ht="23.1" customHeight="1">
      <c r="A125" s="6">
        <v>123</v>
      </c>
      <c r="B125" s="6"/>
      <c r="C125" s="103"/>
      <c r="D125" s="97" t="e">
        <f>VLOOKUP(C125,[2]Sheet1!$C$5:$D$65000,2,0)</f>
        <v>#N/A</v>
      </c>
      <c r="E125" s="97"/>
      <c r="F125" s="97"/>
      <c r="G125" s="98">
        <f t="shared" si="8"/>
        <v>0</v>
      </c>
      <c r="H125" s="99">
        <f t="shared" si="7"/>
        <v>0</v>
      </c>
      <c r="I125" s="6"/>
      <c r="J125" s="99"/>
      <c r="K125" s="98"/>
      <c r="L125" s="115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  <c r="AN125" s="110"/>
      <c r="AO125" s="110"/>
      <c r="AP125" s="110"/>
      <c r="AQ125" s="110"/>
    </row>
    <row r="126" spans="1:43" s="88" customFormat="1" ht="23.1" customHeight="1">
      <c r="A126" s="6">
        <v>124</v>
      </c>
      <c r="B126" s="6"/>
      <c r="C126" s="103"/>
      <c r="D126" s="97" t="e">
        <f>VLOOKUP(C126,[2]Sheet1!$C$5:$D$65000,2,0)</f>
        <v>#N/A</v>
      </c>
      <c r="E126" s="97"/>
      <c r="F126" s="97"/>
      <c r="G126" s="98">
        <f t="shared" si="8"/>
        <v>0</v>
      </c>
      <c r="H126" s="99">
        <f t="shared" si="7"/>
        <v>0</v>
      </c>
      <c r="I126" s="6"/>
      <c r="J126" s="99"/>
      <c r="K126" s="98"/>
      <c r="L126" s="115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0"/>
    </row>
    <row r="127" spans="1:43" s="88" customFormat="1" ht="23.1" customHeight="1">
      <c r="A127" s="6">
        <v>125</v>
      </c>
      <c r="B127" s="6"/>
      <c r="C127" s="103"/>
      <c r="D127" s="97" t="e">
        <f>VLOOKUP(C127,[2]Sheet1!$C$5:$D$65000,2,0)</f>
        <v>#N/A</v>
      </c>
      <c r="E127" s="97"/>
      <c r="F127" s="97"/>
      <c r="G127" s="98">
        <f t="shared" si="8"/>
        <v>0</v>
      </c>
      <c r="H127" s="99">
        <f t="shared" si="7"/>
        <v>0</v>
      </c>
      <c r="I127" s="6"/>
      <c r="J127" s="99"/>
      <c r="K127" s="98"/>
      <c r="L127" s="115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</row>
    <row r="128" spans="1:43" s="88" customFormat="1" ht="23.1" customHeight="1">
      <c r="A128" s="6">
        <v>126</v>
      </c>
      <c r="B128" s="6"/>
      <c r="C128" s="103"/>
      <c r="D128" s="97" t="e">
        <f>VLOOKUP(C128,[2]Sheet1!$C$5:$D$65000,2,0)</f>
        <v>#N/A</v>
      </c>
      <c r="E128" s="97"/>
      <c r="F128" s="97"/>
      <c r="G128" s="98">
        <f t="shared" si="8"/>
        <v>0</v>
      </c>
      <c r="H128" s="99">
        <f t="shared" ref="H128:H141" si="9">E128-G128</f>
        <v>0</v>
      </c>
      <c r="I128" s="6"/>
      <c r="J128" s="99"/>
      <c r="K128" s="98"/>
      <c r="L128" s="115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</row>
    <row r="129" spans="1:43" s="88" customFormat="1" ht="23.1" customHeight="1">
      <c r="A129" s="6">
        <v>127</v>
      </c>
      <c r="B129" s="6"/>
      <c r="C129" s="103"/>
      <c r="D129" s="97" t="e">
        <f>VLOOKUP(C129,[2]Sheet1!$C$5:$D$65000,2,0)</f>
        <v>#N/A</v>
      </c>
      <c r="E129" s="97"/>
      <c r="F129" s="97"/>
      <c r="G129" s="98">
        <f t="shared" si="8"/>
        <v>0</v>
      </c>
      <c r="H129" s="99">
        <f t="shared" si="9"/>
        <v>0</v>
      </c>
      <c r="I129" s="6"/>
      <c r="J129" s="99"/>
      <c r="K129" s="98"/>
      <c r="L129" s="115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</row>
    <row r="130" spans="1:43" s="88" customFormat="1" ht="23.1" customHeight="1">
      <c r="A130" s="6">
        <v>128</v>
      </c>
      <c r="B130" s="6"/>
      <c r="C130" s="103"/>
      <c r="D130" s="97" t="e">
        <f>VLOOKUP(C130,[2]Sheet1!$C$5:$D$65000,2,0)</f>
        <v>#N/A</v>
      </c>
      <c r="E130" s="97"/>
      <c r="F130" s="97"/>
      <c r="G130" s="98">
        <f t="shared" si="8"/>
        <v>0</v>
      </c>
      <c r="H130" s="99">
        <f t="shared" si="9"/>
        <v>0</v>
      </c>
      <c r="I130" s="6"/>
      <c r="J130" s="99"/>
      <c r="K130" s="98"/>
      <c r="L130" s="115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</row>
    <row r="131" spans="1:43" s="88" customFormat="1" ht="23.1" customHeight="1">
      <c r="A131" s="6">
        <v>129</v>
      </c>
      <c r="B131" s="6"/>
      <c r="C131" s="103"/>
      <c r="D131" s="97" t="e">
        <f>VLOOKUP(C131,[2]Sheet1!$C$5:$D$65000,2,0)</f>
        <v>#N/A</v>
      </c>
      <c r="E131" s="97"/>
      <c r="F131" s="97"/>
      <c r="G131" s="98">
        <f t="shared" ref="G131:G141" si="10">SUM(M131:AQ131)</f>
        <v>0</v>
      </c>
      <c r="H131" s="99">
        <f t="shared" si="9"/>
        <v>0</v>
      </c>
      <c r="I131" s="6"/>
      <c r="J131" s="99"/>
      <c r="K131" s="98"/>
      <c r="L131" s="115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</row>
    <row r="132" spans="1:43" s="88" customFormat="1" ht="23.1" customHeight="1">
      <c r="A132" s="6">
        <v>130</v>
      </c>
      <c r="B132" s="6"/>
      <c r="C132" s="103"/>
      <c r="D132" s="97" t="e">
        <f>VLOOKUP(C132,[2]Sheet1!$C$5:$D$65000,2,0)</f>
        <v>#N/A</v>
      </c>
      <c r="E132" s="97"/>
      <c r="F132" s="97"/>
      <c r="G132" s="98">
        <f t="shared" si="10"/>
        <v>0</v>
      </c>
      <c r="H132" s="99">
        <f t="shared" si="9"/>
        <v>0</v>
      </c>
      <c r="I132" s="6"/>
      <c r="J132" s="99"/>
      <c r="K132" s="98"/>
      <c r="L132" s="115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</row>
    <row r="133" spans="1:43" s="88" customFormat="1" ht="23.1" customHeight="1">
      <c r="A133" s="6">
        <v>131</v>
      </c>
      <c r="B133" s="6"/>
      <c r="C133" s="103"/>
      <c r="D133" s="97" t="e">
        <f>VLOOKUP(C133,[2]Sheet1!$C$5:$D$65000,2,0)</f>
        <v>#N/A</v>
      </c>
      <c r="E133" s="97"/>
      <c r="F133" s="97"/>
      <c r="G133" s="98">
        <f t="shared" si="10"/>
        <v>0</v>
      </c>
      <c r="H133" s="99">
        <f t="shared" si="9"/>
        <v>0</v>
      </c>
      <c r="I133" s="6"/>
      <c r="J133" s="99"/>
      <c r="K133" s="98"/>
      <c r="L133" s="115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</row>
    <row r="134" spans="1:43" s="88" customFormat="1" ht="23.1" customHeight="1">
      <c r="A134" s="6">
        <v>132</v>
      </c>
      <c r="B134" s="6"/>
      <c r="C134" s="103"/>
      <c r="D134" s="97" t="e">
        <f>VLOOKUP(C134,[2]Sheet1!$C$5:$D$65000,2,0)</f>
        <v>#N/A</v>
      </c>
      <c r="E134" s="97"/>
      <c r="F134" s="97"/>
      <c r="G134" s="98">
        <f t="shared" si="10"/>
        <v>0</v>
      </c>
      <c r="H134" s="99">
        <f t="shared" si="9"/>
        <v>0</v>
      </c>
      <c r="I134" s="6"/>
      <c r="J134" s="99"/>
      <c r="K134" s="98"/>
      <c r="L134" s="115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</row>
    <row r="135" spans="1:43" s="88" customFormat="1" ht="23.1" customHeight="1">
      <c r="A135" s="6">
        <v>133</v>
      </c>
      <c r="B135" s="6"/>
      <c r="C135" s="103"/>
      <c r="D135" s="97" t="e">
        <f>VLOOKUP(C135,[2]Sheet1!$C$5:$D$65000,2,0)</f>
        <v>#N/A</v>
      </c>
      <c r="E135" s="97"/>
      <c r="F135" s="97"/>
      <c r="G135" s="98">
        <f t="shared" si="10"/>
        <v>0</v>
      </c>
      <c r="H135" s="99">
        <f t="shared" si="9"/>
        <v>0</v>
      </c>
      <c r="I135" s="6"/>
      <c r="J135" s="99"/>
      <c r="K135" s="98"/>
      <c r="L135" s="115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0"/>
    </row>
    <row r="136" spans="1:43" s="88" customFormat="1" ht="23.1" customHeight="1">
      <c r="A136" s="6">
        <v>134</v>
      </c>
      <c r="B136" s="6"/>
      <c r="C136" s="103"/>
      <c r="D136" s="97" t="e">
        <f>VLOOKUP(C136,[2]Sheet1!$C$5:$D$65000,2,0)</f>
        <v>#N/A</v>
      </c>
      <c r="E136" s="97"/>
      <c r="F136" s="97"/>
      <c r="G136" s="98">
        <f t="shared" si="10"/>
        <v>0</v>
      </c>
      <c r="H136" s="99">
        <f t="shared" si="9"/>
        <v>0</v>
      </c>
      <c r="I136" s="6"/>
      <c r="J136" s="99"/>
      <c r="K136" s="98"/>
      <c r="L136" s="115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0"/>
    </row>
    <row r="137" spans="1:43" s="88" customFormat="1" ht="23.1" customHeight="1">
      <c r="A137" s="6">
        <v>135</v>
      </c>
      <c r="B137" s="6"/>
      <c r="C137" s="103"/>
      <c r="D137" s="97" t="e">
        <f>VLOOKUP(C137,[2]Sheet1!$C$5:$D$65000,2,0)</f>
        <v>#N/A</v>
      </c>
      <c r="E137" s="97"/>
      <c r="F137" s="97"/>
      <c r="G137" s="98">
        <f t="shared" si="10"/>
        <v>0</v>
      </c>
      <c r="H137" s="99">
        <f t="shared" si="9"/>
        <v>0</v>
      </c>
      <c r="I137" s="6"/>
      <c r="J137" s="99"/>
      <c r="K137" s="98"/>
      <c r="L137" s="115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</row>
    <row r="138" spans="1:43" s="88" customFormat="1" ht="23.1" customHeight="1">
      <c r="A138" s="6">
        <v>136</v>
      </c>
      <c r="B138" s="6"/>
      <c r="C138" s="103"/>
      <c r="D138" s="97" t="e">
        <f>VLOOKUP(C138,[2]Sheet1!$C$5:$D$65000,2,0)</f>
        <v>#N/A</v>
      </c>
      <c r="E138" s="97"/>
      <c r="F138" s="97"/>
      <c r="G138" s="98">
        <f t="shared" si="10"/>
        <v>0</v>
      </c>
      <c r="H138" s="99">
        <f t="shared" si="9"/>
        <v>0</v>
      </c>
      <c r="I138" s="6"/>
      <c r="J138" s="99"/>
      <c r="K138" s="98"/>
      <c r="L138" s="115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0"/>
    </row>
    <row r="139" spans="1:43" s="88" customFormat="1" ht="23.1" customHeight="1">
      <c r="A139" s="6">
        <v>137</v>
      </c>
      <c r="B139" s="6"/>
      <c r="C139" s="103"/>
      <c r="D139" s="97" t="e">
        <f>VLOOKUP(C139,[2]Sheet1!$C$5:$D$65000,2,0)</f>
        <v>#N/A</v>
      </c>
      <c r="E139" s="97"/>
      <c r="F139" s="97"/>
      <c r="G139" s="98">
        <f t="shared" si="10"/>
        <v>0</v>
      </c>
      <c r="H139" s="99">
        <f t="shared" si="9"/>
        <v>0</v>
      </c>
      <c r="I139" s="6"/>
      <c r="J139" s="99"/>
      <c r="K139" s="98"/>
      <c r="L139" s="115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</row>
    <row r="140" spans="1:43" s="88" customFormat="1" ht="23.1" customHeight="1">
      <c r="A140" s="6">
        <v>138</v>
      </c>
      <c r="B140" s="6"/>
      <c r="C140" s="103"/>
      <c r="D140" s="97" t="e">
        <f>VLOOKUP(C140,[2]Sheet1!$C$5:$D$65000,2,0)</f>
        <v>#N/A</v>
      </c>
      <c r="E140" s="97"/>
      <c r="F140" s="97"/>
      <c r="G140" s="98">
        <f t="shared" si="10"/>
        <v>0</v>
      </c>
      <c r="H140" s="99">
        <f t="shared" si="9"/>
        <v>0</v>
      </c>
      <c r="I140" s="6"/>
      <c r="J140" s="99"/>
      <c r="K140" s="98"/>
      <c r="L140" s="115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0"/>
    </row>
    <row r="141" spans="1:43" s="88" customFormat="1" ht="23.1" customHeight="1">
      <c r="A141" s="6">
        <v>139</v>
      </c>
      <c r="B141" s="6"/>
      <c r="C141" s="103"/>
      <c r="D141" s="97" t="e">
        <f>VLOOKUP(C141,[2]Sheet1!$C$5:$D$65000,2,0)</f>
        <v>#N/A</v>
      </c>
      <c r="E141" s="97"/>
      <c r="F141" s="97"/>
      <c r="G141" s="98">
        <f t="shared" si="10"/>
        <v>0</v>
      </c>
      <c r="H141" s="99">
        <f t="shared" si="9"/>
        <v>0</v>
      </c>
      <c r="I141" s="6"/>
      <c r="J141" s="99"/>
      <c r="K141" s="98"/>
      <c r="L141" s="115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0"/>
    </row>
    <row r="142" spans="1:43" s="88" customFormat="1" ht="23.1" customHeight="1">
      <c r="A142" s="6">
        <v>140</v>
      </c>
      <c r="B142" s="6"/>
      <c r="C142" s="103"/>
      <c r="D142" s="97"/>
      <c r="E142" s="97"/>
      <c r="F142" s="97"/>
      <c r="G142" s="98"/>
      <c r="H142" s="99"/>
      <c r="I142" s="6"/>
      <c r="J142" s="99"/>
      <c r="K142" s="98"/>
      <c r="L142" s="115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10"/>
      <c r="AO142" s="110"/>
      <c r="AP142" s="110"/>
      <c r="AQ142" s="110"/>
    </row>
    <row r="143" spans="1:43" s="88" customFormat="1" ht="23.1" customHeight="1">
      <c r="A143" s="6">
        <v>141</v>
      </c>
      <c r="B143" s="6"/>
      <c r="C143" s="103"/>
      <c r="D143" s="97"/>
      <c r="E143" s="97"/>
      <c r="F143" s="97"/>
      <c r="G143" s="98"/>
      <c r="H143" s="99"/>
      <c r="I143" s="6"/>
      <c r="J143" s="99"/>
      <c r="K143" s="98"/>
      <c r="L143" s="115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10"/>
      <c r="AO143" s="110"/>
      <c r="AP143" s="110"/>
      <c r="AQ143" s="110"/>
    </row>
    <row r="156" spans="42:42">
      <c r="AP156" s="111"/>
    </row>
  </sheetData>
  <autoFilter ref="A2:AP143" xr:uid="{00000000-0009-0000-0000-000000000000}"/>
  <mergeCells count="3">
    <mergeCell ref="A1:C1"/>
    <mergeCell ref="D1:G1"/>
    <mergeCell ref="I1:J1"/>
  </mergeCells>
  <conditionalFormatting sqref="C3 C15:C91">
    <cfRule type="duplicateValues" dxfId="48" priority="134"/>
  </conditionalFormatting>
  <conditionalFormatting sqref="C3 C15:C124">
    <cfRule type="duplicateValues" dxfId="47" priority="133"/>
  </conditionalFormatting>
  <conditionalFormatting sqref="C4:C6">
    <cfRule type="duplicateValues" dxfId="46" priority="9"/>
    <cfRule type="duplicateValues" dxfId="45" priority="10"/>
  </conditionalFormatting>
  <conditionalFormatting sqref="C7:C8">
    <cfRule type="duplicateValues" dxfId="44" priority="7"/>
    <cfRule type="duplicateValues" dxfId="43" priority="8"/>
  </conditionalFormatting>
  <conditionalFormatting sqref="C9">
    <cfRule type="duplicateValues" dxfId="42" priority="5"/>
    <cfRule type="duplicateValues" dxfId="41" priority="6"/>
  </conditionalFormatting>
  <conditionalFormatting sqref="C10:C12">
    <cfRule type="duplicateValues" dxfId="40" priority="3"/>
    <cfRule type="duplicateValues" dxfId="39" priority="4"/>
  </conditionalFormatting>
  <conditionalFormatting sqref="C13:C14">
    <cfRule type="duplicateValues" dxfId="38" priority="1"/>
    <cfRule type="duplicateValues" dxfId="37" priority="2"/>
  </conditionalFormatting>
  <conditionalFormatting sqref="C92:C100">
    <cfRule type="duplicateValues" dxfId="36" priority="654"/>
  </conditionalFormatting>
  <conditionalFormatting sqref="C92:C124">
    <cfRule type="duplicateValues" dxfId="35" priority="152"/>
  </conditionalFormatting>
  <conditionalFormatting sqref="C101:C124">
    <cfRule type="duplicateValues" dxfId="34" priority="716"/>
  </conditionalFormatting>
  <conditionalFormatting sqref="C125:C126">
    <cfRule type="duplicateValues" dxfId="33" priority="132"/>
  </conditionalFormatting>
  <conditionalFormatting sqref="C127:C128">
    <cfRule type="duplicateValues" dxfId="32" priority="131"/>
  </conditionalFormatting>
  <conditionalFormatting sqref="C129:C130">
    <cfRule type="duplicateValues" dxfId="31" priority="130"/>
  </conditionalFormatting>
  <conditionalFormatting sqref="C131:C132">
    <cfRule type="duplicateValues" dxfId="30" priority="129"/>
  </conditionalFormatting>
  <conditionalFormatting sqref="C133:C134">
    <cfRule type="duplicateValues" dxfId="29" priority="128"/>
  </conditionalFormatting>
  <conditionalFormatting sqref="C135:C136">
    <cfRule type="duplicateValues" dxfId="28" priority="127"/>
  </conditionalFormatting>
  <conditionalFormatting sqref="C137:C138">
    <cfRule type="duplicateValues" dxfId="27" priority="126"/>
  </conditionalFormatting>
  <conditionalFormatting sqref="C139">
    <cfRule type="duplicateValues" dxfId="26" priority="125"/>
  </conditionalFormatting>
  <conditionalFormatting sqref="C140">
    <cfRule type="duplicateValues" dxfId="25" priority="52"/>
  </conditionalFormatting>
  <conditionalFormatting sqref="C141">
    <cfRule type="duplicateValues" dxfId="24" priority="51"/>
  </conditionalFormatting>
  <conditionalFormatting sqref="C142">
    <cfRule type="duplicateValues" dxfId="23" priority="50"/>
  </conditionalFormatting>
  <conditionalFormatting sqref="C143">
    <cfRule type="duplicateValues" dxfId="22" priority="49"/>
  </conditionalFormatting>
  <dataValidations count="1">
    <dataValidation allowBlank="1" showInputMessage="1" showErrorMessage="1" sqref="K16:M16 J3:M15 J17:M66 J67:L68 J69:M1048576 J1:K2" xr:uid="{00000000-0002-0000-0000-000000000000}"/>
  </dataValidations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.109375" defaultRowHeight="14.4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9.109375" defaultRowHeight="14.4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1"/>
  <sheetViews>
    <sheetView topLeftCell="D1" workbookViewId="0">
      <selection activeCell="U2" sqref="U2"/>
    </sheetView>
  </sheetViews>
  <sheetFormatPr defaultColWidth="9.109375" defaultRowHeight="14.4"/>
  <cols>
    <col min="1" max="1" width="10.5546875" customWidth="1"/>
    <col min="17" max="17" width="11.44140625" customWidth="1"/>
  </cols>
  <sheetData>
    <row r="1" spans="1:20" s="73" customFormat="1" ht="86.4">
      <c r="A1" s="74" t="s">
        <v>5</v>
      </c>
      <c r="B1" s="74" t="s">
        <v>31</v>
      </c>
      <c r="C1" s="74" t="s">
        <v>32</v>
      </c>
      <c r="D1" s="75" t="s">
        <v>33</v>
      </c>
      <c r="E1" s="75" t="s">
        <v>34</v>
      </c>
      <c r="F1" s="75" t="s">
        <v>35</v>
      </c>
      <c r="G1" s="75" t="s">
        <v>36</v>
      </c>
      <c r="H1" s="75" t="s">
        <v>37</v>
      </c>
      <c r="I1" s="75" t="s">
        <v>38</v>
      </c>
      <c r="J1" s="76" t="s">
        <v>39</v>
      </c>
      <c r="K1" s="76" t="s">
        <v>40</v>
      </c>
      <c r="L1" s="74" t="s">
        <v>41</v>
      </c>
      <c r="M1" s="74" t="s">
        <v>42</v>
      </c>
      <c r="N1" s="74" t="s">
        <v>43</v>
      </c>
      <c r="O1" s="74" t="s">
        <v>44</v>
      </c>
      <c r="P1" s="74" t="s">
        <v>45</v>
      </c>
      <c r="Q1" s="77">
        <v>46224</v>
      </c>
      <c r="R1" s="40" t="s">
        <v>46</v>
      </c>
      <c r="S1" s="40" t="s">
        <v>47</v>
      </c>
    </row>
    <row r="2" spans="1:20" s="50" customFormat="1">
      <c r="A2" s="17">
        <v>102033</v>
      </c>
      <c r="B2" s="16" t="s">
        <v>48</v>
      </c>
      <c r="C2" s="17" t="str">
        <f>VLOOKUP(A2,[1]Sheet1!$C$5:$D$220000,2,0)</f>
        <v>PIN.IR 6.0X41.00</v>
      </c>
      <c r="D2" s="18">
        <v>6</v>
      </c>
      <c r="E2" s="18">
        <v>41</v>
      </c>
      <c r="F2" s="19">
        <v>2000</v>
      </c>
      <c r="G2" s="19">
        <f t="shared" ref="G2:G11" si="0">F2/E2</f>
        <v>48.780487804878</v>
      </c>
      <c r="H2" s="19">
        <f t="shared" ref="H2:H11" si="1">G2*60</f>
        <v>2926.8292682926799</v>
      </c>
      <c r="I2" s="19">
        <f t="shared" ref="I2:I11" si="2">H2*R2</f>
        <v>27</v>
      </c>
      <c r="J2" s="19">
        <f>43*60</f>
        <v>2580</v>
      </c>
      <c r="K2" s="19">
        <f>VLOOKUP(A2,'[3]Working WIP for CG Bottleneck'!$C$3:$S$13000,13,0)</f>
        <v>5394</v>
      </c>
      <c r="L2" s="16">
        <v>4</v>
      </c>
      <c r="M2" s="19">
        <f t="shared" ref="M2:M11" si="3">K2*L2</f>
        <v>21576</v>
      </c>
      <c r="N2" s="20">
        <f t="shared" ref="N2:N11" si="4">M2/J2</f>
        <v>8.36279069767442</v>
      </c>
      <c r="O2" s="21">
        <v>3</v>
      </c>
      <c r="P2" s="17">
        <f t="shared" ref="P2:P11" si="5">SUM(N2:N2)/16</f>
        <v>0.52267441860465103</v>
      </c>
      <c r="Q2" s="22">
        <f t="shared" ref="Q2:Q11" si="6">+P2+Q1</f>
        <v>46224.5226744186</v>
      </c>
      <c r="R2" s="41">
        <f t="shared" ref="R2:R11" si="7">D2*D2*E2*0.00000625</f>
        <v>9.2250000000000006E-3</v>
      </c>
      <c r="S2" s="24">
        <f t="shared" ref="S2:S11" si="8">I2*8</f>
        <v>216</v>
      </c>
    </row>
    <row r="3" spans="1:20" s="50" customFormat="1">
      <c r="A3" s="17">
        <v>104004</v>
      </c>
      <c r="B3" s="16">
        <v>260207013</v>
      </c>
      <c r="C3" s="17" t="str">
        <f>VLOOKUP(A3,[1]Sheet1!$C$5:$D$220000,2,0)</f>
        <v>SHAFT 12X70</v>
      </c>
      <c r="D3" s="18">
        <v>12</v>
      </c>
      <c r="E3" s="18">
        <v>70</v>
      </c>
      <c r="F3" s="19">
        <v>2000</v>
      </c>
      <c r="G3" s="19">
        <f t="shared" si="0"/>
        <v>28.571428571428601</v>
      </c>
      <c r="H3" s="19">
        <f t="shared" si="1"/>
        <v>1714.2857142857099</v>
      </c>
      <c r="I3" s="19">
        <f t="shared" si="2"/>
        <v>108</v>
      </c>
      <c r="J3" s="19">
        <f>12*60</f>
        <v>720</v>
      </c>
      <c r="K3" s="19">
        <v>5000</v>
      </c>
      <c r="L3" s="16">
        <v>3</v>
      </c>
      <c r="M3" s="19">
        <f t="shared" si="3"/>
        <v>15000</v>
      </c>
      <c r="N3" s="20">
        <f t="shared" si="4"/>
        <v>20.8333333333333</v>
      </c>
      <c r="O3" s="21">
        <v>3</v>
      </c>
      <c r="P3" s="17">
        <f t="shared" si="5"/>
        <v>1.3020833333333299</v>
      </c>
      <c r="Q3" s="22">
        <f t="shared" si="6"/>
        <v>46225.8247577519</v>
      </c>
      <c r="R3" s="41">
        <f t="shared" si="7"/>
        <v>6.3E-2</v>
      </c>
      <c r="S3" s="24">
        <f t="shared" si="8"/>
        <v>864</v>
      </c>
    </row>
    <row r="4" spans="1:20" s="50" customFormat="1">
      <c r="A4" s="17">
        <v>100006</v>
      </c>
      <c r="B4" s="16">
        <v>260219008</v>
      </c>
      <c r="C4" s="17" t="str">
        <f>VLOOKUP(A4,[1]Sheet1!$C$5:$D$220000,2,0)</f>
        <v>SHAFT10X74</v>
      </c>
      <c r="D4" s="18">
        <v>10</v>
      </c>
      <c r="E4" s="18">
        <v>74</v>
      </c>
      <c r="F4" s="19">
        <v>2000</v>
      </c>
      <c r="G4" s="19">
        <f t="shared" si="0"/>
        <v>27.027027027027</v>
      </c>
      <c r="H4" s="19">
        <f t="shared" si="1"/>
        <v>1621.6216216216201</v>
      </c>
      <c r="I4" s="19">
        <f t="shared" si="2"/>
        <v>75</v>
      </c>
      <c r="J4" s="19">
        <f>12*60</f>
        <v>720</v>
      </c>
      <c r="K4" s="19">
        <v>7748</v>
      </c>
      <c r="L4" s="16">
        <v>3</v>
      </c>
      <c r="M4" s="19">
        <f t="shared" si="3"/>
        <v>23244</v>
      </c>
      <c r="N4" s="20">
        <f t="shared" si="4"/>
        <v>32.283333333333303</v>
      </c>
      <c r="O4" s="21">
        <v>3</v>
      </c>
      <c r="P4" s="17">
        <f t="shared" si="5"/>
        <v>2.0177083333333301</v>
      </c>
      <c r="Q4" s="22">
        <f t="shared" si="6"/>
        <v>46227.842466085298</v>
      </c>
      <c r="R4" s="41">
        <f t="shared" si="7"/>
        <v>4.6249999999999999E-2</v>
      </c>
      <c r="S4" s="24">
        <f t="shared" si="8"/>
        <v>600</v>
      </c>
    </row>
    <row r="5" spans="1:20" s="50" customFormat="1">
      <c r="A5" s="15">
        <v>104003</v>
      </c>
      <c r="B5" s="16">
        <v>260327001</v>
      </c>
      <c r="C5" s="17" t="s">
        <v>49</v>
      </c>
      <c r="D5" s="18">
        <v>16</v>
      </c>
      <c r="E5" s="18">
        <v>39.299999999999997</v>
      </c>
      <c r="F5" s="19">
        <v>2000</v>
      </c>
      <c r="G5" s="19">
        <f t="shared" si="0"/>
        <v>50.8905852417303</v>
      </c>
      <c r="H5" s="19">
        <f t="shared" si="1"/>
        <v>3053.4351145038199</v>
      </c>
      <c r="I5" s="19">
        <f t="shared" si="2"/>
        <v>192</v>
      </c>
      <c r="J5" s="19">
        <f>22*60</f>
        <v>1320</v>
      </c>
      <c r="K5" s="19">
        <v>6000</v>
      </c>
      <c r="L5" s="16">
        <v>3</v>
      </c>
      <c r="M5" s="19">
        <f t="shared" si="3"/>
        <v>18000</v>
      </c>
      <c r="N5" s="20">
        <f t="shared" si="4"/>
        <v>13.636363636363599</v>
      </c>
      <c r="O5" s="21">
        <v>3</v>
      </c>
      <c r="P5" s="17">
        <f t="shared" si="5"/>
        <v>0.85227272727272696</v>
      </c>
      <c r="Q5" s="22">
        <f t="shared" si="6"/>
        <v>46228.694738812497</v>
      </c>
      <c r="R5" s="41">
        <f t="shared" si="7"/>
        <v>6.2880000000000005E-2</v>
      </c>
      <c r="S5" s="24">
        <f t="shared" si="8"/>
        <v>1536</v>
      </c>
    </row>
    <row r="6" spans="1:20" s="50" customFormat="1">
      <c r="A6" s="17">
        <v>102032</v>
      </c>
      <c r="B6" s="16">
        <v>250802023</v>
      </c>
      <c r="C6" s="17" t="str">
        <f>VLOOKUP(A6,[1]Sheet1!$C$5:$D$220000,2,0)</f>
        <v>PIN.IR 6.322X37.084</v>
      </c>
      <c r="D6" s="18">
        <v>6.3220000000000001</v>
      </c>
      <c r="E6" s="18">
        <v>37.084000000000003</v>
      </c>
      <c r="F6" s="19">
        <v>2000</v>
      </c>
      <c r="G6" s="19">
        <f t="shared" si="0"/>
        <v>53.931614712544501</v>
      </c>
      <c r="H6" s="19">
        <f t="shared" si="1"/>
        <v>3235.8968827526701</v>
      </c>
      <c r="I6" s="19">
        <f t="shared" si="2"/>
        <v>29.975763000000001</v>
      </c>
      <c r="J6" s="19">
        <f t="shared" ref="J6:J11" si="9">43*60</f>
        <v>2580</v>
      </c>
      <c r="K6" s="19">
        <v>17248</v>
      </c>
      <c r="L6" s="16">
        <f>VLOOKUP(A6,'[3]Working WIP for CG Bottleneck'!$C$3:$S$13000,12,0)</f>
        <v>4</v>
      </c>
      <c r="M6" s="19">
        <f t="shared" si="3"/>
        <v>68992</v>
      </c>
      <c r="N6" s="20">
        <f t="shared" si="4"/>
        <v>26.7410852713178</v>
      </c>
      <c r="O6" s="21">
        <v>3</v>
      </c>
      <c r="P6" s="17">
        <f t="shared" si="5"/>
        <v>1.6713178294573601</v>
      </c>
      <c r="Q6" s="22">
        <f t="shared" si="6"/>
        <v>46230.366056642</v>
      </c>
      <c r="R6" s="41">
        <f t="shared" si="7"/>
        <v>9.2635099591000004E-3</v>
      </c>
      <c r="S6" s="24">
        <f t="shared" si="8"/>
        <v>239.806104</v>
      </c>
    </row>
    <row r="7" spans="1:20" s="50" customFormat="1">
      <c r="A7" s="15">
        <v>502015.1</v>
      </c>
      <c r="B7" s="16" t="s">
        <v>50</v>
      </c>
      <c r="C7" s="17" t="str">
        <f>VLOOKUP(A7,[1]Sheet1!$C$5:$D$220000,2,0)</f>
        <v>RO 7X21 BP</v>
      </c>
      <c r="D7" s="18">
        <v>7</v>
      </c>
      <c r="E7" s="18">
        <v>21</v>
      </c>
      <c r="F7" s="19">
        <v>2000</v>
      </c>
      <c r="G7" s="19">
        <f t="shared" si="0"/>
        <v>95.238095238095198</v>
      </c>
      <c r="H7" s="19">
        <f t="shared" si="1"/>
        <v>5714.2857142857101</v>
      </c>
      <c r="I7" s="19">
        <f t="shared" si="2"/>
        <v>36.75</v>
      </c>
      <c r="J7" s="19">
        <f>86*60</f>
        <v>5160</v>
      </c>
      <c r="K7" s="19">
        <v>18800</v>
      </c>
      <c r="L7" s="16">
        <f>VLOOKUP(A7,'[3]Working WIP for CG Bottleneck'!$C$3:$S$13000,12,0)</f>
        <v>3</v>
      </c>
      <c r="M7" s="19">
        <f t="shared" si="3"/>
        <v>56400</v>
      </c>
      <c r="N7" s="20">
        <f t="shared" si="4"/>
        <v>10.930232558139499</v>
      </c>
      <c r="O7" s="21">
        <v>3</v>
      </c>
      <c r="P7" s="17">
        <f t="shared" si="5"/>
        <v>0.68313953488372103</v>
      </c>
      <c r="Q7" s="22">
        <f t="shared" si="6"/>
        <v>46231.0491961769</v>
      </c>
      <c r="R7" s="41">
        <f t="shared" si="7"/>
        <v>6.4312500000000003E-3</v>
      </c>
      <c r="S7" s="24">
        <f t="shared" si="8"/>
        <v>294</v>
      </c>
    </row>
    <row r="8" spans="1:20" s="50" customFormat="1">
      <c r="A8" s="15">
        <v>102033</v>
      </c>
      <c r="B8" s="16" t="s">
        <v>51</v>
      </c>
      <c r="C8" s="15" t="str">
        <f>VLOOKUP(A8,[1]Sheet1!$C$5:$D$220000,2,0)</f>
        <v>PIN.IR 6.0X41.00</v>
      </c>
      <c r="D8" s="18">
        <v>6</v>
      </c>
      <c r="E8" s="18">
        <v>41</v>
      </c>
      <c r="F8" s="19">
        <v>2000</v>
      </c>
      <c r="G8" s="19">
        <f t="shared" si="0"/>
        <v>48.780487804878</v>
      </c>
      <c r="H8" s="19">
        <f t="shared" si="1"/>
        <v>2926.8292682926799</v>
      </c>
      <c r="I8" s="19">
        <f t="shared" si="2"/>
        <v>27</v>
      </c>
      <c r="J8" s="19">
        <f t="shared" si="9"/>
        <v>2580</v>
      </c>
      <c r="K8" s="19">
        <v>46592</v>
      </c>
      <c r="L8" s="16">
        <v>5</v>
      </c>
      <c r="M8" s="19">
        <f t="shared" si="3"/>
        <v>232960</v>
      </c>
      <c r="N8" s="20">
        <f t="shared" si="4"/>
        <v>90.294573643410899</v>
      </c>
      <c r="O8" s="21">
        <v>3</v>
      </c>
      <c r="P8" s="17">
        <f t="shared" si="5"/>
        <v>5.6434108527131803</v>
      </c>
      <c r="Q8" s="22">
        <f t="shared" si="6"/>
        <v>46236.692607029603</v>
      </c>
      <c r="R8" s="41">
        <f t="shared" si="7"/>
        <v>9.2250000000000006E-3</v>
      </c>
      <c r="S8" s="24">
        <f t="shared" si="8"/>
        <v>216</v>
      </c>
    </row>
    <row r="9" spans="1:20" s="50" customFormat="1">
      <c r="A9" s="78">
        <v>102033</v>
      </c>
      <c r="B9" s="79" t="s">
        <v>52</v>
      </c>
      <c r="C9" s="78" t="s">
        <v>53</v>
      </c>
      <c r="D9" s="80">
        <v>6</v>
      </c>
      <c r="E9" s="80">
        <v>41</v>
      </c>
      <c r="F9" s="81">
        <v>2000</v>
      </c>
      <c r="G9" s="81">
        <f t="shared" si="0"/>
        <v>48.780487804878</v>
      </c>
      <c r="H9" s="81">
        <f t="shared" si="1"/>
        <v>2926.8292682926799</v>
      </c>
      <c r="I9" s="81">
        <f t="shared" si="2"/>
        <v>27</v>
      </c>
      <c r="J9" s="81">
        <f t="shared" si="9"/>
        <v>2580</v>
      </c>
      <c r="K9" s="81">
        <v>46592</v>
      </c>
      <c r="L9" s="79">
        <v>5</v>
      </c>
      <c r="M9" s="81">
        <f t="shared" si="3"/>
        <v>232960</v>
      </c>
      <c r="N9" s="82">
        <f t="shared" si="4"/>
        <v>90.294573643410899</v>
      </c>
      <c r="O9" s="83">
        <v>3</v>
      </c>
      <c r="P9" s="84">
        <f t="shared" si="5"/>
        <v>5.6434108527131803</v>
      </c>
      <c r="Q9" s="85">
        <f t="shared" si="6"/>
        <v>46242.336017882299</v>
      </c>
      <c r="R9" s="41">
        <f t="shared" si="7"/>
        <v>9.2250000000000006E-3</v>
      </c>
      <c r="S9" s="24">
        <f t="shared" si="8"/>
        <v>216</v>
      </c>
      <c r="T9" s="50" t="s">
        <v>54</v>
      </c>
    </row>
    <row r="10" spans="1:20" s="50" customFormat="1">
      <c r="A10" s="28">
        <v>102033</v>
      </c>
      <c r="B10" s="29" t="s">
        <v>55</v>
      </c>
      <c r="C10" s="28" t="s">
        <v>53</v>
      </c>
      <c r="D10" s="30">
        <v>6</v>
      </c>
      <c r="E10" s="30">
        <v>41</v>
      </c>
      <c r="F10" s="31">
        <v>2000</v>
      </c>
      <c r="G10" s="31">
        <f t="shared" si="0"/>
        <v>48.780487804878</v>
      </c>
      <c r="H10" s="31">
        <f t="shared" si="1"/>
        <v>2926.8292682926799</v>
      </c>
      <c r="I10" s="31">
        <f t="shared" si="2"/>
        <v>27</v>
      </c>
      <c r="J10" s="31">
        <f t="shared" si="9"/>
        <v>2580</v>
      </c>
      <c r="K10" s="31">
        <v>60523</v>
      </c>
      <c r="L10" s="29">
        <v>5</v>
      </c>
      <c r="M10" s="31">
        <f t="shared" si="3"/>
        <v>302615</v>
      </c>
      <c r="N10" s="33">
        <f t="shared" si="4"/>
        <v>117.292635658915</v>
      </c>
      <c r="O10" s="32">
        <v>3</v>
      </c>
      <c r="P10" s="34">
        <f t="shared" si="5"/>
        <v>7.3307897286821699</v>
      </c>
      <c r="Q10" s="35">
        <f t="shared" si="6"/>
        <v>46249.666807611</v>
      </c>
      <c r="R10" s="41">
        <f t="shared" si="7"/>
        <v>9.2250000000000006E-3</v>
      </c>
      <c r="S10" s="24">
        <f t="shared" si="8"/>
        <v>216</v>
      </c>
    </row>
    <row r="11" spans="1:20" s="50" customFormat="1">
      <c r="A11" s="28">
        <v>102033</v>
      </c>
      <c r="B11" s="29" t="s">
        <v>56</v>
      </c>
      <c r="C11" s="28" t="s">
        <v>53</v>
      </c>
      <c r="D11" s="30">
        <v>6</v>
      </c>
      <c r="E11" s="30">
        <v>41</v>
      </c>
      <c r="F11" s="31">
        <v>2000</v>
      </c>
      <c r="G11" s="31">
        <f t="shared" si="0"/>
        <v>48.780487804878</v>
      </c>
      <c r="H11" s="31">
        <f t="shared" si="1"/>
        <v>2926.8292682926799</v>
      </c>
      <c r="I11" s="31">
        <f t="shared" si="2"/>
        <v>27</v>
      </c>
      <c r="J11" s="31">
        <f t="shared" si="9"/>
        <v>2580</v>
      </c>
      <c r="K11" s="31">
        <v>30082</v>
      </c>
      <c r="L11" s="29">
        <v>5</v>
      </c>
      <c r="M11" s="31">
        <f t="shared" si="3"/>
        <v>150410</v>
      </c>
      <c r="N11" s="33">
        <f t="shared" si="4"/>
        <v>58.298449612403097</v>
      </c>
      <c r="O11" s="32">
        <v>3</v>
      </c>
      <c r="P11" s="34">
        <f t="shared" si="5"/>
        <v>3.64365310077519</v>
      </c>
      <c r="Q11" s="35">
        <f t="shared" si="6"/>
        <v>46253.3104607118</v>
      </c>
      <c r="R11" s="41">
        <f t="shared" si="7"/>
        <v>9.2250000000000006E-3</v>
      </c>
      <c r="S11" s="24">
        <f t="shared" si="8"/>
        <v>216</v>
      </c>
    </row>
  </sheetData>
  <conditionalFormatting sqref="K3:K4">
    <cfRule type="expression" dxfId="21" priority="3">
      <formula>#REF!&lt;&gt;""</formula>
    </cfRule>
  </conditionalFormatting>
  <conditionalFormatting sqref="K6:K11">
    <cfRule type="expression" dxfId="20" priority="1">
      <formula>#REF!&lt;&gt;""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1"/>
  <sheetViews>
    <sheetView topLeftCell="A7" workbookViewId="0">
      <selection activeCell="G35" sqref="G35"/>
    </sheetView>
  </sheetViews>
  <sheetFormatPr defaultColWidth="9.109375" defaultRowHeight="14.4"/>
  <cols>
    <col min="1" max="1" width="14.88671875" customWidth="1"/>
    <col min="2" max="2" width="16.5546875" customWidth="1"/>
    <col min="3" max="3" width="17" customWidth="1"/>
    <col min="17" max="17" width="11.44140625" customWidth="1"/>
  </cols>
  <sheetData>
    <row r="1" spans="1:19" ht="86.4">
      <c r="A1" s="36" t="s">
        <v>5</v>
      </c>
      <c r="B1" s="36" t="s">
        <v>31</v>
      </c>
      <c r="C1" s="36" t="s">
        <v>32</v>
      </c>
      <c r="D1" s="37" t="s">
        <v>33</v>
      </c>
      <c r="E1" s="37" t="s">
        <v>34</v>
      </c>
      <c r="F1" s="37" t="s">
        <v>35</v>
      </c>
      <c r="G1" s="37" t="s">
        <v>36</v>
      </c>
      <c r="H1" s="37" t="s">
        <v>37</v>
      </c>
      <c r="I1" s="11" t="s">
        <v>57</v>
      </c>
      <c r="J1" s="38" t="s">
        <v>39</v>
      </c>
      <c r="K1" s="38" t="s">
        <v>40</v>
      </c>
      <c r="L1" s="36" t="s">
        <v>41</v>
      </c>
      <c r="M1" s="36" t="s">
        <v>42</v>
      </c>
      <c r="N1" s="36" t="s">
        <v>43</v>
      </c>
      <c r="O1" s="36" t="s">
        <v>44</v>
      </c>
      <c r="P1" s="36" t="s">
        <v>45</v>
      </c>
      <c r="Q1" s="39">
        <v>46224</v>
      </c>
      <c r="R1" s="40" t="s">
        <v>46</v>
      </c>
      <c r="S1" s="40" t="s">
        <v>47</v>
      </c>
    </row>
    <row r="2" spans="1:19">
      <c r="A2" s="15">
        <v>511304.01</v>
      </c>
      <c r="B2" s="16" t="s">
        <v>58</v>
      </c>
      <c r="C2" s="17" t="str">
        <f>VLOOKUP(A2,[1]Sheet1!$C$5:$D$220000,2,0)</f>
        <v>RO 4X12.8</v>
      </c>
      <c r="D2" s="18">
        <v>4</v>
      </c>
      <c r="E2" s="18">
        <v>12.8</v>
      </c>
      <c r="F2" s="19">
        <v>4000</v>
      </c>
      <c r="G2" s="18">
        <f t="shared" ref="G2:G31" si="0">F2/E2</f>
        <v>312.5</v>
      </c>
      <c r="H2" s="19">
        <f t="shared" ref="H2:H31" si="1">G2*60</f>
        <v>18750</v>
      </c>
      <c r="I2" s="19">
        <f t="shared" ref="I2:I31" si="2">H2*R2</f>
        <v>24</v>
      </c>
      <c r="J2" s="19">
        <f>VLOOKUP(A2,'[3]Working WIP for CG Bottleneck'!$C$3:$S$13000,11,0)*60</f>
        <v>18750</v>
      </c>
      <c r="K2" s="19">
        <v>143707.359558717</v>
      </c>
      <c r="L2" s="16">
        <f>VLOOKUP(A2,'[3]Working WIP for CG Bottleneck'!$C$3:$S$13000,12,0)</f>
        <v>2</v>
      </c>
      <c r="M2" s="21">
        <f t="shared" ref="M2:M31" si="3">K2*L2</f>
        <v>287414.719117434</v>
      </c>
      <c r="N2" s="20">
        <f t="shared" ref="N2:N31" si="4">M2/J2</f>
        <v>15.3287850195965</v>
      </c>
      <c r="O2" s="21">
        <v>3</v>
      </c>
      <c r="P2" s="17">
        <f t="shared" ref="P2:P31" si="5">SUM(N2:N2)/16</f>
        <v>0.95804906372478005</v>
      </c>
      <c r="Q2" s="22">
        <f t="shared" ref="Q2:Q31" si="6">+P2+Q1</f>
        <v>46224.958049063702</v>
      </c>
      <c r="R2" s="41">
        <f t="shared" ref="R2:R31" si="7">D2*D2*E2*0.00000625</f>
        <v>1.2800000000000001E-3</v>
      </c>
      <c r="S2" s="50">
        <f t="shared" ref="S2:S31" si="8">I2*8</f>
        <v>192</v>
      </c>
    </row>
    <row r="3" spans="1:19">
      <c r="A3" s="15">
        <v>511990</v>
      </c>
      <c r="B3" s="16" t="s">
        <v>59</v>
      </c>
      <c r="C3" s="17" t="str">
        <f>VLOOKUP(A3,[1]Sheet1!$C$5:$D$220000,2,0)</f>
        <v>RO 3.5X25.4</v>
      </c>
      <c r="D3" s="18">
        <v>3.5</v>
      </c>
      <c r="E3" s="18">
        <v>25.4</v>
      </c>
      <c r="F3" s="19">
        <v>4000</v>
      </c>
      <c r="G3" s="18">
        <f t="shared" si="0"/>
        <v>157.48031496063001</v>
      </c>
      <c r="H3" s="19">
        <f t="shared" si="1"/>
        <v>9448.8188976378005</v>
      </c>
      <c r="I3" s="19">
        <f t="shared" si="2"/>
        <v>18.375</v>
      </c>
      <c r="J3" s="19">
        <f>VLOOKUP(A3,'[3]Working WIP for CG Bottleneck'!$C$3:$S$13000,11,0)*60</f>
        <v>9448.8188976378005</v>
      </c>
      <c r="K3" s="19">
        <v>116873</v>
      </c>
      <c r="L3" s="16">
        <f>VLOOKUP(A3,'[3]Working WIP for CG Bottleneck'!$C$3:$S$13000,12,0)</f>
        <v>2</v>
      </c>
      <c r="M3" s="16">
        <f t="shared" si="3"/>
        <v>233746</v>
      </c>
      <c r="N3" s="20">
        <f t="shared" si="4"/>
        <v>24.738118333333301</v>
      </c>
      <c r="O3" s="21">
        <v>3</v>
      </c>
      <c r="P3" s="17">
        <f t="shared" si="5"/>
        <v>1.54613239583333</v>
      </c>
      <c r="Q3" s="22">
        <f t="shared" si="6"/>
        <v>46226.504181459597</v>
      </c>
      <c r="R3" s="41">
        <f t="shared" si="7"/>
        <v>1.9446875E-3</v>
      </c>
      <c r="S3" s="50">
        <f t="shared" si="8"/>
        <v>147</v>
      </c>
    </row>
    <row r="4" spans="1:19">
      <c r="A4" s="15">
        <v>503146</v>
      </c>
      <c r="B4" s="16">
        <v>251208009</v>
      </c>
      <c r="C4" s="16" t="s">
        <v>60</v>
      </c>
      <c r="D4" s="18">
        <v>3.5</v>
      </c>
      <c r="E4" s="18">
        <v>10.3</v>
      </c>
      <c r="F4" s="19">
        <v>4000</v>
      </c>
      <c r="G4" s="18">
        <f t="shared" si="0"/>
        <v>388.34951456310699</v>
      </c>
      <c r="H4" s="19">
        <f t="shared" si="1"/>
        <v>23300.970873786398</v>
      </c>
      <c r="I4" s="19">
        <f t="shared" si="2"/>
        <v>18.375</v>
      </c>
      <c r="J4" s="19">
        <f>VLOOKUP(A4,'[3]Working WIP for CG Bottleneck'!$C$3:$S$13000,11,0)*60</f>
        <v>23300.970873786398</v>
      </c>
      <c r="K4" s="19">
        <v>11347</v>
      </c>
      <c r="L4" s="16">
        <f>VLOOKUP(A4,'[3]Working WIP for CG Bottleneck'!$C$3:$S$13000,12,0)</f>
        <v>2</v>
      </c>
      <c r="M4" s="16">
        <f t="shared" si="3"/>
        <v>22694</v>
      </c>
      <c r="N4" s="20">
        <f t="shared" si="4"/>
        <v>0.97395083333333299</v>
      </c>
      <c r="O4" s="21">
        <v>3</v>
      </c>
      <c r="P4" s="17">
        <f t="shared" si="5"/>
        <v>6.0871927083333298E-2</v>
      </c>
      <c r="Q4" s="22">
        <f t="shared" si="6"/>
        <v>46226.565053386599</v>
      </c>
      <c r="R4" s="41">
        <f t="shared" si="7"/>
        <v>7.8859375000000002E-4</v>
      </c>
      <c r="S4" s="50">
        <f t="shared" si="8"/>
        <v>147</v>
      </c>
    </row>
    <row r="5" spans="1:19">
      <c r="A5" s="15">
        <v>502003</v>
      </c>
      <c r="B5" s="16">
        <v>241006013</v>
      </c>
      <c r="C5" s="17" t="str">
        <f>VLOOKUP(A5,[1]Sheet1!$C$5:$D$220000,2,0)</f>
        <v>RO 3.96X22.2 BP</v>
      </c>
      <c r="D5" s="18">
        <v>3.96</v>
      </c>
      <c r="E5" s="18">
        <v>22.2</v>
      </c>
      <c r="F5" s="19">
        <v>4000</v>
      </c>
      <c r="G5" s="18">
        <f t="shared" si="0"/>
        <v>180.18018018018</v>
      </c>
      <c r="H5" s="19">
        <f t="shared" si="1"/>
        <v>10810.810810810801</v>
      </c>
      <c r="I5" s="19">
        <f t="shared" si="2"/>
        <v>23.522400000000001</v>
      </c>
      <c r="J5" s="19">
        <f>VLOOKUP(A5,'[3]Working WIP for CG Bottleneck'!$C$3:$S$13000,11,0)*60</f>
        <v>10810.810810810801</v>
      </c>
      <c r="K5" s="19">
        <v>37997</v>
      </c>
      <c r="L5" s="16">
        <f>VLOOKUP(A5,'[3]Working WIP for CG Bottleneck'!$C$3:$S$13000,12,0)</f>
        <v>2</v>
      </c>
      <c r="M5" s="16">
        <f t="shared" si="3"/>
        <v>75994</v>
      </c>
      <c r="N5" s="20">
        <f t="shared" si="4"/>
        <v>7.0294450000000097</v>
      </c>
      <c r="O5" s="21">
        <v>3</v>
      </c>
      <c r="P5" s="17">
        <f t="shared" si="5"/>
        <v>0.4393403125</v>
      </c>
      <c r="Q5" s="22">
        <f t="shared" si="6"/>
        <v>46227.004393699099</v>
      </c>
      <c r="R5" s="41">
        <f t="shared" si="7"/>
        <v>2.175822E-3</v>
      </c>
      <c r="S5" s="50">
        <f t="shared" si="8"/>
        <v>188.17920000000001</v>
      </c>
    </row>
    <row r="6" spans="1:19">
      <c r="A6" s="15">
        <v>502003</v>
      </c>
      <c r="B6" s="16" t="s">
        <v>61</v>
      </c>
      <c r="C6" s="17" t="str">
        <f>VLOOKUP(A6,[1]Sheet1!$C$5:$D$220000,2,0)</f>
        <v>RO 3.96X22.2 BP</v>
      </c>
      <c r="D6" s="18">
        <v>3.96</v>
      </c>
      <c r="E6" s="18">
        <v>22.2</v>
      </c>
      <c r="F6" s="19">
        <v>4000</v>
      </c>
      <c r="G6" s="18">
        <f t="shared" si="0"/>
        <v>180.18018018018</v>
      </c>
      <c r="H6" s="19">
        <f t="shared" si="1"/>
        <v>10810.810810810801</v>
      </c>
      <c r="I6" s="19">
        <f t="shared" si="2"/>
        <v>23.522400000000001</v>
      </c>
      <c r="J6" s="19">
        <f>VLOOKUP(A6,'[3]Working WIP for CG Bottleneck'!$C$3:$S$13000,11,0)*60</f>
        <v>10810.810810810801</v>
      </c>
      <c r="K6" s="19">
        <v>203379</v>
      </c>
      <c r="L6" s="16">
        <f>VLOOKUP(A6,'[3]Working WIP for CG Bottleneck'!$C$3:$S$13000,12,0)</f>
        <v>2</v>
      </c>
      <c r="M6" s="16">
        <f t="shared" si="3"/>
        <v>406758</v>
      </c>
      <c r="N6" s="20">
        <f t="shared" si="4"/>
        <v>37.625115000000001</v>
      </c>
      <c r="O6" s="21"/>
      <c r="P6" s="17">
        <f t="shared" si="5"/>
        <v>2.3515696875000001</v>
      </c>
      <c r="Q6" s="22">
        <f t="shared" si="6"/>
        <v>46229.355963386603</v>
      </c>
      <c r="R6" s="41">
        <f t="shared" si="7"/>
        <v>2.175822E-3</v>
      </c>
      <c r="S6" s="50">
        <f t="shared" si="8"/>
        <v>188.17920000000001</v>
      </c>
    </row>
    <row r="7" spans="1:19">
      <c r="A7" s="15">
        <v>511395.04</v>
      </c>
      <c r="B7" s="16">
        <v>250919006</v>
      </c>
      <c r="C7" s="17" t="str">
        <f>VLOOKUP(A7,[1]Sheet1!$C$5:$D$220000,2,0)</f>
        <v>RO 4X10.8</v>
      </c>
      <c r="D7" s="18">
        <v>4</v>
      </c>
      <c r="E7" s="18">
        <v>10.8</v>
      </c>
      <c r="F7" s="19">
        <v>4000</v>
      </c>
      <c r="G7" s="18">
        <f t="shared" si="0"/>
        <v>370.37037037036998</v>
      </c>
      <c r="H7" s="19">
        <f t="shared" si="1"/>
        <v>22222.222222222201</v>
      </c>
      <c r="I7" s="19">
        <f t="shared" si="2"/>
        <v>24</v>
      </c>
      <c r="J7" s="19">
        <f>VLOOKUP(A7,'[3]Working WIP for CG Bottleneck'!$C$3:$S$13000,11,0)*60</f>
        <v>22222.222222222201</v>
      </c>
      <c r="K7" s="19">
        <v>42199</v>
      </c>
      <c r="L7" s="16">
        <f>VLOOKUP(A7,'[3]Working WIP for CG Bottleneck'!$C$3:$S$13000,12,0)</f>
        <v>2</v>
      </c>
      <c r="M7" s="16">
        <f t="shared" si="3"/>
        <v>84398</v>
      </c>
      <c r="N7" s="20">
        <f t="shared" si="4"/>
        <v>3.7979099999999999</v>
      </c>
      <c r="O7" s="21">
        <v>3</v>
      </c>
      <c r="P7" s="17">
        <f t="shared" si="5"/>
        <v>0.23736937499999999</v>
      </c>
      <c r="Q7" s="22">
        <f t="shared" si="6"/>
        <v>46229.5933327616</v>
      </c>
      <c r="R7" s="41">
        <f t="shared" si="7"/>
        <v>1.08E-3</v>
      </c>
      <c r="S7" s="50">
        <f t="shared" si="8"/>
        <v>192</v>
      </c>
    </row>
    <row r="8" spans="1:19">
      <c r="A8" s="15">
        <v>511395.04</v>
      </c>
      <c r="B8" s="16" t="s">
        <v>62</v>
      </c>
      <c r="C8" s="17" t="str">
        <f>VLOOKUP(A8,[1]Sheet1!$C$5:$D$220000,2,0)</f>
        <v>RO 4X10.8</v>
      </c>
      <c r="D8" s="18">
        <v>4</v>
      </c>
      <c r="E8" s="18">
        <v>10.8</v>
      </c>
      <c r="F8" s="19">
        <v>4000</v>
      </c>
      <c r="G8" s="18">
        <f t="shared" si="0"/>
        <v>370.37037037036998</v>
      </c>
      <c r="H8" s="19">
        <f t="shared" si="1"/>
        <v>22222.222222222201</v>
      </c>
      <c r="I8" s="19">
        <f t="shared" si="2"/>
        <v>24</v>
      </c>
      <c r="J8" s="19">
        <f>VLOOKUP(A8,'[3]Working WIP for CG Bottleneck'!$C$3:$S$13000,11,0)*60</f>
        <v>22222.222222222201</v>
      </c>
      <c r="K8" s="19">
        <v>85159</v>
      </c>
      <c r="L8" s="16">
        <f>VLOOKUP(A8,'[3]Working WIP for CG Bottleneck'!$C$3:$S$13000,12,0)</f>
        <v>2</v>
      </c>
      <c r="M8" s="16">
        <f t="shared" si="3"/>
        <v>170318</v>
      </c>
      <c r="N8" s="20">
        <f t="shared" si="4"/>
        <v>7.6643100000000102</v>
      </c>
      <c r="O8" s="21">
        <v>3</v>
      </c>
      <c r="P8" s="17">
        <f t="shared" si="5"/>
        <v>0.47901937500000102</v>
      </c>
      <c r="Q8" s="22">
        <f t="shared" si="6"/>
        <v>46230.072352136602</v>
      </c>
      <c r="R8" s="41">
        <f t="shared" si="7"/>
        <v>1.08E-3</v>
      </c>
      <c r="S8" s="50">
        <f t="shared" si="8"/>
        <v>192</v>
      </c>
    </row>
    <row r="9" spans="1:19">
      <c r="A9" s="15">
        <v>502010.02</v>
      </c>
      <c r="B9" s="16" t="s">
        <v>63</v>
      </c>
      <c r="C9" s="17" t="str">
        <f>VLOOKUP(A9,[1]Sheet1!$C$5:$D$220000,2,0)</f>
        <v>RO 4X21.3</v>
      </c>
      <c r="D9" s="18">
        <v>4</v>
      </c>
      <c r="E9" s="18">
        <v>21.3</v>
      </c>
      <c r="F9" s="19">
        <v>4000</v>
      </c>
      <c r="G9" s="18">
        <f t="shared" si="0"/>
        <v>187.793427230047</v>
      </c>
      <c r="H9" s="19">
        <f t="shared" si="1"/>
        <v>11267.605633802799</v>
      </c>
      <c r="I9" s="19">
        <f t="shared" si="2"/>
        <v>24</v>
      </c>
      <c r="J9" s="19">
        <f>VLOOKUP(A9,'[3]Working WIP for CG Bottleneck'!$C$3:$S$13000,11,0)*60</f>
        <v>11267.605633802799</v>
      </c>
      <c r="K9" s="19">
        <v>132768</v>
      </c>
      <c r="L9" s="16">
        <f>VLOOKUP(A9,'[3]Working WIP for CG Bottleneck'!$C$3:$S$13000,12,0)</f>
        <v>2</v>
      </c>
      <c r="M9" s="16">
        <f t="shared" si="3"/>
        <v>265536</v>
      </c>
      <c r="N9" s="20">
        <f t="shared" si="4"/>
        <v>23.566320000000001</v>
      </c>
      <c r="O9" s="21">
        <v>3</v>
      </c>
      <c r="P9" s="17">
        <f t="shared" si="5"/>
        <v>1.4728950000000001</v>
      </c>
      <c r="Q9" s="22">
        <f t="shared" si="6"/>
        <v>46231.545247136601</v>
      </c>
      <c r="R9" s="41">
        <f t="shared" si="7"/>
        <v>2.1299999999999999E-3</v>
      </c>
      <c r="S9" s="50">
        <f t="shared" si="8"/>
        <v>192</v>
      </c>
    </row>
    <row r="10" spans="1:19">
      <c r="A10" s="15">
        <v>502010.02</v>
      </c>
      <c r="B10" s="16" t="s">
        <v>64</v>
      </c>
      <c r="C10" s="17" t="s">
        <v>65</v>
      </c>
      <c r="D10" s="18">
        <v>4</v>
      </c>
      <c r="E10" s="18">
        <v>21.3</v>
      </c>
      <c r="F10" s="19">
        <v>4000</v>
      </c>
      <c r="G10" s="18">
        <f t="shared" si="0"/>
        <v>187.793427230047</v>
      </c>
      <c r="H10" s="19">
        <f t="shared" si="1"/>
        <v>11267.605633802799</v>
      </c>
      <c r="I10" s="19">
        <f t="shared" si="2"/>
        <v>24</v>
      </c>
      <c r="J10" s="19">
        <f>VLOOKUP(A10,'[3]Working WIP for CG Bottleneck'!$C$3:$S$13000,11,0)*60</f>
        <v>11267.605633802799</v>
      </c>
      <c r="K10" s="19">
        <v>132768</v>
      </c>
      <c r="L10" s="16">
        <f>VLOOKUP(A10,'[3]Working WIP for CG Bottleneck'!$C$3:$S$13000,12,0)</f>
        <v>2</v>
      </c>
      <c r="M10" s="16">
        <f t="shared" si="3"/>
        <v>265536</v>
      </c>
      <c r="N10" s="20">
        <f t="shared" si="4"/>
        <v>23.566320000000001</v>
      </c>
      <c r="O10" s="21"/>
      <c r="P10" s="17">
        <f t="shared" si="5"/>
        <v>1.4728950000000001</v>
      </c>
      <c r="Q10" s="22">
        <f t="shared" si="6"/>
        <v>46233.0181421366</v>
      </c>
      <c r="R10" s="41">
        <f t="shared" si="7"/>
        <v>2.1299999999999999E-3</v>
      </c>
      <c r="S10" s="50">
        <f t="shared" si="8"/>
        <v>192</v>
      </c>
    </row>
    <row r="11" spans="1:19">
      <c r="A11" s="28">
        <v>511395.03</v>
      </c>
      <c r="B11" s="29">
        <v>260102005</v>
      </c>
      <c r="C11" s="34" t="str">
        <f>VLOOKUP(A11,[1]Sheet1!$C$5:$D$220000,2,0)</f>
        <v>RO 4X7.8</v>
      </c>
      <c r="D11" s="30">
        <v>4</v>
      </c>
      <c r="E11" s="30">
        <v>7.8</v>
      </c>
      <c r="F11" s="31">
        <v>4000</v>
      </c>
      <c r="G11" s="30">
        <f t="shared" si="0"/>
        <v>512.82051282051304</v>
      </c>
      <c r="H11" s="31">
        <f t="shared" si="1"/>
        <v>30769.230769230799</v>
      </c>
      <c r="I11" s="31">
        <f t="shared" si="2"/>
        <v>24</v>
      </c>
      <c r="J11" s="31">
        <f>VLOOKUP(A11,'[3]Working WIP for CG Bottleneck'!$C$3:$S$13000,11,0)*60</f>
        <v>30769.230769230799</v>
      </c>
      <c r="K11" s="31">
        <v>117913</v>
      </c>
      <c r="L11" s="29">
        <f>VLOOKUP(A11,'[3]Working WIP for CG Bottleneck'!$C$3:$S$13000,12,0)</f>
        <v>2</v>
      </c>
      <c r="M11" s="29">
        <f t="shared" si="3"/>
        <v>235826</v>
      </c>
      <c r="N11" s="33">
        <f t="shared" si="4"/>
        <v>7.664345</v>
      </c>
      <c r="O11" s="32">
        <v>3</v>
      </c>
      <c r="P11" s="34">
        <f t="shared" si="5"/>
        <v>0.4790215625</v>
      </c>
      <c r="Q11" s="51">
        <f t="shared" si="6"/>
        <v>46233.497163699103</v>
      </c>
      <c r="R11" s="52">
        <f t="shared" si="7"/>
        <v>7.7999999999999999E-4</v>
      </c>
      <c r="S11" s="53">
        <f t="shared" si="8"/>
        <v>192</v>
      </c>
    </row>
    <row r="12" spans="1:19">
      <c r="A12" s="15">
        <v>502010.04</v>
      </c>
      <c r="B12" s="16" t="s">
        <v>50</v>
      </c>
      <c r="C12" s="17" t="str">
        <f>VLOOKUP(A12,[1]Sheet1!$C$5:$D$220000,2,0)</f>
        <v>RO 4X20.8</v>
      </c>
      <c r="D12" s="18">
        <v>4</v>
      </c>
      <c r="E12" s="18">
        <v>20.8</v>
      </c>
      <c r="F12" s="19">
        <v>4000</v>
      </c>
      <c r="G12" s="18">
        <f t="shared" si="0"/>
        <v>192.30769230769201</v>
      </c>
      <c r="H12" s="19">
        <f t="shared" si="1"/>
        <v>11538.461538461501</v>
      </c>
      <c r="I12" s="19">
        <f t="shared" si="2"/>
        <v>24</v>
      </c>
      <c r="J12" s="19">
        <f>VLOOKUP(A12,'[3]Working WIP for CG Bottleneck'!$C$3:$S$13000,11,0)*60</f>
        <v>11538.461538461501</v>
      </c>
      <c r="K12" s="19">
        <v>218855</v>
      </c>
      <c r="L12" s="16">
        <f>VLOOKUP(A12,'[3]Working WIP for CG Bottleneck'!$C$3:$S$13000,12,0)</f>
        <v>2</v>
      </c>
      <c r="M12" s="16">
        <f t="shared" si="3"/>
        <v>437710</v>
      </c>
      <c r="N12" s="20">
        <f t="shared" si="4"/>
        <v>37.9348666666667</v>
      </c>
      <c r="O12" s="21">
        <v>3</v>
      </c>
      <c r="P12" s="17">
        <f t="shared" si="5"/>
        <v>2.3709291666666701</v>
      </c>
      <c r="Q12" s="54">
        <f t="shared" si="6"/>
        <v>46235.8680928658</v>
      </c>
      <c r="R12" s="41">
        <f t="shared" si="7"/>
        <v>2.0799999999999998E-3</v>
      </c>
      <c r="S12" s="50">
        <f t="shared" si="8"/>
        <v>192</v>
      </c>
    </row>
    <row r="13" spans="1:19">
      <c r="A13" s="15">
        <v>511504.01</v>
      </c>
      <c r="B13" s="16" t="s">
        <v>66</v>
      </c>
      <c r="C13" s="17" t="str">
        <f>VLOOKUP(A13,[1]Sheet1!$C$5:$D$220000,2,0)</f>
        <v>RO 4X14.8</v>
      </c>
      <c r="D13" s="18">
        <v>4</v>
      </c>
      <c r="E13" s="18">
        <v>14.8</v>
      </c>
      <c r="F13" s="19">
        <v>4000</v>
      </c>
      <c r="G13" s="18">
        <f t="shared" si="0"/>
        <v>270.27027027026998</v>
      </c>
      <c r="H13" s="19">
        <f t="shared" si="1"/>
        <v>16216.2162162162</v>
      </c>
      <c r="I13" s="19">
        <f t="shared" si="2"/>
        <v>24</v>
      </c>
      <c r="J13" s="19">
        <f>VLOOKUP(A13,'[3]Working WIP for CG Bottleneck'!$C$3:$S$13000,11,0)*60</f>
        <v>16216.2162162162</v>
      </c>
      <c r="K13" s="19">
        <v>144374</v>
      </c>
      <c r="L13" s="16">
        <f>VLOOKUP(A13,'[3]Working WIP for CG Bottleneck'!$C$3:$S$13000,12,0)</f>
        <v>2</v>
      </c>
      <c r="M13" s="16">
        <f t="shared" si="3"/>
        <v>288748</v>
      </c>
      <c r="N13" s="20">
        <f t="shared" si="4"/>
        <v>17.8061266666667</v>
      </c>
      <c r="O13" s="21">
        <v>3</v>
      </c>
      <c r="P13" s="17">
        <f t="shared" si="5"/>
        <v>1.1128829166666701</v>
      </c>
      <c r="Q13" s="54">
        <f t="shared" si="6"/>
        <v>46236.980975782499</v>
      </c>
      <c r="R13" s="41">
        <f t="shared" si="7"/>
        <v>1.48E-3</v>
      </c>
      <c r="S13" s="50">
        <f t="shared" si="8"/>
        <v>192</v>
      </c>
    </row>
    <row r="14" spans="1:19">
      <c r="A14" s="15">
        <v>511436</v>
      </c>
      <c r="B14" s="16">
        <v>260310006</v>
      </c>
      <c r="C14" s="17" t="str">
        <f>VLOOKUP(A14,[1]Sheet1!$C$5:$D$220000,2,0)</f>
        <v>RO 4X15.8 (CRA)</v>
      </c>
      <c r="D14" s="18">
        <v>4</v>
      </c>
      <c r="E14" s="18">
        <v>15.8</v>
      </c>
      <c r="F14" s="19">
        <v>4000</v>
      </c>
      <c r="G14" s="18">
        <f t="shared" si="0"/>
        <v>253.16455696202499</v>
      </c>
      <c r="H14" s="19">
        <f t="shared" si="1"/>
        <v>15189.873417721499</v>
      </c>
      <c r="I14" s="19">
        <f t="shared" si="2"/>
        <v>24</v>
      </c>
      <c r="J14" s="19">
        <f>VLOOKUP(A14,'[3]Working WIP for CG Bottleneck'!$C$3:$S$13000,11,0)*60</f>
        <v>15189.873417721499</v>
      </c>
      <c r="K14" s="19">
        <v>137914</v>
      </c>
      <c r="L14" s="16">
        <f>VLOOKUP(A14,'[3]Working WIP for CG Bottleneck'!$C$3:$S$13000,12,0)</f>
        <v>2</v>
      </c>
      <c r="M14" s="16">
        <f t="shared" si="3"/>
        <v>275828</v>
      </c>
      <c r="N14" s="20">
        <f t="shared" si="4"/>
        <v>18.1586766666667</v>
      </c>
      <c r="O14" s="21">
        <v>3</v>
      </c>
      <c r="P14" s="17">
        <f t="shared" si="5"/>
        <v>1.1349172916666701</v>
      </c>
      <c r="Q14" s="54">
        <f t="shared" si="6"/>
        <v>46238.1158930741</v>
      </c>
      <c r="R14" s="41">
        <f t="shared" si="7"/>
        <v>1.58E-3</v>
      </c>
      <c r="S14" s="50">
        <f t="shared" si="8"/>
        <v>192</v>
      </c>
    </row>
    <row r="15" spans="1:19">
      <c r="A15" s="15">
        <v>511436</v>
      </c>
      <c r="B15" s="16">
        <v>260310007</v>
      </c>
      <c r="C15" s="17" t="str">
        <f>VLOOKUP(A15,[1]Sheet1!$C$5:$D$220000,2,0)</f>
        <v>RO 4X15.8 (CRA)</v>
      </c>
      <c r="D15" s="18">
        <v>4</v>
      </c>
      <c r="E15" s="18">
        <v>15.8</v>
      </c>
      <c r="F15" s="19">
        <v>4000</v>
      </c>
      <c r="G15" s="18">
        <f t="shared" si="0"/>
        <v>253.16455696202499</v>
      </c>
      <c r="H15" s="19">
        <f t="shared" si="1"/>
        <v>15189.873417721499</v>
      </c>
      <c r="I15" s="19">
        <f t="shared" si="2"/>
        <v>24</v>
      </c>
      <c r="J15" s="19">
        <f>VLOOKUP(A15,'[3]Working WIP for CG Bottleneck'!$C$3:$S$13000,11,0)*60</f>
        <v>15189.873417721499</v>
      </c>
      <c r="K15" s="19">
        <v>113665</v>
      </c>
      <c r="L15" s="16">
        <f>VLOOKUP(A15,'[3]Working WIP for CG Bottleneck'!$C$3:$S$13000,12,0)</f>
        <v>2</v>
      </c>
      <c r="M15" s="16">
        <f t="shared" si="3"/>
        <v>227330</v>
      </c>
      <c r="N15" s="20">
        <f t="shared" si="4"/>
        <v>14.9658916666667</v>
      </c>
      <c r="O15" s="21">
        <v>3</v>
      </c>
      <c r="P15" s="17">
        <f t="shared" si="5"/>
        <v>0.93536822916666795</v>
      </c>
      <c r="Q15" s="54">
        <f t="shared" si="6"/>
        <v>46239.051261303299</v>
      </c>
      <c r="R15" s="41">
        <f t="shared" si="7"/>
        <v>1.58E-3</v>
      </c>
      <c r="S15" s="50">
        <f t="shared" si="8"/>
        <v>192</v>
      </c>
    </row>
    <row r="16" spans="1:19">
      <c r="A16" s="15">
        <v>511436</v>
      </c>
      <c r="B16" s="16" t="s">
        <v>67</v>
      </c>
      <c r="C16" s="17" t="str">
        <f>VLOOKUP(A16,[1]Sheet1!$C$5:$D$220000,2,0)</f>
        <v>RO 4X15.8 (CRA)</v>
      </c>
      <c r="D16" s="18">
        <v>4</v>
      </c>
      <c r="E16" s="18">
        <v>15.8</v>
      </c>
      <c r="F16" s="19">
        <v>4000</v>
      </c>
      <c r="G16" s="18">
        <f t="shared" si="0"/>
        <v>253.16455696202499</v>
      </c>
      <c r="H16" s="19">
        <f t="shared" si="1"/>
        <v>15189.873417721499</v>
      </c>
      <c r="I16" s="19">
        <f t="shared" si="2"/>
        <v>24</v>
      </c>
      <c r="J16" s="19">
        <f>VLOOKUP(A16,'[3]Working WIP for CG Bottleneck'!$C$3:$S$13000,11,0)*60</f>
        <v>15189.873417721499</v>
      </c>
      <c r="K16" s="19">
        <v>291052</v>
      </c>
      <c r="L16" s="16">
        <f>VLOOKUP(A16,'[3]Working WIP for CG Bottleneck'!$C$3:$S$13000,12,0)</f>
        <v>2</v>
      </c>
      <c r="M16" s="16">
        <f t="shared" si="3"/>
        <v>582104</v>
      </c>
      <c r="N16" s="20">
        <f t="shared" si="4"/>
        <v>38.321846666666701</v>
      </c>
      <c r="O16" s="21">
        <v>3</v>
      </c>
      <c r="P16" s="17">
        <f t="shared" si="5"/>
        <v>2.3951154166666702</v>
      </c>
      <c r="Q16" s="54">
        <f t="shared" si="6"/>
        <v>46241.44637672</v>
      </c>
      <c r="R16" s="41">
        <f t="shared" si="7"/>
        <v>1.58E-3</v>
      </c>
      <c r="S16" s="50">
        <f t="shared" si="8"/>
        <v>192</v>
      </c>
    </row>
    <row r="17" spans="1:19">
      <c r="A17" s="15">
        <v>511304.01</v>
      </c>
      <c r="B17" s="16">
        <v>260102006</v>
      </c>
      <c r="C17" s="17" t="str">
        <f>VLOOKUP(A17,[1]Sheet1!$C$5:$D$220000,2,0)</f>
        <v>RO 4X12.8</v>
      </c>
      <c r="D17" s="18">
        <v>4</v>
      </c>
      <c r="E17" s="18">
        <v>12.8</v>
      </c>
      <c r="F17" s="19">
        <v>4000</v>
      </c>
      <c r="G17" s="18">
        <f t="shared" si="0"/>
        <v>312.5</v>
      </c>
      <c r="H17" s="19">
        <f t="shared" si="1"/>
        <v>18750</v>
      </c>
      <c r="I17" s="19">
        <f t="shared" si="2"/>
        <v>24</v>
      </c>
      <c r="J17" s="19">
        <f>VLOOKUP(A17,'[3]Working WIP for CG Bottleneck'!$C$3:$S$13000,11,0)*60</f>
        <v>18750</v>
      </c>
      <c r="K17" s="19">
        <v>138089</v>
      </c>
      <c r="L17" s="16">
        <f>VLOOKUP(A17,'[3]Working WIP for CG Bottleneck'!$C$3:$S$13000,12,0)</f>
        <v>2</v>
      </c>
      <c r="M17" s="21">
        <f t="shared" si="3"/>
        <v>276178</v>
      </c>
      <c r="N17" s="20">
        <f t="shared" si="4"/>
        <v>14.7294933333333</v>
      </c>
      <c r="O17" s="21">
        <v>3</v>
      </c>
      <c r="P17" s="17">
        <f t="shared" si="5"/>
        <v>0.92059333333333304</v>
      </c>
      <c r="Q17" s="54">
        <f t="shared" si="6"/>
        <v>46242.366970053299</v>
      </c>
      <c r="R17" s="41">
        <f t="shared" si="7"/>
        <v>1.2800000000000001E-3</v>
      </c>
      <c r="S17" s="50">
        <f t="shared" si="8"/>
        <v>192</v>
      </c>
    </row>
    <row r="18" spans="1:19">
      <c r="A18" s="15">
        <v>511308.01</v>
      </c>
      <c r="B18" s="16">
        <v>260327005</v>
      </c>
      <c r="C18" s="17" t="s">
        <v>68</v>
      </c>
      <c r="D18" s="18">
        <v>5</v>
      </c>
      <c r="E18" s="18">
        <v>16.8</v>
      </c>
      <c r="F18" s="19">
        <v>4000</v>
      </c>
      <c r="G18" s="18">
        <f t="shared" si="0"/>
        <v>238.09523809523799</v>
      </c>
      <c r="H18" s="19">
        <f t="shared" si="1"/>
        <v>14285.714285714301</v>
      </c>
      <c r="I18" s="19">
        <f t="shared" si="2"/>
        <v>37.5</v>
      </c>
      <c r="J18" s="19">
        <f>VLOOKUP(A18,'[3]Working WIP for CG Bottleneck'!$C$3:$S$13000,11,0)*60</f>
        <v>14285.714285714301</v>
      </c>
      <c r="K18" s="19">
        <v>34868</v>
      </c>
      <c r="L18" s="16">
        <f>VLOOKUP(A18,'[3]Working WIP for CG Bottleneck'!$C$3:$S$13000,12,0)</f>
        <v>2</v>
      </c>
      <c r="M18" s="16">
        <f t="shared" si="3"/>
        <v>69736</v>
      </c>
      <c r="N18" s="20">
        <f t="shared" si="4"/>
        <v>4.8815200000000001</v>
      </c>
      <c r="O18" s="21">
        <v>3</v>
      </c>
      <c r="P18" s="17">
        <f t="shared" si="5"/>
        <v>0.30509500000000001</v>
      </c>
      <c r="Q18" s="54">
        <f t="shared" si="6"/>
        <v>46242.672065053303</v>
      </c>
      <c r="R18" s="41">
        <f t="shared" si="7"/>
        <v>2.6250000000000002E-3</v>
      </c>
      <c r="S18" s="50">
        <f t="shared" si="8"/>
        <v>300</v>
      </c>
    </row>
    <row r="19" spans="1:19">
      <c r="A19" s="15">
        <v>511308.01</v>
      </c>
      <c r="B19" s="16" t="s">
        <v>69</v>
      </c>
      <c r="C19" s="17" t="s">
        <v>68</v>
      </c>
      <c r="D19" s="18">
        <v>5</v>
      </c>
      <c r="E19" s="18">
        <v>16.8</v>
      </c>
      <c r="F19" s="19">
        <v>4000</v>
      </c>
      <c r="G19" s="18">
        <f t="shared" si="0"/>
        <v>238.09523809523799</v>
      </c>
      <c r="H19" s="19">
        <f t="shared" si="1"/>
        <v>14285.714285714301</v>
      </c>
      <c r="I19" s="19">
        <f t="shared" si="2"/>
        <v>37.5</v>
      </c>
      <c r="J19" s="19">
        <f>VLOOKUP(A19,'[3]Working WIP for CG Bottleneck'!$C$3:$S$13000,11,0)*60</f>
        <v>14285.714285714301</v>
      </c>
      <c r="K19" s="19">
        <v>35549.331430187303</v>
      </c>
      <c r="L19" s="16">
        <f>VLOOKUP(A19,'[3]Working WIP for CG Bottleneck'!$C$3:$S$13000,12,0)</f>
        <v>2</v>
      </c>
      <c r="M19" s="16">
        <f t="shared" si="3"/>
        <v>71098.662860374607</v>
      </c>
      <c r="N19" s="20">
        <f t="shared" si="4"/>
        <v>4.9769064002262304</v>
      </c>
      <c r="O19" s="21">
        <v>3</v>
      </c>
      <c r="P19" s="17">
        <f t="shared" si="5"/>
        <v>0.31105665001413901</v>
      </c>
      <c r="Q19" s="54">
        <f t="shared" si="6"/>
        <v>46242.983121703299</v>
      </c>
      <c r="R19" s="41">
        <f t="shared" si="7"/>
        <v>2.6250000000000002E-3</v>
      </c>
      <c r="S19" s="50">
        <f t="shared" si="8"/>
        <v>300</v>
      </c>
    </row>
    <row r="20" spans="1:19">
      <c r="A20" s="55">
        <v>502001.1</v>
      </c>
      <c r="B20" s="56" t="s">
        <v>70</v>
      </c>
      <c r="C20" s="57" t="s">
        <v>71</v>
      </c>
      <c r="D20" s="58">
        <v>5</v>
      </c>
      <c r="E20" s="58">
        <v>25</v>
      </c>
      <c r="F20" s="59">
        <v>4000</v>
      </c>
      <c r="G20" s="58">
        <f t="shared" si="0"/>
        <v>160</v>
      </c>
      <c r="H20" s="59">
        <f t="shared" si="1"/>
        <v>9600</v>
      </c>
      <c r="I20" s="59">
        <f t="shared" si="2"/>
        <v>37.5</v>
      </c>
      <c r="J20" s="59">
        <f>VLOOKUP(A20,'[3]Working WIP for CG Bottleneck'!$C$3:$S$13000,11,0)*60</f>
        <v>9600</v>
      </c>
      <c r="K20" s="59">
        <v>33590</v>
      </c>
      <c r="L20" s="56">
        <f>VLOOKUP(A20,'[3]Working WIP for CG Bottleneck'!$C$3:$S$13000,12,0)</f>
        <v>2</v>
      </c>
      <c r="M20" s="56">
        <f t="shared" si="3"/>
        <v>67180</v>
      </c>
      <c r="N20" s="60">
        <f t="shared" si="4"/>
        <v>6.9979166666666703</v>
      </c>
      <c r="O20" s="61">
        <v>3</v>
      </c>
      <c r="P20" s="57">
        <f t="shared" si="5"/>
        <v>0.43736979166666701</v>
      </c>
      <c r="Q20" s="62">
        <f t="shared" si="6"/>
        <v>46243.420491495002</v>
      </c>
      <c r="R20" s="63">
        <f t="shared" si="7"/>
        <v>3.90625E-3</v>
      </c>
      <c r="S20" s="64">
        <f t="shared" si="8"/>
        <v>300</v>
      </c>
    </row>
    <row r="21" spans="1:19">
      <c r="A21" s="34">
        <v>550009</v>
      </c>
      <c r="B21" s="29">
        <v>260306004</v>
      </c>
      <c r="C21" s="34" t="str">
        <f>VLOOKUP(A21,[1]Sheet1!$C$5:$D$220000,2,0)</f>
        <v>RO 2.379X5 BP</v>
      </c>
      <c r="D21" s="30">
        <v>2.379</v>
      </c>
      <c r="E21" s="30">
        <v>5</v>
      </c>
      <c r="F21" s="31">
        <v>4000</v>
      </c>
      <c r="G21" s="30">
        <f t="shared" si="0"/>
        <v>800</v>
      </c>
      <c r="H21" s="31">
        <f t="shared" si="1"/>
        <v>48000</v>
      </c>
      <c r="I21" s="31">
        <f t="shared" si="2"/>
        <v>8.4894615000000009</v>
      </c>
      <c r="J21" s="31">
        <f>VLOOKUP(A21,'[3]Working WIP for CG Bottleneck'!$C$3:$S$13000,11,0)*60</f>
        <v>36000</v>
      </c>
      <c r="K21" s="65">
        <f>VLOOKUP(A21,'[3]Working WIP for CG Bottleneck'!$C$3:$S$13000,13,0)</f>
        <v>305309</v>
      </c>
      <c r="L21" s="29">
        <f>VLOOKUP(A21,'[3]Working WIP for CG Bottleneck'!$C$3:$S$13000,12,0)</f>
        <v>2</v>
      </c>
      <c r="M21" s="29">
        <f t="shared" si="3"/>
        <v>610618</v>
      </c>
      <c r="N21" s="33">
        <f t="shared" si="4"/>
        <v>16.9616111111111</v>
      </c>
      <c r="O21" s="32">
        <v>3</v>
      </c>
      <c r="P21" s="34">
        <f t="shared" si="5"/>
        <v>1.06010069444444</v>
      </c>
      <c r="Q21" s="51">
        <f t="shared" si="6"/>
        <v>46244.4805921894</v>
      </c>
      <c r="R21" s="41">
        <f t="shared" si="7"/>
        <v>1.7686378125E-4</v>
      </c>
      <c r="S21" s="50">
        <f t="shared" si="8"/>
        <v>67.915692000000007</v>
      </c>
    </row>
    <row r="22" spans="1:19">
      <c r="A22" s="28">
        <v>550003</v>
      </c>
      <c r="B22" s="29" t="s">
        <v>72</v>
      </c>
      <c r="C22" s="34" t="str">
        <f>VLOOKUP(A22,[1]Sheet1!$C$5:$D$220000,2,0)</f>
        <v>RO 2.379X14.8 BP</v>
      </c>
      <c r="D22" s="30">
        <v>2.379</v>
      </c>
      <c r="E22" s="30">
        <v>14.8</v>
      </c>
      <c r="F22" s="31">
        <v>4000</v>
      </c>
      <c r="G22" s="30">
        <f t="shared" si="0"/>
        <v>270.27027027026998</v>
      </c>
      <c r="H22" s="31">
        <f t="shared" si="1"/>
        <v>16216.2162162162</v>
      </c>
      <c r="I22" s="31">
        <f t="shared" si="2"/>
        <v>8.4894615000000009</v>
      </c>
      <c r="J22" s="31">
        <f>VLOOKUP(A22,'[3]Working WIP for CG Bottleneck'!$C$3:$S$13000,11,0)*60</f>
        <v>12162.1621621622</v>
      </c>
      <c r="K22" s="31">
        <v>511871</v>
      </c>
      <c r="L22" s="29">
        <f>VLOOKUP(A22,'[3]Working WIP for CG Bottleneck'!$C$3:$S$13000,12,0)</f>
        <v>2</v>
      </c>
      <c r="M22" s="29">
        <f t="shared" si="3"/>
        <v>1023742</v>
      </c>
      <c r="N22" s="33">
        <f t="shared" si="4"/>
        <v>84.174342222222094</v>
      </c>
      <c r="O22" s="32">
        <v>3</v>
      </c>
      <c r="P22" s="34">
        <f t="shared" si="5"/>
        <v>5.26089638888888</v>
      </c>
      <c r="Q22" s="51">
        <f t="shared" si="6"/>
        <v>46249.7414885783</v>
      </c>
      <c r="R22" s="41">
        <f t="shared" si="7"/>
        <v>5.235167925E-4</v>
      </c>
      <c r="S22" s="50">
        <f t="shared" si="8"/>
        <v>67.915692000000007</v>
      </c>
    </row>
    <row r="23" spans="1:19">
      <c r="A23" s="28">
        <v>503140</v>
      </c>
      <c r="B23" s="29" t="s">
        <v>73</v>
      </c>
      <c r="C23" s="29" t="s">
        <v>74</v>
      </c>
      <c r="D23" s="30">
        <v>3.7</v>
      </c>
      <c r="E23" s="30">
        <v>16.600000000000001</v>
      </c>
      <c r="F23" s="31">
        <v>4000</v>
      </c>
      <c r="G23" s="30">
        <f t="shared" si="0"/>
        <v>240.96385542168699</v>
      </c>
      <c r="H23" s="31">
        <f t="shared" si="1"/>
        <v>14457.8313253012</v>
      </c>
      <c r="I23" s="31">
        <f t="shared" si="2"/>
        <v>20.535</v>
      </c>
      <c r="J23" s="31">
        <f>VLOOKUP(A23,'[3]Working WIP for CG Bottleneck'!$C$3:$S$13000,11,0)*60</f>
        <v>14457.8313253012</v>
      </c>
      <c r="K23" s="31">
        <v>21731.3982202324</v>
      </c>
      <c r="L23" s="29">
        <f>VLOOKUP(A23,'[3]Working WIP for CG Bottleneck'!$C$3:$S$13000,12,0)</f>
        <v>2</v>
      </c>
      <c r="M23" s="29">
        <f t="shared" si="3"/>
        <v>43462.796440464801</v>
      </c>
      <c r="N23" s="33">
        <f t="shared" si="4"/>
        <v>3.00617675379881</v>
      </c>
      <c r="O23" s="32">
        <v>3</v>
      </c>
      <c r="P23" s="34">
        <f t="shared" si="5"/>
        <v>0.18788604711242601</v>
      </c>
      <c r="Q23" s="51">
        <f t="shared" si="6"/>
        <v>46249.929374625397</v>
      </c>
      <c r="R23" s="41">
        <f t="shared" si="7"/>
        <v>1.4203375E-3</v>
      </c>
      <c r="S23" s="50">
        <f t="shared" si="8"/>
        <v>164.28</v>
      </c>
    </row>
    <row r="24" spans="1:19">
      <c r="A24" s="28">
        <v>503140</v>
      </c>
      <c r="B24" s="29" t="s">
        <v>75</v>
      </c>
      <c r="C24" s="29" t="s">
        <v>74</v>
      </c>
      <c r="D24" s="30">
        <v>3.7</v>
      </c>
      <c r="E24" s="30">
        <v>16.600000000000001</v>
      </c>
      <c r="F24" s="31">
        <v>4000</v>
      </c>
      <c r="G24" s="30">
        <f t="shared" si="0"/>
        <v>240.96385542168699</v>
      </c>
      <c r="H24" s="31">
        <f t="shared" si="1"/>
        <v>14457.8313253012</v>
      </c>
      <c r="I24" s="31">
        <f t="shared" si="2"/>
        <v>20.535</v>
      </c>
      <c r="J24" s="31">
        <f>VLOOKUP(A24,'[3]Working WIP for CG Bottleneck'!$C$3:$S$13000,11,0)*60</f>
        <v>14457.8313253012</v>
      </c>
      <c r="K24" s="31">
        <v>53785.210595075303</v>
      </c>
      <c r="L24" s="29">
        <f>VLOOKUP(A24,'[3]Working WIP for CG Bottleneck'!$C$3:$S$13000,12,0)</f>
        <v>2</v>
      </c>
      <c r="M24" s="29">
        <f t="shared" si="3"/>
        <v>107570.421190151</v>
      </c>
      <c r="N24" s="33">
        <f t="shared" si="4"/>
        <v>7.4402874656520801</v>
      </c>
      <c r="O24" s="32">
        <v>3</v>
      </c>
      <c r="P24" s="34">
        <f t="shared" si="5"/>
        <v>0.46501796660325501</v>
      </c>
      <c r="Q24" s="51">
        <f t="shared" si="6"/>
        <v>46250.394392592003</v>
      </c>
      <c r="R24" s="41">
        <f t="shared" si="7"/>
        <v>1.4203375E-3</v>
      </c>
      <c r="S24" s="50">
        <f t="shared" si="8"/>
        <v>164.28</v>
      </c>
    </row>
    <row r="25" spans="1:19">
      <c r="A25" s="28">
        <v>500497.11</v>
      </c>
      <c r="B25" s="29" t="s">
        <v>76</v>
      </c>
      <c r="C25" s="34" t="str">
        <f>VLOOKUP(A25,[1]Sheet1!$C$5:$D$220000,2,0)</f>
        <v>RO 5X15.862 BP</v>
      </c>
      <c r="D25" s="30">
        <v>5</v>
      </c>
      <c r="E25" s="30">
        <v>15.862</v>
      </c>
      <c r="F25" s="31">
        <v>4000</v>
      </c>
      <c r="G25" s="30">
        <f t="shared" si="0"/>
        <v>252.175009456563</v>
      </c>
      <c r="H25" s="31">
        <f t="shared" si="1"/>
        <v>15130.500567393799</v>
      </c>
      <c r="I25" s="31">
        <f t="shared" si="2"/>
        <v>37.5</v>
      </c>
      <c r="J25" s="31">
        <f>VLOOKUP(A25,'[3]Working WIP for CG Bottleneck'!$C$3:$S$13000,11,0)*60</f>
        <v>15130.500567393799</v>
      </c>
      <c r="K25" s="31">
        <v>188281</v>
      </c>
      <c r="L25" s="29">
        <f>VLOOKUP(A25,'[3]Working WIP for CG Bottleneck'!$C$3:$S$13000,12,0)</f>
        <v>2</v>
      </c>
      <c r="M25" s="29">
        <f t="shared" si="3"/>
        <v>376562</v>
      </c>
      <c r="N25" s="33">
        <f t="shared" si="4"/>
        <v>24.887610183333301</v>
      </c>
      <c r="O25" s="32">
        <v>3</v>
      </c>
      <c r="P25" s="34">
        <f t="shared" si="5"/>
        <v>1.55547563645833</v>
      </c>
      <c r="Q25" s="51">
        <f t="shared" si="6"/>
        <v>46251.949868228498</v>
      </c>
      <c r="R25" s="41">
        <f t="shared" si="7"/>
        <v>2.4784375000000002E-3</v>
      </c>
      <c r="S25" s="50">
        <f t="shared" si="8"/>
        <v>300</v>
      </c>
    </row>
    <row r="26" spans="1:19">
      <c r="A26" s="28">
        <v>500497.11</v>
      </c>
      <c r="B26" s="29" t="s">
        <v>77</v>
      </c>
      <c r="C26" s="34" t="str">
        <f>VLOOKUP(A26,[1]Sheet1!$C$5:$D$220000,2,0)</f>
        <v>RO 5X15.862 BP</v>
      </c>
      <c r="D26" s="30">
        <v>5</v>
      </c>
      <c r="E26" s="30">
        <v>15.862</v>
      </c>
      <c r="F26" s="31">
        <v>4000</v>
      </c>
      <c r="G26" s="30">
        <f t="shared" si="0"/>
        <v>252.175009456563</v>
      </c>
      <c r="H26" s="31">
        <f t="shared" si="1"/>
        <v>15130.500567393799</v>
      </c>
      <c r="I26" s="31">
        <f t="shared" si="2"/>
        <v>37.5</v>
      </c>
      <c r="J26" s="31">
        <f>VLOOKUP(A26,'[3]Working WIP for CG Bottleneck'!$C$3:$S$13000,11,0)*60</f>
        <v>15130.500567393799</v>
      </c>
      <c r="K26" s="31">
        <v>184478</v>
      </c>
      <c r="L26" s="29">
        <f>VLOOKUP(A26,'[3]Working WIP for CG Bottleneck'!$C$3:$S$13000,12,0)</f>
        <v>2</v>
      </c>
      <c r="M26" s="29">
        <f t="shared" si="3"/>
        <v>368956</v>
      </c>
      <c r="N26" s="33">
        <f t="shared" si="4"/>
        <v>24.384916966666701</v>
      </c>
      <c r="O26" s="32">
        <v>3</v>
      </c>
      <c r="P26" s="34">
        <f t="shared" si="5"/>
        <v>1.5240573104166699</v>
      </c>
      <c r="Q26" s="51">
        <f t="shared" si="6"/>
        <v>46253.473925538899</v>
      </c>
      <c r="R26" s="41">
        <f t="shared" si="7"/>
        <v>2.4784375000000002E-3</v>
      </c>
      <c r="S26" s="50">
        <f t="shared" si="8"/>
        <v>300</v>
      </c>
    </row>
    <row r="27" spans="1:19">
      <c r="A27" s="28">
        <v>500497.11</v>
      </c>
      <c r="B27" s="29" t="s">
        <v>78</v>
      </c>
      <c r="C27" s="34" t="str">
        <f>VLOOKUP(A27,[1]Sheet1!$C$5:$D$220000,2,0)</f>
        <v>RO 5X15.862 BP</v>
      </c>
      <c r="D27" s="30">
        <v>5</v>
      </c>
      <c r="E27" s="30">
        <v>15.862</v>
      </c>
      <c r="F27" s="31">
        <v>4000</v>
      </c>
      <c r="G27" s="30">
        <f t="shared" si="0"/>
        <v>252.175009456563</v>
      </c>
      <c r="H27" s="31">
        <f t="shared" si="1"/>
        <v>15130.500567393799</v>
      </c>
      <c r="I27" s="31">
        <f t="shared" si="2"/>
        <v>37.5</v>
      </c>
      <c r="J27" s="31">
        <f>VLOOKUP(A27,'[3]Working WIP for CG Bottleneck'!$C$3:$S$13000,11,0)*60</f>
        <v>15130.500567393799</v>
      </c>
      <c r="K27" s="31">
        <v>229741</v>
      </c>
      <c r="L27" s="29">
        <f>VLOOKUP(A27,'[3]Working WIP for CG Bottleneck'!$C$3:$S$13000,12,0)</f>
        <v>2</v>
      </c>
      <c r="M27" s="29">
        <f t="shared" si="3"/>
        <v>459482</v>
      </c>
      <c r="N27" s="33">
        <f t="shared" si="4"/>
        <v>30.367931183333301</v>
      </c>
      <c r="O27" s="32">
        <v>3</v>
      </c>
      <c r="P27" s="34">
        <f t="shared" si="5"/>
        <v>1.89799569895833</v>
      </c>
      <c r="Q27" s="51">
        <f t="shared" si="6"/>
        <v>46255.3719212379</v>
      </c>
      <c r="R27" s="41">
        <f t="shared" si="7"/>
        <v>2.4784375000000002E-3</v>
      </c>
      <c r="S27" s="50">
        <f t="shared" si="8"/>
        <v>300</v>
      </c>
    </row>
    <row r="28" spans="1:19">
      <c r="A28" s="28">
        <v>511310.06</v>
      </c>
      <c r="B28" s="29">
        <v>250127009</v>
      </c>
      <c r="C28" s="34" t="s">
        <v>79</v>
      </c>
      <c r="D28" s="30">
        <v>5</v>
      </c>
      <c r="E28" s="30">
        <v>14.8</v>
      </c>
      <c r="F28" s="31">
        <v>4000</v>
      </c>
      <c r="G28" s="30">
        <f t="shared" si="0"/>
        <v>270.27027027026998</v>
      </c>
      <c r="H28" s="31">
        <f t="shared" si="1"/>
        <v>16216.2162162162</v>
      </c>
      <c r="I28" s="31">
        <f t="shared" si="2"/>
        <v>37.5</v>
      </c>
      <c r="J28" s="31">
        <f>VLOOKUP(A28,'[3]Working WIP for CG Bottleneck'!$C$3:$S$13000,11,0)*60</f>
        <v>16216.2162162162</v>
      </c>
      <c r="K28" s="31">
        <v>33963</v>
      </c>
      <c r="L28" s="29">
        <f>VLOOKUP(A28,'[3]Working WIP for CG Bottleneck'!$C$3:$S$13000,12,0)</f>
        <v>2</v>
      </c>
      <c r="M28" s="29">
        <f t="shared" si="3"/>
        <v>67926</v>
      </c>
      <c r="N28" s="33">
        <f t="shared" si="4"/>
        <v>4.1887699999999999</v>
      </c>
      <c r="O28" s="32">
        <v>3</v>
      </c>
      <c r="P28" s="34">
        <f t="shared" si="5"/>
        <v>0.26179812499999999</v>
      </c>
      <c r="Q28" s="51">
        <f t="shared" si="6"/>
        <v>46255.633719362901</v>
      </c>
      <c r="R28" s="41">
        <f t="shared" si="7"/>
        <v>2.3124999999999999E-3</v>
      </c>
      <c r="S28" s="50">
        <f t="shared" si="8"/>
        <v>300</v>
      </c>
    </row>
    <row r="29" spans="1:19">
      <c r="A29" s="28">
        <v>102030</v>
      </c>
      <c r="B29" s="29" t="s">
        <v>80</v>
      </c>
      <c r="C29" s="34" t="s">
        <v>81</v>
      </c>
      <c r="D29" s="30">
        <v>4</v>
      </c>
      <c r="E29" s="30">
        <v>49.8</v>
      </c>
      <c r="F29" s="31">
        <v>4000</v>
      </c>
      <c r="G29" s="30">
        <f t="shared" si="0"/>
        <v>80.321285140562296</v>
      </c>
      <c r="H29" s="31">
        <f t="shared" si="1"/>
        <v>4819.2771084337401</v>
      </c>
      <c r="I29" s="31">
        <f t="shared" si="2"/>
        <v>24</v>
      </c>
      <c r="J29" s="31">
        <f>VLOOKUP(A29,'[3]Working WIP for CG Bottleneck'!$C$3:$S$13000,11,0)*60</f>
        <v>4819.2771084337401</v>
      </c>
      <c r="K29" s="31">
        <v>18184.802248239001</v>
      </c>
      <c r="L29" s="29">
        <f>VLOOKUP(A29,'[3]Working WIP for CG Bottleneck'!$C$3:$S$13000,12,0)</f>
        <v>2</v>
      </c>
      <c r="M29" s="29">
        <f t="shared" si="3"/>
        <v>36369.604496478001</v>
      </c>
      <c r="N29" s="33">
        <f t="shared" si="4"/>
        <v>7.5466929330191803</v>
      </c>
      <c r="O29" s="32">
        <v>3</v>
      </c>
      <c r="P29" s="34">
        <f t="shared" si="5"/>
        <v>0.47166830831369899</v>
      </c>
      <c r="Q29" s="51">
        <f t="shared" si="6"/>
        <v>46256.105387671203</v>
      </c>
      <c r="R29" s="41">
        <f t="shared" si="7"/>
        <v>4.9800000000000001E-3</v>
      </c>
      <c r="S29" s="50">
        <f t="shared" si="8"/>
        <v>192</v>
      </c>
    </row>
    <row r="30" spans="1:19">
      <c r="A30" s="66">
        <v>501053.8</v>
      </c>
      <c r="B30" s="67">
        <v>250902008</v>
      </c>
      <c r="C30" s="68" t="s">
        <v>82</v>
      </c>
      <c r="D30" s="69">
        <v>5.2</v>
      </c>
      <c r="E30" s="69">
        <v>32.25</v>
      </c>
      <c r="F30" s="31">
        <v>4000</v>
      </c>
      <c r="G30" s="30">
        <f t="shared" si="0"/>
        <v>124.03100775193801</v>
      </c>
      <c r="H30" s="31">
        <f t="shared" si="1"/>
        <v>7441.8604651162796</v>
      </c>
      <c r="I30" s="31">
        <f t="shared" si="2"/>
        <v>40.56</v>
      </c>
      <c r="J30" s="70">
        <f>VLOOKUP(A30,'[3]Working WIP for CG Bottleneck'!$C$3:$S$13000,11,0)*60</f>
        <v>7441.8604651162796</v>
      </c>
      <c r="K30" s="70">
        <v>500</v>
      </c>
      <c r="L30" s="67">
        <f>VLOOKUP(A30,'[3]Working WIP for CG Bottleneck'!$C$3:$S$13000,12,0)</f>
        <v>2</v>
      </c>
      <c r="M30" s="67">
        <f t="shared" si="3"/>
        <v>1000</v>
      </c>
      <c r="N30" s="71">
        <f t="shared" si="4"/>
        <v>0.13437499999999999</v>
      </c>
      <c r="O30" s="72">
        <v>3</v>
      </c>
      <c r="P30" s="68">
        <f t="shared" si="5"/>
        <v>8.3984374999999997E-3</v>
      </c>
      <c r="Q30" s="51">
        <f t="shared" si="6"/>
        <v>46256.113786108697</v>
      </c>
      <c r="R30" s="41">
        <f t="shared" si="7"/>
        <v>5.4502500000000002E-3</v>
      </c>
      <c r="S30" s="50">
        <f t="shared" si="8"/>
        <v>324.48</v>
      </c>
    </row>
    <row r="31" spans="1:19">
      <c r="A31" s="28">
        <v>502071</v>
      </c>
      <c r="B31" s="29">
        <v>241204005</v>
      </c>
      <c r="C31" s="34" t="s">
        <v>83</v>
      </c>
      <c r="D31" s="30">
        <v>5.4939999999999998</v>
      </c>
      <c r="E31" s="30">
        <v>10.8</v>
      </c>
      <c r="F31" s="31">
        <v>4000</v>
      </c>
      <c r="G31" s="30">
        <f t="shared" si="0"/>
        <v>370.37037037036998</v>
      </c>
      <c r="H31" s="31">
        <f t="shared" si="1"/>
        <v>22222.222222222201</v>
      </c>
      <c r="I31" s="31">
        <f t="shared" si="2"/>
        <v>45.276054000000002</v>
      </c>
      <c r="J31" s="31">
        <f>VLOOKUP(A31,'[3]Working WIP for CG Bottleneck'!$C$3:$S$13000,11,0)*60</f>
        <v>22222.222222222201</v>
      </c>
      <c r="K31" s="31">
        <v>4852</v>
      </c>
      <c r="L31" s="29">
        <f>VLOOKUP(A31,'[3]Working WIP for CG Bottleneck'!$C$3:$S$13000,12,0)</f>
        <v>2</v>
      </c>
      <c r="M31" s="29">
        <f t="shared" si="3"/>
        <v>9704</v>
      </c>
      <c r="N31" s="33">
        <f t="shared" si="4"/>
        <v>0.43668000000000101</v>
      </c>
      <c r="O31" s="32">
        <v>3</v>
      </c>
      <c r="P31" s="34">
        <f t="shared" si="5"/>
        <v>2.7292500000000001E-2</v>
      </c>
      <c r="Q31" s="51">
        <f t="shared" si="6"/>
        <v>46256.1410786087</v>
      </c>
      <c r="R31" s="41">
        <f t="shared" si="7"/>
        <v>2.0374224300000001E-3</v>
      </c>
      <c r="S31" s="50">
        <f t="shared" si="8"/>
        <v>362.20843200000002</v>
      </c>
    </row>
  </sheetData>
  <conditionalFormatting sqref="A2:B2">
    <cfRule type="expression" dxfId="19" priority="45">
      <formula>#REF!&lt;&gt;""</formula>
    </cfRule>
  </conditionalFormatting>
  <conditionalFormatting sqref="B5">
    <cfRule type="expression" dxfId="18" priority="27">
      <formula>#REF!&lt;&gt;""</formula>
    </cfRule>
  </conditionalFormatting>
  <conditionalFormatting sqref="C4:E20">
    <cfRule type="expression" dxfId="17" priority="6">
      <formula>#REF!&lt;&gt;""</formula>
    </cfRule>
  </conditionalFormatting>
  <conditionalFormatting sqref="C23:E23">
    <cfRule type="expression" dxfId="16" priority="4">
      <formula>#REF!&lt;&gt;""</formula>
    </cfRule>
  </conditionalFormatting>
  <conditionalFormatting sqref="C24:E24">
    <cfRule type="expression" dxfId="15" priority="3">
      <formula>$A24&lt;&gt;""</formula>
    </cfRule>
  </conditionalFormatting>
  <conditionalFormatting sqref="C25:E31">
    <cfRule type="expression" dxfId="14" priority="10">
      <formula>#REF!&lt;&gt;""</formula>
    </cfRule>
  </conditionalFormatting>
  <conditionalFormatting sqref="K2:K20">
    <cfRule type="expression" dxfId="13" priority="15">
      <formula>#REF!&lt;&gt;""</formula>
    </cfRule>
  </conditionalFormatting>
  <conditionalFormatting sqref="K22:K31">
    <cfRule type="expression" dxfId="12" priority="1">
      <formula>#REF!&lt;&gt;""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2"/>
  <sheetViews>
    <sheetView workbookViewId="0">
      <selection activeCell="F21" sqref="F21"/>
    </sheetView>
  </sheetViews>
  <sheetFormatPr defaultColWidth="9.109375" defaultRowHeight="14.4"/>
  <cols>
    <col min="1" max="1" width="10.5546875" customWidth="1"/>
    <col min="3" max="3" width="17.44140625" customWidth="1"/>
    <col min="8" max="8" width="10.5546875" customWidth="1"/>
    <col min="11" max="11" width="10.5546875" customWidth="1"/>
    <col min="17" max="17" width="11.44140625" customWidth="1"/>
  </cols>
  <sheetData>
    <row r="1" spans="1:19" ht="86.4">
      <c r="A1" s="36" t="s">
        <v>5</v>
      </c>
      <c r="B1" s="36" t="s">
        <v>31</v>
      </c>
      <c r="C1" s="36" t="s">
        <v>32</v>
      </c>
      <c r="D1" s="37" t="s">
        <v>33</v>
      </c>
      <c r="E1" s="37" t="s">
        <v>34</v>
      </c>
      <c r="F1" s="37" t="s">
        <v>35</v>
      </c>
      <c r="G1" s="37" t="s">
        <v>36</v>
      </c>
      <c r="H1" s="37" t="s">
        <v>37</v>
      </c>
      <c r="I1" s="11" t="s">
        <v>57</v>
      </c>
      <c r="J1" s="38" t="s">
        <v>39</v>
      </c>
      <c r="K1" s="38" t="s">
        <v>40</v>
      </c>
      <c r="L1" s="36" t="s">
        <v>41</v>
      </c>
      <c r="M1" s="36" t="s">
        <v>42</v>
      </c>
      <c r="N1" s="36" t="s">
        <v>43</v>
      </c>
      <c r="O1" s="36" t="s">
        <v>44</v>
      </c>
      <c r="P1" s="36" t="s">
        <v>45</v>
      </c>
      <c r="Q1" s="39">
        <v>46224</v>
      </c>
      <c r="R1" s="40" t="s">
        <v>46</v>
      </c>
      <c r="S1" s="40" t="s">
        <v>47</v>
      </c>
    </row>
    <row r="2" spans="1:19">
      <c r="A2" s="15">
        <v>550005</v>
      </c>
      <c r="B2" s="16">
        <v>260208004</v>
      </c>
      <c r="C2" s="17" t="str">
        <f>VLOOKUP(A2,[1]Sheet1!$C$5:$D$220000,2,0)</f>
        <v>RO 2.379X20.8 BP</v>
      </c>
      <c r="D2" s="18">
        <v>2.379</v>
      </c>
      <c r="E2" s="18">
        <v>20.8</v>
      </c>
      <c r="F2" s="18">
        <v>3000</v>
      </c>
      <c r="G2" s="19">
        <f t="shared" ref="G2:G10" si="0">F2/E2</f>
        <v>144.230769230769</v>
      </c>
      <c r="H2" s="18">
        <f t="shared" ref="H2:H10" si="1">G2*60</f>
        <v>8653.8461538461506</v>
      </c>
      <c r="I2" s="19">
        <f t="shared" ref="I2:I10" si="2">H2*R2</f>
        <v>6.3670961249999998</v>
      </c>
      <c r="J2" s="19">
        <f>VLOOKUP(A2,'[3]Working WIP for CG Bottleneck'!$C$3:$S$13000,11,0)*60</f>
        <v>8653.8461538461397</v>
      </c>
      <c r="K2" s="19">
        <v>10977</v>
      </c>
      <c r="L2" s="16">
        <f>VLOOKUP(A2,'[3]Working WIP for CG Bottleneck'!$C$3:$S$13000,12,0)</f>
        <v>2</v>
      </c>
      <c r="M2" s="16">
        <f t="shared" ref="M2:M10" si="3">K2*L2</f>
        <v>21954</v>
      </c>
      <c r="N2" s="20">
        <f t="shared" ref="N2:N10" si="4">M2/J2</f>
        <v>2.53690666666667</v>
      </c>
      <c r="O2" s="21">
        <v>3</v>
      </c>
      <c r="P2" s="17">
        <f t="shared" ref="P2:P10" si="5">SUM(N2:N2)/16</f>
        <v>0.15855666666666701</v>
      </c>
      <c r="Q2" s="22">
        <f>Q1+7</f>
        <v>46231</v>
      </c>
      <c r="R2" s="41">
        <f t="shared" ref="R2:R10" si="6">D2*D2*E2*0.00000625</f>
        <v>7.3575333E-4</v>
      </c>
      <c r="S2" s="42">
        <f t="shared" ref="S2:S10" si="7">I2*8</f>
        <v>50.936768999999998</v>
      </c>
    </row>
    <row r="3" spans="1:19">
      <c r="A3" s="15">
        <v>550005</v>
      </c>
      <c r="B3" s="16" t="s">
        <v>84</v>
      </c>
      <c r="C3" s="17" t="str">
        <f>VLOOKUP(A3,[1]Sheet1!$C$5:$D$220000,2,0)</f>
        <v>RO 2.379X20.8 BP</v>
      </c>
      <c r="D3" s="18">
        <v>2.379</v>
      </c>
      <c r="E3" s="18">
        <v>20.8</v>
      </c>
      <c r="F3" s="18">
        <v>3000</v>
      </c>
      <c r="G3" s="19">
        <f t="shared" si="0"/>
        <v>144.230769230769</v>
      </c>
      <c r="H3" s="18">
        <f t="shared" si="1"/>
        <v>8653.8461538461506</v>
      </c>
      <c r="I3" s="19">
        <f t="shared" si="2"/>
        <v>6.3670961249999998</v>
      </c>
      <c r="J3" s="19">
        <f>VLOOKUP(A3,'[3]Working WIP for CG Bottleneck'!$C$3:$S$13000,11,0)*60</f>
        <v>8653.8461538461397</v>
      </c>
      <c r="K3" s="19">
        <v>599599</v>
      </c>
      <c r="L3" s="16">
        <f>VLOOKUP(A3,'[3]Working WIP for CG Bottleneck'!$C$3:$S$13000,12,0)</f>
        <v>2</v>
      </c>
      <c r="M3" s="16">
        <f t="shared" si="3"/>
        <v>1199198</v>
      </c>
      <c r="N3" s="20">
        <f t="shared" si="4"/>
        <v>138.57399111111101</v>
      </c>
      <c r="O3" s="21">
        <v>3</v>
      </c>
      <c r="P3" s="17">
        <f t="shared" si="5"/>
        <v>8.6608744444444596</v>
      </c>
      <c r="Q3" s="22">
        <f t="shared" ref="Q3:Q9" si="8">+P3+Q2</f>
        <v>46239.660874444402</v>
      </c>
      <c r="R3" s="41">
        <f t="shared" si="6"/>
        <v>7.3575333E-4</v>
      </c>
      <c r="S3" s="42">
        <f t="shared" si="7"/>
        <v>50.936768999999998</v>
      </c>
    </row>
    <row r="4" spans="1:19">
      <c r="A4" s="15">
        <v>511209.01</v>
      </c>
      <c r="B4" s="16">
        <v>251229004</v>
      </c>
      <c r="C4" s="17" t="str">
        <f>VLOOKUP(A4,[1]Sheet1!$C$5:$D$220000,2,0)</f>
        <v>RO 2.5X16.8</v>
      </c>
      <c r="D4" s="18">
        <v>2.5</v>
      </c>
      <c r="E4" s="18">
        <v>16.8</v>
      </c>
      <c r="F4" s="18">
        <v>3000</v>
      </c>
      <c r="G4" s="19">
        <f t="shared" si="0"/>
        <v>178.57142857142901</v>
      </c>
      <c r="H4" s="18">
        <f t="shared" si="1"/>
        <v>10714.285714285699</v>
      </c>
      <c r="I4" s="19">
        <f t="shared" si="2"/>
        <v>7.03125</v>
      </c>
      <c r="J4" s="19">
        <f>VLOOKUP(A4,'[3]Working WIP for CG Bottleneck'!$C$3:$S$13000,11,0)*60</f>
        <v>10714.285714285699</v>
      </c>
      <c r="K4" s="19">
        <v>132776</v>
      </c>
      <c r="L4" s="16">
        <f>VLOOKUP(A4,'[3]Working WIP for CG Bottleneck'!$C$3:$S$13000,12,0)</f>
        <v>2</v>
      </c>
      <c r="M4" s="21">
        <f t="shared" si="3"/>
        <v>265552</v>
      </c>
      <c r="N4" s="20">
        <f t="shared" si="4"/>
        <v>24.784853333333299</v>
      </c>
      <c r="O4" s="21">
        <v>3</v>
      </c>
      <c r="P4" s="17">
        <f t="shared" si="5"/>
        <v>1.5490533333333301</v>
      </c>
      <c r="Q4" s="22">
        <f t="shared" si="8"/>
        <v>46241.209927777803</v>
      </c>
      <c r="R4" s="41">
        <f t="shared" si="6"/>
        <v>6.5625000000000004E-4</v>
      </c>
      <c r="S4" s="42">
        <f t="shared" si="7"/>
        <v>56.25</v>
      </c>
    </row>
    <row r="5" spans="1:19">
      <c r="A5" s="17">
        <v>511965.21</v>
      </c>
      <c r="B5" s="16">
        <v>240628013</v>
      </c>
      <c r="C5" s="17" t="str">
        <f>VLOOKUP(A5,[1]Sheet1!$C$5:$D$220000,2,0)</f>
        <v>RO 1.5X9.8  BR</v>
      </c>
      <c r="D5" s="18">
        <v>1.5</v>
      </c>
      <c r="E5" s="18">
        <v>9.8000000000000007</v>
      </c>
      <c r="F5" s="18">
        <v>3000</v>
      </c>
      <c r="G5" s="19">
        <f t="shared" si="0"/>
        <v>306.12244897959198</v>
      </c>
      <c r="H5" s="18">
        <f t="shared" si="1"/>
        <v>18367.346938775499</v>
      </c>
      <c r="I5" s="19">
        <f t="shared" si="2"/>
        <v>2.53125</v>
      </c>
      <c r="J5" s="19">
        <f>VLOOKUP(A5,'[3]Working WIP for CG Bottleneck'!$C$3:$S$13000,11,0)*60</f>
        <v>18367.346938775499</v>
      </c>
      <c r="K5" s="19">
        <v>148811</v>
      </c>
      <c r="L5" s="16">
        <f>VLOOKUP(A5,'[3]Working WIP for CG Bottleneck'!$C$3:$S$13000,12,0)</f>
        <v>2</v>
      </c>
      <c r="M5" s="16">
        <f t="shared" si="3"/>
        <v>297622</v>
      </c>
      <c r="N5" s="20">
        <f t="shared" si="4"/>
        <v>16.203864444444399</v>
      </c>
      <c r="O5" s="21">
        <v>3</v>
      </c>
      <c r="P5" s="17">
        <f t="shared" si="5"/>
        <v>1.01274152777778</v>
      </c>
      <c r="Q5" s="22">
        <f t="shared" si="8"/>
        <v>46242.2226693056</v>
      </c>
      <c r="R5" s="41">
        <f t="shared" si="6"/>
        <v>1.378125E-4</v>
      </c>
      <c r="S5" s="42">
        <f t="shared" si="7"/>
        <v>20.25</v>
      </c>
    </row>
    <row r="6" spans="1:19">
      <c r="A6" s="17">
        <v>502001</v>
      </c>
      <c r="B6" s="16">
        <v>230521001</v>
      </c>
      <c r="C6" s="17" t="str">
        <f>VLOOKUP(A6,[1]Sheet1!$C$5:$D$220000,2,0)</f>
        <v>RO 2X19.8 BP</v>
      </c>
      <c r="D6" s="18">
        <v>2</v>
      </c>
      <c r="E6" s="18">
        <v>19.8</v>
      </c>
      <c r="F6" s="18">
        <v>3000</v>
      </c>
      <c r="G6" s="19">
        <f t="shared" si="0"/>
        <v>151.51515151515201</v>
      </c>
      <c r="H6" s="18">
        <f t="shared" si="1"/>
        <v>9090.9090909090901</v>
      </c>
      <c r="I6" s="19">
        <f t="shared" si="2"/>
        <v>4.5</v>
      </c>
      <c r="J6" s="19">
        <f>VLOOKUP(A6,'[3]Working WIP for CG Bottleneck'!$C$3:$S$13000,11,0)*60</f>
        <v>9090.9090909091192</v>
      </c>
      <c r="K6" s="19">
        <v>97107</v>
      </c>
      <c r="L6" s="16">
        <f>VLOOKUP(A6,'[3]Working WIP for CG Bottleneck'!$C$3:$S$13000,12,0)</f>
        <v>2</v>
      </c>
      <c r="M6" s="16">
        <f t="shared" si="3"/>
        <v>194214</v>
      </c>
      <c r="N6" s="20">
        <f t="shared" si="4"/>
        <v>21.363539999999901</v>
      </c>
      <c r="O6" s="21">
        <v>3</v>
      </c>
      <c r="P6" s="17">
        <f t="shared" si="5"/>
        <v>1.33522125</v>
      </c>
      <c r="Q6" s="22">
        <f t="shared" si="8"/>
        <v>46243.557890555603</v>
      </c>
      <c r="R6" s="41">
        <f t="shared" si="6"/>
        <v>4.95E-4</v>
      </c>
      <c r="S6" s="42">
        <f t="shared" si="7"/>
        <v>36</v>
      </c>
    </row>
    <row r="7" spans="1:19">
      <c r="A7" s="17">
        <v>502001</v>
      </c>
      <c r="B7" s="16" t="s">
        <v>85</v>
      </c>
      <c r="C7" s="17" t="str">
        <f>VLOOKUP(A7,[1]Sheet1!$C$5:$D$220000,2,0)</f>
        <v>RO 2X19.8 BP</v>
      </c>
      <c r="D7" s="18">
        <v>2</v>
      </c>
      <c r="E7" s="18">
        <v>19.8</v>
      </c>
      <c r="F7" s="18">
        <v>3000</v>
      </c>
      <c r="G7" s="19">
        <f t="shared" si="0"/>
        <v>151.51515151515201</v>
      </c>
      <c r="H7" s="18">
        <f t="shared" si="1"/>
        <v>9090.9090909090901</v>
      </c>
      <c r="I7" s="19">
        <f t="shared" si="2"/>
        <v>4.5</v>
      </c>
      <c r="J7" s="19">
        <f>VLOOKUP(A7,'[3]Working WIP for CG Bottleneck'!$C$3:$S$13000,11,0)*60</f>
        <v>9090.9090909091192</v>
      </c>
      <c r="K7" s="19">
        <v>256977</v>
      </c>
      <c r="L7" s="16">
        <f>VLOOKUP(A7,'[3]Working WIP for CG Bottleneck'!$C$3:$S$13000,12,0)</f>
        <v>2</v>
      </c>
      <c r="M7" s="16">
        <f t="shared" si="3"/>
        <v>513954</v>
      </c>
      <c r="N7" s="20">
        <f t="shared" si="4"/>
        <v>56.5349399999998</v>
      </c>
      <c r="O7" s="21"/>
      <c r="P7" s="17">
        <f t="shared" si="5"/>
        <v>3.5334337499999902</v>
      </c>
      <c r="Q7" s="22">
        <f t="shared" si="8"/>
        <v>46247.091324305598</v>
      </c>
      <c r="R7" s="41">
        <f t="shared" si="6"/>
        <v>4.95E-4</v>
      </c>
      <c r="S7" s="42">
        <f t="shared" si="7"/>
        <v>36</v>
      </c>
    </row>
    <row r="8" spans="1:19">
      <c r="A8" s="34">
        <v>511091</v>
      </c>
      <c r="B8" s="29">
        <v>240726017</v>
      </c>
      <c r="C8" s="34" t="s">
        <v>86</v>
      </c>
      <c r="D8" s="30">
        <v>2</v>
      </c>
      <c r="E8" s="30">
        <v>5.8</v>
      </c>
      <c r="F8" s="30">
        <v>3000</v>
      </c>
      <c r="G8" s="31">
        <f t="shared" si="0"/>
        <v>517.241379310345</v>
      </c>
      <c r="H8" s="30">
        <f t="shared" si="1"/>
        <v>31034.482758620699</v>
      </c>
      <c r="I8" s="31">
        <f t="shared" si="2"/>
        <v>4.5</v>
      </c>
      <c r="J8" s="31">
        <f>VLOOKUP(A8,'[3]Working WIP for CG Bottleneck'!$C$3:$S$13000,11,0)*60</f>
        <v>31034.482758620699</v>
      </c>
      <c r="K8" s="31">
        <v>284981</v>
      </c>
      <c r="L8" s="29">
        <f>VLOOKUP(A8,'[3]Working WIP for CG Bottleneck'!$C$3:$S$13000,12,0)</f>
        <v>2</v>
      </c>
      <c r="M8" s="29">
        <f t="shared" si="3"/>
        <v>569962</v>
      </c>
      <c r="N8" s="33">
        <f t="shared" si="4"/>
        <v>18.3654422222222</v>
      </c>
      <c r="O8" s="32">
        <v>3</v>
      </c>
      <c r="P8" s="34">
        <f t="shared" si="5"/>
        <v>1.1478401388888899</v>
      </c>
      <c r="Q8" s="35">
        <f t="shared" si="8"/>
        <v>46248.239164444502</v>
      </c>
      <c r="R8" s="41">
        <f t="shared" si="6"/>
        <v>1.45E-4</v>
      </c>
      <c r="S8" s="42">
        <f t="shared" si="7"/>
        <v>36</v>
      </c>
    </row>
    <row r="9" spans="1:19">
      <c r="A9" s="34">
        <v>502001</v>
      </c>
      <c r="B9" s="29" t="s">
        <v>87</v>
      </c>
      <c r="C9" s="34" t="str">
        <f>VLOOKUP(A9,[1]Sheet1!$C$5:$D$220000,2,0)</f>
        <v>RO 2X19.8 BP</v>
      </c>
      <c r="D9" s="30">
        <v>2</v>
      </c>
      <c r="E9" s="30">
        <v>19.8</v>
      </c>
      <c r="F9" s="30">
        <v>3000</v>
      </c>
      <c r="G9" s="31">
        <f t="shared" si="0"/>
        <v>151.51515151515201</v>
      </c>
      <c r="H9" s="30">
        <f t="shared" si="1"/>
        <v>9090.9090909090901</v>
      </c>
      <c r="I9" s="31">
        <f t="shared" si="2"/>
        <v>4.5</v>
      </c>
      <c r="J9" s="31">
        <f>VLOOKUP(A9,'[3]Working WIP for CG Bottleneck'!$C$3:$S$13000,11,0)*60</f>
        <v>9090.9090909091192</v>
      </c>
      <c r="K9" s="31">
        <v>822112</v>
      </c>
      <c r="L9" s="29">
        <f>VLOOKUP(A9,'[3]Working WIP for CG Bottleneck'!$C$3:$S$13000,12,0)</f>
        <v>2</v>
      </c>
      <c r="M9" s="29">
        <f t="shared" si="3"/>
        <v>1644224</v>
      </c>
      <c r="N9" s="33">
        <f t="shared" si="4"/>
        <v>180.86463999999901</v>
      </c>
      <c r="O9" s="32">
        <v>3</v>
      </c>
      <c r="P9" s="34">
        <f t="shared" si="5"/>
        <v>11.304040000000001</v>
      </c>
      <c r="Q9" s="35">
        <f t="shared" si="8"/>
        <v>46259.543204444497</v>
      </c>
      <c r="R9" s="41">
        <f t="shared" si="6"/>
        <v>4.95E-4</v>
      </c>
      <c r="S9" s="42">
        <f t="shared" si="7"/>
        <v>36</v>
      </c>
    </row>
    <row r="10" spans="1:19">
      <c r="A10" s="34">
        <v>501041.65</v>
      </c>
      <c r="B10" s="29" t="s">
        <v>88</v>
      </c>
      <c r="C10" s="34" t="str">
        <f>VLOOKUP(A10,[1]Sheet1!$C$5:$D$220000,2,0)</f>
        <v>RO 2X3 BP</v>
      </c>
      <c r="D10" s="30">
        <v>2</v>
      </c>
      <c r="E10" s="30">
        <v>3</v>
      </c>
      <c r="F10" s="30">
        <v>3000</v>
      </c>
      <c r="G10" s="31">
        <f t="shared" si="0"/>
        <v>1000</v>
      </c>
      <c r="H10" s="30">
        <f t="shared" si="1"/>
        <v>60000</v>
      </c>
      <c r="I10" s="31">
        <f t="shared" si="2"/>
        <v>4.5</v>
      </c>
      <c r="J10" s="31">
        <f>VLOOKUP(A10,'[3]Working WIP for CG Bottleneck'!$C$3:$S$13000,11,0)*60</f>
        <v>60000</v>
      </c>
      <c r="K10" s="31">
        <v>1025399.04813413</v>
      </c>
      <c r="L10" s="29">
        <f>VLOOKUP(A10,'[3]Working WIP for CG Bottleneck'!$C$3:$S$13000,12,0)</f>
        <v>2</v>
      </c>
      <c r="M10" s="29">
        <f t="shared" si="3"/>
        <v>2050798.0962682599</v>
      </c>
      <c r="N10" s="33">
        <f t="shared" si="4"/>
        <v>34.179968271137703</v>
      </c>
      <c r="O10" s="32">
        <v>3</v>
      </c>
      <c r="P10" s="34">
        <f t="shared" si="5"/>
        <v>2.1362480169460998</v>
      </c>
      <c r="Q10" s="35">
        <f>+P10+Q8</f>
        <v>46250.375412461399</v>
      </c>
      <c r="R10" s="41">
        <f t="shared" si="6"/>
        <v>7.4999999999999993E-5</v>
      </c>
      <c r="S10" s="42">
        <f t="shared" si="7"/>
        <v>36</v>
      </c>
    </row>
    <row r="11" spans="1:19">
      <c r="A11" s="43"/>
      <c r="B11" s="44"/>
      <c r="C11" s="43"/>
      <c r="D11" s="45"/>
      <c r="E11" s="45"/>
      <c r="F11" s="45"/>
      <c r="G11" s="45"/>
      <c r="H11" s="45"/>
      <c r="I11" s="46"/>
      <c r="J11" s="46"/>
      <c r="K11" s="47"/>
      <c r="L11" s="44"/>
      <c r="M11" s="44"/>
      <c r="N11" s="48"/>
      <c r="O11" s="49"/>
      <c r="P11" s="43"/>
      <c r="Q11" s="44"/>
      <c r="R11" s="50"/>
      <c r="S11" s="50"/>
    </row>
    <row r="12" spans="1:19">
      <c r="A12" s="43"/>
      <c r="B12" s="44"/>
      <c r="C12" s="43"/>
      <c r="D12" s="45"/>
      <c r="E12" s="45"/>
      <c r="F12" s="45"/>
      <c r="G12" s="45"/>
      <c r="H12" s="45"/>
      <c r="I12" s="46"/>
      <c r="J12" s="46"/>
      <c r="K12" s="47"/>
      <c r="L12" s="44"/>
      <c r="M12" s="44"/>
      <c r="N12" s="48"/>
      <c r="O12" s="49"/>
      <c r="P12" s="43"/>
      <c r="Q12" s="50"/>
      <c r="R12" s="50"/>
      <c r="S12" s="50"/>
    </row>
  </sheetData>
  <conditionalFormatting sqref="B6">
    <cfRule type="expression" dxfId="11" priority="10">
      <formula>#REF!&lt;&gt;""</formula>
    </cfRule>
  </conditionalFormatting>
  <conditionalFormatting sqref="B11:B12">
    <cfRule type="expression" dxfId="10" priority="4">
      <formula>#REF!&lt;&gt;""</formula>
    </cfRule>
  </conditionalFormatting>
  <conditionalFormatting sqref="K2:K12">
    <cfRule type="expression" dxfId="9" priority="1">
      <formula>#REF!&lt;&gt;""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9"/>
  <sheetViews>
    <sheetView topLeftCell="G1" workbookViewId="0">
      <selection activeCell="L32" sqref="L32"/>
    </sheetView>
  </sheetViews>
  <sheetFormatPr defaultColWidth="9.109375" defaultRowHeight="14.4"/>
  <cols>
    <col min="1" max="1" width="10" bestFit="1" customWidth="1"/>
    <col min="2" max="2" width="14.44140625" customWidth="1"/>
    <col min="3" max="3" width="18.33203125" customWidth="1"/>
    <col min="17" max="17" width="14.88671875" customWidth="1"/>
  </cols>
  <sheetData>
    <row r="1" spans="1:19" ht="86.4">
      <c r="A1" s="10" t="s">
        <v>5</v>
      </c>
      <c r="B1" s="10" t="s">
        <v>31</v>
      </c>
      <c r="C1" s="10" t="s">
        <v>32</v>
      </c>
      <c r="D1" s="11" t="s">
        <v>33</v>
      </c>
      <c r="E1" s="11" t="s">
        <v>34</v>
      </c>
      <c r="F1" s="11" t="s">
        <v>35</v>
      </c>
      <c r="G1" s="11" t="s">
        <v>36</v>
      </c>
      <c r="H1" s="11" t="s">
        <v>37</v>
      </c>
      <c r="I1" s="12" t="s">
        <v>57</v>
      </c>
      <c r="J1" s="12" t="s">
        <v>39</v>
      </c>
      <c r="K1" s="12" t="s">
        <v>40</v>
      </c>
      <c r="L1" s="10" t="s">
        <v>41</v>
      </c>
      <c r="M1" s="10" t="s">
        <v>42</v>
      </c>
      <c r="N1" s="10" t="s">
        <v>43</v>
      </c>
      <c r="O1" s="10" t="s">
        <v>44</v>
      </c>
      <c r="P1" s="10" t="s">
        <v>45</v>
      </c>
      <c r="Q1" s="13">
        <v>46224</v>
      </c>
      <c r="R1" s="14" t="s">
        <v>46</v>
      </c>
      <c r="S1" s="14" t="s">
        <v>47</v>
      </c>
    </row>
    <row r="2" spans="1:19">
      <c r="A2" s="15">
        <v>511311.02</v>
      </c>
      <c r="B2" s="16">
        <v>260319014</v>
      </c>
      <c r="C2" s="17" t="str">
        <f>VLOOKUP(A2,[1]Sheet1!$C$5:$D$220000,2,0)</f>
        <v>RO 5.5X19.8 BP.</v>
      </c>
      <c r="D2" s="18">
        <v>5.5</v>
      </c>
      <c r="E2" s="18">
        <v>19.8</v>
      </c>
      <c r="F2" s="19">
        <v>4000</v>
      </c>
      <c r="G2" s="19">
        <f t="shared" ref="G2:G29" si="0">F2/E2</f>
        <v>202.02020202020199</v>
      </c>
      <c r="H2" s="19">
        <f t="shared" ref="H2:H29" si="1">G2*60</f>
        <v>12121.2121212121</v>
      </c>
      <c r="I2" s="19">
        <f t="shared" ref="I2:I29" si="2">H2*R2</f>
        <v>45.375</v>
      </c>
      <c r="J2" s="19">
        <f>VLOOKUP(A2,'[3]Working WIP for CG Bottleneck'!$C$3:$S$13000,11,0)*60</f>
        <v>12121.2121212121</v>
      </c>
      <c r="K2" s="19">
        <v>122865</v>
      </c>
      <c r="L2" s="16">
        <f>VLOOKUP(A2,'[3]Working WIP for CG Bottleneck'!$C$3:$S$13000,12,0)</f>
        <v>2</v>
      </c>
      <c r="M2" s="16">
        <f t="shared" ref="M2:M29" si="3">K2*L2</f>
        <v>245730</v>
      </c>
      <c r="N2" s="20">
        <f t="shared" ref="N2:N29" si="4">M2/J2</f>
        <v>20.272725000000001</v>
      </c>
      <c r="O2" s="21">
        <v>3</v>
      </c>
      <c r="P2" s="17">
        <f t="shared" ref="P2:P29" si="5">SUM(N2:N2)/16</f>
        <v>1.2670453125000001</v>
      </c>
      <c r="Q2" s="22">
        <f t="shared" ref="Q2:Q20" si="6">+P2+Q1</f>
        <v>46225.267045312503</v>
      </c>
      <c r="R2" s="23">
        <f t="shared" ref="R2:R29" si="7">D2*D2*E2*0.00000625</f>
        <v>3.7434374999999998E-3</v>
      </c>
      <c r="S2" s="24">
        <f t="shared" ref="S2:S29" si="8">I2*8</f>
        <v>363</v>
      </c>
    </row>
    <row r="3" spans="1:19">
      <c r="A3" s="17">
        <v>511819.01</v>
      </c>
      <c r="B3" s="16" t="s">
        <v>89</v>
      </c>
      <c r="C3" s="17" t="str">
        <f>VLOOKUP(A3,[1]Sheet1!$C$5:$D$220000,2,0)</f>
        <v>RO 3X15.8</v>
      </c>
      <c r="D3" s="18">
        <v>3</v>
      </c>
      <c r="E3" s="18">
        <v>15.8</v>
      </c>
      <c r="F3" s="19">
        <v>4000</v>
      </c>
      <c r="G3" s="19">
        <f t="shared" si="0"/>
        <v>253.16455696202499</v>
      </c>
      <c r="H3" s="19">
        <f t="shared" si="1"/>
        <v>15189.873417721499</v>
      </c>
      <c r="I3" s="19">
        <f t="shared" si="2"/>
        <v>13.5</v>
      </c>
      <c r="J3" s="19">
        <f>VLOOKUP(A3,'[3]Working WIP for CG Bottleneck'!$C$3:$S$13000,11,0)*60</f>
        <v>15189.873417721499</v>
      </c>
      <c r="K3" s="19">
        <v>505180</v>
      </c>
      <c r="L3" s="16">
        <f>VLOOKUP(A3,'[3]Working WIP for CG Bottleneck'!$C$3:$S$13000,12,0)</f>
        <v>2</v>
      </c>
      <c r="M3" s="16">
        <f t="shared" si="3"/>
        <v>1010360</v>
      </c>
      <c r="N3" s="20">
        <f t="shared" si="4"/>
        <v>66.515366666666793</v>
      </c>
      <c r="O3" s="21">
        <v>3</v>
      </c>
      <c r="P3" s="17">
        <f t="shared" si="5"/>
        <v>4.1572104166666701</v>
      </c>
      <c r="Q3" s="22">
        <f t="shared" si="6"/>
        <v>46229.424255729202</v>
      </c>
      <c r="R3" s="23">
        <f t="shared" si="7"/>
        <v>8.8875E-4</v>
      </c>
      <c r="S3" s="24">
        <f t="shared" si="8"/>
        <v>108</v>
      </c>
    </row>
    <row r="4" spans="1:19">
      <c r="A4" s="17">
        <v>511433.01</v>
      </c>
      <c r="B4" s="16">
        <v>250324009</v>
      </c>
      <c r="C4" s="17" t="str">
        <f>VLOOKUP(A4,[1]Sheet1!$C$5:$D$220000,2,0)</f>
        <v>RO 3.175X17.8</v>
      </c>
      <c r="D4" s="18">
        <v>3.1749999999999998</v>
      </c>
      <c r="E4" s="18">
        <v>17.8</v>
      </c>
      <c r="F4" s="19">
        <v>4000</v>
      </c>
      <c r="G4" s="19">
        <f t="shared" si="0"/>
        <v>224.71910112359501</v>
      </c>
      <c r="H4" s="19">
        <f t="shared" si="1"/>
        <v>13483.146067415701</v>
      </c>
      <c r="I4" s="19">
        <f t="shared" si="2"/>
        <v>15.1209375</v>
      </c>
      <c r="J4" s="19">
        <f>VLOOKUP(A4,'[3]Working WIP for CG Bottleneck'!$C$3:$S$13000,11,0)*60</f>
        <v>13483.146067415701</v>
      </c>
      <c r="K4" s="25">
        <v>41845</v>
      </c>
      <c r="L4" s="16">
        <f>VLOOKUP(A4,'[3]Working WIP for CG Bottleneck'!$C$3:$S$13000,12,0)</f>
        <v>2</v>
      </c>
      <c r="M4" s="16">
        <f t="shared" si="3"/>
        <v>83690</v>
      </c>
      <c r="N4" s="20">
        <f t="shared" si="4"/>
        <v>6.2070083333333503</v>
      </c>
      <c r="O4" s="21">
        <v>3</v>
      </c>
      <c r="P4" s="17">
        <f t="shared" si="5"/>
        <v>0.38793802083333401</v>
      </c>
      <c r="Q4" s="22">
        <f t="shared" si="6"/>
        <v>46229.812193749996</v>
      </c>
      <c r="R4" s="23">
        <f t="shared" si="7"/>
        <v>1.1214695312500001E-3</v>
      </c>
      <c r="S4" s="24">
        <f t="shared" si="8"/>
        <v>120.9675</v>
      </c>
    </row>
    <row r="5" spans="1:19">
      <c r="A5" s="15">
        <v>511433.01</v>
      </c>
      <c r="B5" s="16" t="s">
        <v>90</v>
      </c>
      <c r="C5" s="17" t="str">
        <f>VLOOKUP(A5,[1]Sheet1!$C$5:$D$220000,2,0)</f>
        <v>RO 3.175X17.8</v>
      </c>
      <c r="D5" s="18">
        <v>3.1749999999999998</v>
      </c>
      <c r="E5" s="18">
        <v>17.8</v>
      </c>
      <c r="F5" s="19">
        <v>4000</v>
      </c>
      <c r="G5" s="19">
        <f t="shared" si="0"/>
        <v>224.71910112359501</v>
      </c>
      <c r="H5" s="19">
        <f t="shared" si="1"/>
        <v>13483.146067415701</v>
      </c>
      <c r="I5" s="19">
        <f t="shared" si="2"/>
        <v>15.1209375</v>
      </c>
      <c r="J5" s="19">
        <f>VLOOKUP(A5,'[3]Working WIP for CG Bottleneck'!$C$3:$S$13000,11,0)*60</f>
        <v>13483.146067415701</v>
      </c>
      <c r="K5" s="19">
        <v>153959.799385716</v>
      </c>
      <c r="L5" s="16">
        <f>VLOOKUP(A5,'[3]Working WIP for CG Bottleneck'!$C$3:$S$13000,12,0)</f>
        <v>2</v>
      </c>
      <c r="M5" s="21">
        <f t="shared" si="3"/>
        <v>307919.59877143201</v>
      </c>
      <c r="N5" s="20">
        <f t="shared" si="4"/>
        <v>22.8373702422146</v>
      </c>
      <c r="O5" s="21"/>
      <c r="P5" s="17">
        <f t="shared" si="5"/>
        <v>1.4273356401384101</v>
      </c>
      <c r="Q5" s="22">
        <f t="shared" si="6"/>
        <v>46231.239529390099</v>
      </c>
      <c r="R5" s="23">
        <f t="shared" si="7"/>
        <v>1.1214695312500001E-3</v>
      </c>
      <c r="S5" s="24">
        <f t="shared" si="8"/>
        <v>120.9675</v>
      </c>
    </row>
    <row r="6" spans="1:19">
      <c r="A6" s="15">
        <v>503133</v>
      </c>
      <c r="B6" s="16">
        <v>230816002</v>
      </c>
      <c r="C6" s="16" t="s">
        <v>91</v>
      </c>
      <c r="D6" s="18">
        <v>3.2789999999999999</v>
      </c>
      <c r="E6" s="18">
        <v>11.6</v>
      </c>
      <c r="F6" s="19">
        <v>4000</v>
      </c>
      <c r="G6" s="19">
        <f t="shared" si="0"/>
        <v>344.82758620689702</v>
      </c>
      <c r="H6" s="19">
        <f t="shared" si="1"/>
        <v>20689.655172413801</v>
      </c>
      <c r="I6" s="19">
        <f t="shared" si="2"/>
        <v>16.127761499999998</v>
      </c>
      <c r="J6" s="19">
        <f>VLOOKUP(A6,'[3]Working WIP for CG Bottleneck'!$C$3:$S$13000,11,0)*60</f>
        <v>20689.655172413801</v>
      </c>
      <c r="K6" s="19">
        <v>10075</v>
      </c>
      <c r="L6" s="16">
        <f>VLOOKUP(A6,'[3]Working WIP for CG Bottleneck'!$C$3:$S$13000,12,0)</f>
        <v>2</v>
      </c>
      <c r="M6" s="21">
        <f t="shared" si="3"/>
        <v>20150</v>
      </c>
      <c r="N6" s="20">
        <f t="shared" si="4"/>
        <v>0.97391666666666499</v>
      </c>
      <c r="O6" s="21">
        <v>3</v>
      </c>
      <c r="P6" s="17">
        <f t="shared" si="5"/>
        <v>6.0869791666666603E-2</v>
      </c>
      <c r="Q6" s="22">
        <f t="shared" si="6"/>
        <v>46231.300399181797</v>
      </c>
      <c r="R6" s="23">
        <f t="shared" si="7"/>
        <v>7.795084725E-4</v>
      </c>
      <c r="S6" s="24">
        <f t="shared" si="8"/>
        <v>129.02209199999999</v>
      </c>
    </row>
    <row r="7" spans="1:19">
      <c r="A7" s="15">
        <v>503139</v>
      </c>
      <c r="B7" s="16" t="s">
        <v>92</v>
      </c>
      <c r="C7" s="17" t="str">
        <f>VLOOKUP(A7,[1]Sheet1!$C$5:$D$220000,2,0)</f>
        <v>RO 3.20X19.3 BR</v>
      </c>
      <c r="D7" s="18">
        <v>3.2</v>
      </c>
      <c r="E7" s="18">
        <v>19.3</v>
      </c>
      <c r="F7" s="19">
        <v>4000</v>
      </c>
      <c r="G7" s="19">
        <f t="shared" si="0"/>
        <v>207.253886010363</v>
      </c>
      <c r="H7" s="19">
        <f t="shared" si="1"/>
        <v>12435.233160621799</v>
      </c>
      <c r="I7" s="19">
        <f t="shared" si="2"/>
        <v>15.36</v>
      </c>
      <c r="J7" s="19">
        <f>VLOOKUP(A7,'[3]Working WIP for CG Bottleneck'!$C$3:$S$13000,11,0)*60</f>
        <v>12435.233160621799</v>
      </c>
      <c r="K7" s="19">
        <v>85339.835416031696</v>
      </c>
      <c r="L7" s="16">
        <f>VLOOKUP(A7,'[3]Working WIP for CG Bottleneck'!$C$3:$S$13000,12,0)</f>
        <v>2</v>
      </c>
      <c r="M7" s="21">
        <f t="shared" si="3"/>
        <v>170679.67083206301</v>
      </c>
      <c r="N7" s="20">
        <f t="shared" si="4"/>
        <v>13.7254901960784</v>
      </c>
      <c r="O7" s="21">
        <v>3</v>
      </c>
      <c r="P7" s="17">
        <f t="shared" si="5"/>
        <v>0.85784313725490102</v>
      </c>
      <c r="Q7" s="22">
        <f t="shared" si="6"/>
        <v>46232.158242319099</v>
      </c>
      <c r="R7" s="23">
        <f t="shared" si="7"/>
        <v>1.2352000000000001E-3</v>
      </c>
      <c r="S7" s="24">
        <f t="shared" si="8"/>
        <v>122.88</v>
      </c>
    </row>
    <row r="8" spans="1:19">
      <c r="A8" s="15">
        <v>502024</v>
      </c>
      <c r="B8" s="16">
        <v>241228003</v>
      </c>
      <c r="C8" s="17" t="str">
        <f>VLOOKUP(A8,[1]Sheet1!$C$5:$D$220000,2,0)</f>
        <v>RO 3X6.8 BP</v>
      </c>
      <c r="D8" s="18">
        <v>3</v>
      </c>
      <c r="E8" s="18">
        <v>6.8</v>
      </c>
      <c r="F8" s="19">
        <v>4000</v>
      </c>
      <c r="G8" s="19">
        <f t="shared" si="0"/>
        <v>588.23529411764696</v>
      </c>
      <c r="H8" s="19">
        <f t="shared" si="1"/>
        <v>35294.117647058803</v>
      </c>
      <c r="I8" s="19">
        <f t="shared" si="2"/>
        <v>13.5</v>
      </c>
      <c r="J8" s="19">
        <f>VLOOKUP(A8,'[3]Working WIP for CG Bottleneck'!$C$3:$S$13000,11,0)*60</f>
        <v>35294.117647058803</v>
      </c>
      <c r="K8" s="19">
        <v>114890</v>
      </c>
      <c r="L8" s="16">
        <f>VLOOKUP(A8,'[3]Working WIP for CG Bottleneck'!$C$3:$S$13000,12,0)</f>
        <v>2</v>
      </c>
      <c r="M8" s="21">
        <f t="shared" si="3"/>
        <v>229780</v>
      </c>
      <c r="N8" s="20">
        <f t="shared" si="4"/>
        <v>6.5104333333333297</v>
      </c>
      <c r="O8" s="21">
        <v>3</v>
      </c>
      <c r="P8" s="17">
        <f t="shared" si="5"/>
        <v>0.406902083333333</v>
      </c>
      <c r="Q8" s="22">
        <f t="shared" si="6"/>
        <v>46232.565144402397</v>
      </c>
      <c r="R8" s="23">
        <f t="shared" si="7"/>
        <v>3.8249999999999997E-4</v>
      </c>
      <c r="S8" s="24">
        <f t="shared" si="8"/>
        <v>108</v>
      </c>
    </row>
    <row r="9" spans="1:19">
      <c r="A9" s="15">
        <v>501177</v>
      </c>
      <c r="B9" s="16" t="s">
        <v>93</v>
      </c>
      <c r="C9" s="16" t="s">
        <v>94</v>
      </c>
      <c r="D9" s="18">
        <v>3</v>
      </c>
      <c r="E9" s="18">
        <v>14.8</v>
      </c>
      <c r="F9" s="19">
        <v>4000</v>
      </c>
      <c r="G9" s="19">
        <f t="shared" si="0"/>
        <v>270.27027027026998</v>
      </c>
      <c r="H9" s="19">
        <f t="shared" si="1"/>
        <v>16216.2162162162</v>
      </c>
      <c r="I9" s="19">
        <f t="shared" si="2"/>
        <v>13.5</v>
      </c>
      <c r="J9" s="19">
        <f>VLOOKUP(A9,'[3]Working WIP for CG Bottleneck'!$C$3:$S$13000,11,0)*60</f>
        <v>16216.2162162162</v>
      </c>
      <c r="K9" s="19">
        <v>371785</v>
      </c>
      <c r="L9" s="16">
        <f>VLOOKUP(A9,'[3]Working WIP for CG Bottleneck'!$C$3:$S$13000,12,0)</f>
        <v>2</v>
      </c>
      <c r="M9" s="21">
        <f t="shared" si="3"/>
        <v>743570</v>
      </c>
      <c r="N9" s="20">
        <f t="shared" si="4"/>
        <v>45.853483333333401</v>
      </c>
      <c r="O9" s="21">
        <v>3</v>
      </c>
      <c r="P9" s="17">
        <f t="shared" si="5"/>
        <v>2.8658427083333402</v>
      </c>
      <c r="Q9" s="22">
        <f t="shared" si="6"/>
        <v>46235.430987110703</v>
      </c>
      <c r="R9" s="23">
        <f t="shared" si="7"/>
        <v>8.3250000000000002E-4</v>
      </c>
      <c r="S9" s="24">
        <f t="shared" si="8"/>
        <v>108</v>
      </c>
    </row>
    <row r="10" spans="1:19">
      <c r="A10" s="15">
        <v>503138</v>
      </c>
      <c r="B10" s="16">
        <v>250827012</v>
      </c>
      <c r="C10" s="16" t="s">
        <v>95</v>
      </c>
      <c r="D10" s="18">
        <v>2.778</v>
      </c>
      <c r="E10" s="18">
        <v>11.17</v>
      </c>
      <c r="F10" s="19">
        <v>4000</v>
      </c>
      <c r="G10" s="19">
        <f t="shared" si="0"/>
        <v>358.10205908683997</v>
      </c>
      <c r="H10" s="19">
        <f t="shared" si="1"/>
        <v>21486.123545210401</v>
      </c>
      <c r="I10" s="19">
        <f t="shared" si="2"/>
        <v>11.575926000000001</v>
      </c>
      <c r="J10" s="19">
        <f>VLOOKUP(A10,'[3]Working WIP for CG Bottleneck'!$C$3:$S$13000,11,0)*60</f>
        <v>21486.123545210401</v>
      </c>
      <c r="K10" s="19">
        <v>144359</v>
      </c>
      <c r="L10" s="16">
        <f>VLOOKUP(A10,'[3]Working WIP for CG Bottleneck'!$C$3:$S$13000,12,0)</f>
        <v>2</v>
      </c>
      <c r="M10" s="21">
        <f t="shared" si="3"/>
        <v>288718</v>
      </c>
      <c r="N10" s="20">
        <f t="shared" si="4"/>
        <v>13.437416916666701</v>
      </c>
      <c r="O10" s="21">
        <v>3</v>
      </c>
      <c r="P10" s="17">
        <f t="shared" si="5"/>
        <v>0.83983855729166601</v>
      </c>
      <c r="Q10" s="22">
        <f t="shared" si="6"/>
        <v>46236.270825667998</v>
      </c>
      <c r="R10" s="23">
        <f t="shared" si="7"/>
        <v>5.3876288924999995E-4</v>
      </c>
      <c r="S10" s="24">
        <f t="shared" si="8"/>
        <v>92.607408000000007</v>
      </c>
    </row>
    <row r="11" spans="1:19">
      <c r="A11" s="15">
        <v>503145</v>
      </c>
      <c r="B11" s="16">
        <v>251208010</v>
      </c>
      <c r="C11" s="16" t="s">
        <v>96</v>
      </c>
      <c r="D11" s="18">
        <v>3.1480000000000001</v>
      </c>
      <c r="E11" s="18">
        <v>14.8</v>
      </c>
      <c r="F11" s="19">
        <v>4000</v>
      </c>
      <c r="G11" s="19">
        <f t="shared" si="0"/>
        <v>270.27027027026998</v>
      </c>
      <c r="H11" s="19">
        <f t="shared" si="1"/>
        <v>16216.2162162162</v>
      </c>
      <c r="I11" s="19">
        <f t="shared" si="2"/>
        <v>14.864856</v>
      </c>
      <c r="J11" s="19">
        <f>VLOOKUP(A11,'[3]Working WIP for CG Bottleneck'!$C$3:$S$13000,11,0)*60</f>
        <v>16216.2162162162</v>
      </c>
      <c r="K11" s="19">
        <v>22605</v>
      </c>
      <c r="L11" s="16">
        <f>VLOOKUP(A11,'[3]Working WIP for CG Bottleneck'!$C$3:$S$13000,12,0)</f>
        <v>2</v>
      </c>
      <c r="M11" s="21">
        <f t="shared" si="3"/>
        <v>45210</v>
      </c>
      <c r="N11" s="20">
        <f t="shared" si="4"/>
        <v>2.7879499999999999</v>
      </c>
      <c r="O11" s="21">
        <v>3</v>
      </c>
      <c r="P11" s="17">
        <f t="shared" si="5"/>
        <v>0.174246875</v>
      </c>
      <c r="Q11" s="22">
        <f t="shared" si="6"/>
        <v>46236.445072543</v>
      </c>
      <c r="R11" s="23">
        <f t="shared" si="7"/>
        <v>9.1666611999999996E-4</v>
      </c>
      <c r="S11" s="24">
        <f t="shared" si="8"/>
        <v>118.918848</v>
      </c>
    </row>
    <row r="12" spans="1:19">
      <c r="A12" s="15">
        <v>503143</v>
      </c>
      <c r="B12" s="16">
        <v>241229001</v>
      </c>
      <c r="C12" s="16" t="s">
        <v>97</v>
      </c>
      <c r="D12" s="18">
        <v>3.1480000000000001</v>
      </c>
      <c r="E12" s="18">
        <v>18.05</v>
      </c>
      <c r="F12" s="19">
        <v>4000</v>
      </c>
      <c r="G12" s="19">
        <f t="shared" si="0"/>
        <v>221.606648199446</v>
      </c>
      <c r="H12" s="19">
        <f t="shared" si="1"/>
        <v>13296.398891966801</v>
      </c>
      <c r="I12" s="19">
        <f t="shared" si="2"/>
        <v>14.864856</v>
      </c>
      <c r="J12" s="19">
        <f>VLOOKUP(A12,'[3]Working WIP for CG Bottleneck'!$C$3:$S$13000,11,0)*60</f>
        <v>13296.398891966801</v>
      </c>
      <c r="K12" s="26">
        <v>41700</v>
      </c>
      <c r="L12" s="16">
        <f>VLOOKUP(A12,'[3]Working WIP for CG Bottleneck'!$C$3:$S$13000,12,0)</f>
        <v>2</v>
      </c>
      <c r="M12" s="21">
        <f t="shared" si="3"/>
        <v>83400</v>
      </c>
      <c r="N12" s="20">
        <f t="shared" si="4"/>
        <v>6.2723750000000003</v>
      </c>
      <c r="O12" s="21">
        <v>3</v>
      </c>
      <c r="P12" s="17">
        <f t="shared" si="5"/>
        <v>0.39202343750000002</v>
      </c>
      <c r="Q12" s="22">
        <f t="shared" si="6"/>
        <v>46236.837095980503</v>
      </c>
      <c r="R12" s="23">
        <f t="shared" si="7"/>
        <v>1.117961045E-3</v>
      </c>
      <c r="S12" s="24">
        <f t="shared" si="8"/>
        <v>118.918848</v>
      </c>
    </row>
    <row r="13" spans="1:19">
      <c r="A13" s="15">
        <v>500397.25</v>
      </c>
      <c r="B13" s="15" t="s">
        <v>98</v>
      </c>
      <c r="C13" s="15" t="s">
        <v>99</v>
      </c>
      <c r="D13" s="18">
        <v>3.1749999999999998</v>
      </c>
      <c r="E13" s="18">
        <v>23.6</v>
      </c>
      <c r="F13" s="19">
        <v>4000</v>
      </c>
      <c r="G13" s="19">
        <f t="shared" si="0"/>
        <v>169.491525423729</v>
      </c>
      <c r="H13" s="19">
        <f t="shared" si="1"/>
        <v>10169.4915254237</v>
      </c>
      <c r="I13" s="19">
        <f t="shared" si="2"/>
        <v>15.1209375</v>
      </c>
      <c r="J13" s="19">
        <f>VLOOKUP(A13,'[3]Working WIP for CG Bottleneck'!$C$3:$S$13000,11,0)*60</f>
        <v>10169.4915254237</v>
      </c>
      <c r="K13" s="19">
        <v>107324</v>
      </c>
      <c r="L13" s="16">
        <f>VLOOKUP(A13,'[3]Working WIP for CG Bottleneck'!$C$3:$S$13000,12,0)</f>
        <v>2</v>
      </c>
      <c r="M13" s="21">
        <f t="shared" si="3"/>
        <v>214648</v>
      </c>
      <c r="N13" s="20">
        <f t="shared" si="4"/>
        <v>21.107053333333301</v>
      </c>
      <c r="O13" s="21">
        <v>3</v>
      </c>
      <c r="P13" s="17">
        <f t="shared" si="5"/>
        <v>1.31919083333333</v>
      </c>
      <c r="Q13" s="22">
        <f t="shared" si="6"/>
        <v>46238.156286813901</v>
      </c>
      <c r="R13" s="23">
        <f t="shared" si="7"/>
        <v>1.4868921875E-3</v>
      </c>
      <c r="S13" s="24">
        <f t="shared" si="8"/>
        <v>120.9675</v>
      </c>
    </row>
    <row r="14" spans="1:19">
      <c r="A14" s="15">
        <v>502005</v>
      </c>
      <c r="B14" s="27">
        <v>240425002</v>
      </c>
      <c r="C14" s="17" t="str">
        <f>VLOOKUP(A14,[1]Sheet1!$C$5:$D$220000,2,0)</f>
        <v>RO 3X12.8 BP</v>
      </c>
      <c r="D14" s="18">
        <v>3</v>
      </c>
      <c r="E14" s="18">
        <v>12.8</v>
      </c>
      <c r="F14" s="19">
        <v>4000</v>
      </c>
      <c r="G14" s="19">
        <f t="shared" si="0"/>
        <v>312.5</v>
      </c>
      <c r="H14" s="19">
        <f t="shared" si="1"/>
        <v>18750</v>
      </c>
      <c r="I14" s="19">
        <f t="shared" si="2"/>
        <v>13.5</v>
      </c>
      <c r="J14" s="19">
        <v>14063</v>
      </c>
      <c r="K14" s="19">
        <v>7995</v>
      </c>
      <c r="L14" s="16">
        <v>2</v>
      </c>
      <c r="M14" s="21">
        <f t="shared" si="3"/>
        <v>15990</v>
      </c>
      <c r="N14" s="20">
        <f t="shared" si="4"/>
        <v>1.13702623906706</v>
      </c>
      <c r="O14" s="21">
        <v>3</v>
      </c>
      <c r="P14" s="17">
        <f t="shared" si="5"/>
        <v>7.1064139941691001E-2</v>
      </c>
      <c r="Q14" s="22">
        <f t="shared" si="6"/>
        <v>46238.227350953799</v>
      </c>
      <c r="R14" s="23">
        <f t="shared" si="7"/>
        <v>7.2000000000000005E-4</v>
      </c>
      <c r="S14" s="24">
        <f t="shared" si="8"/>
        <v>108</v>
      </c>
    </row>
    <row r="15" spans="1:19">
      <c r="A15" s="15">
        <v>502005</v>
      </c>
      <c r="B15" s="15" t="s">
        <v>100</v>
      </c>
      <c r="C15" s="17" t="str">
        <f>VLOOKUP(A15,[1]Sheet1!$C$5:$D$220000,2,0)</f>
        <v>RO 3X12.8 BP</v>
      </c>
      <c r="D15" s="18">
        <v>3</v>
      </c>
      <c r="E15" s="18">
        <v>12.8</v>
      </c>
      <c r="F15" s="19">
        <v>4000</v>
      </c>
      <c r="G15" s="19">
        <f t="shared" si="0"/>
        <v>312.5</v>
      </c>
      <c r="H15" s="19">
        <f t="shared" si="1"/>
        <v>18750</v>
      </c>
      <c r="I15" s="19">
        <f t="shared" si="2"/>
        <v>13.5</v>
      </c>
      <c r="J15" s="19">
        <v>14063</v>
      </c>
      <c r="K15" s="19">
        <v>124716</v>
      </c>
      <c r="L15" s="16">
        <v>2</v>
      </c>
      <c r="M15" s="21">
        <f t="shared" si="3"/>
        <v>249432</v>
      </c>
      <c r="N15" s="20">
        <f t="shared" si="4"/>
        <v>17.736756026452401</v>
      </c>
      <c r="O15" s="21"/>
      <c r="P15" s="17">
        <f t="shared" si="5"/>
        <v>1.1085472516532699</v>
      </c>
      <c r="Q15" s="22">
        <f t="shared" si="6"/>
        <v>46239.335898205398</v>
      </c>
      <c r="R15" s="23">
        <f t="shared" si="7"/>
        <v>7.2000000000000005E-4</v>
      </c>
      <c r="S15" s="24">
        <f t="shared" si="8"/>
        <v>108</v>
      </c>
    </row>
    <row r="16" spans="1:19">
      <c r="A16" s="15">
        <v>511995</v>
      </c>
      <c r="B16" s="16">
        <v>240407030</v>
      </c>
      <c r="C16" s="17" t="str">
        <f>VLOOKUP(A16,[1]Sheet1!$C$5:$D$220000,2,0)</f>
        <v>RO 3X13.8  BR</v>
      </c>
      <c r="D16" s="18">
        <v>3</v>
      </c>
      <c r="E16" s="18">
        <v>13.8</v>
      </c>
      <c r="F16" s="19">
        <v>4000</v>
      </c>
      <c r="G16" s="19">
        <f t="shared" si="0"/>
        <v>289.85507246376801</v>
      </c>
      <c r="H16" s="19">
        <f t="shared" si="1"/>
        <v>17391.304347826099</v>
      </c>
      <c r="I16" s="19">
        <f t="shared" si="2"/>
        <v>13.5</v>
      </c>
      <c r="J16" s="19">
        <v>21739</v>
      </c>
      <c r="K16" s="19">
        <v>20835</v>
      </c>
      <c r="L16" s="16">
        <v>2</v>
      </c>
      <c r="M16" s="21">
        <f t="shared" si="3"/>
        <v>41670</v>
      </c>
      <c r="N16" s="20">
        <f t="shared" si="4"/>
        <v>1.91683150098901</v>
      </c>
      <c r="O16" s="21">
        <v>3</v>
      </c>
      <c r="P16" s="17">
        <f t="shared" si="5"/>
        <v>0.119801968811813</v>
      </c>
      <c r="Q16" s="22">
        <f t="shared" si="6"/>
        <v>46239.455700174301</v>
      </c>
      <c r="R16" s="23">
        <f t="shared" si="7"/>
        <v>7.7625000000000003E-4</v>
      </c>
      <c r="S16" s="24">
        <f t="shared" si="8"/>
        <v>108</v>
      </c>
    </row>
    <row r="17" spans="1:19">
      <c r="A17" s="15">
        <v>511995</v>
      </c>
      <c r="B17" s="16">
        <v>240904004</v>
      </c>
      <c r="C17" s="17" t="str">
        <f>VLOOKUP(A17,[1]Sheet1!$C$5:$D$220000,2,0)</f>
        <v>RO 3X13.8  BR</v>
      </c>
      <c r="D17" s="18">
        <v>3</v>
      </c>
      <c r="E17" s="18">
        <v>13.8</v>
      </c>
      <c r="F17" s="19">
        <v>4000</v>
      </c>
      <c r="G17" s="19">
        <f t="shared" si="0"/>
        <v>289.85507246376801</v>
      </c>
      <c r="H17" s="19">
        <f t="shared" si="1"/>
        <v>17391.304347826099</v>
      </c>
      <c r="I17" s="19">
        <f t="shared" si="2"/>
        <v>13.5</v>
      </c>
      <c r="J17" s="19">
        <v>21739</v>
      </c>
      <c r="K17" s="19">
        <v>45608</v>
      </c>
      <c r="L17" s="16">
        <v>2</v>
      </c>
      <c r="M17" s="21">
        <f t="shared" si="3"/>
        <v>91216</v>
      </c>
      <c r="N17" s="20">
        <f t="shared" si="4"/>
        <v>4.1959611757670503</v>
      </c>
      <c r="O17" s="21"/>
      <c r="P17" s="17">
        <f t="shared" si="5"/>
        <v>0.26224757348544098</v>
      </c>
      <c r="Q17" s="22">
        <f t="shared" si="6"/>
        <v>46239.717947747697</v>
      </c>
      <c r="R17" s="23">
        <f t="shared" si="7"/>
        <v>7.7625000000000003E-4</v>
      </c>
      <c r="S17" s="24">
        <f t="shared" si="8"/>
        <v>108</v>
      </c>
    </row>
    <row r="18" spans="1:19">
      <c r="A18" s="15">
        <v>511995</v>
      </c>
      <c r="B18" s="16" t="s">
        <v>101</v>
      </c>
      <c r="C18" s="17" t="str">
        <f>VLOOKUP(A18,[1]Sheet1!$C$5:$D$220000,2,0)</f>
        <v>RO 3X13.8  BR</v>
      </c>
      <c r="D18" s="18">
        <v>3</v>
      </c>
      <c r="E18" s="18">
        <v>13.8</v>
      </c>
      <c r="F18" s="19">
        <v>4000</v>
      </c>
      <c r="G18" s="19">
        <f t="shared" si="0"/>
        <v>289.85507246376801</v>
      </c>
      <c r="H18" s="19">
        <f t="shared" si="1"/>
        <v>17391.304347826099</v>
      </c>
      <c r="I18" s="19">
        <f t="shared" si="2"/>
        <v>13.5</v>
      </c>
      <c r="J18" s="19">
        <v>21739</v>
      </c>
      <c r="K18" s="19">
        <v>560461</v>
      </c>
      <c r="L18" s="16">
        <v>2</v>
      </c>
      <c r="M18" s="21">
        <f t="shared" si="3"/>
        <v>1120922</v>
      </c>
      <c r="N18" s="20">
        <f t="shared" si="4"/>
        <v>51.562721376328298</v>
      </c>
      <c r="O18" s="21"/>
      <c r="P18" s="17">
        <f t="shared" si="5"/>
        <v>3.22267008602052</v>
      </c>
      <c r="Q18" s="22">
        <f t="shared" si="6"/>
        <v>46242.940617833803</v>
      </c>
      <c r="R18" s="23">
        <f t="shared" si="7"/>
        <v>7.7625000000000003E-4</v>
      </c>
      <c r="S18" s="24">
        <f t="shared" si="8"/>
        <v>108</v>
      </c>
    </row>
    <row r="19" spans="1:19">
      <c r="A19" s="15">
        <v>511994</v>
      </c>
      <c r="B19" s="16" t="s">
        <v>102</v>
      </c>
      <c r="C19" s="17" t="str">
        <f>VLOOKUP(A19,[1]Sheet1!$C$5:$D$220000,2,0)</f>
        <v>RO 3X21.8</v>
      </c>
      <c r="D19" s="18">
        <v>3</v>
      </c>
      <c r="E19" s="18">
        <v>21.8</v>
      </c>
      <c r="F19" s="19">
        <v>4000</v>
      </c>
      <c r="G19" s="19">
        <f t="shared" si="0"/>
        <v>183.48623853211001</v>
      </c>
      <c r="H19" s="19">
        <f t="shared" si="1"/>
        <v>11009.174311926599</v>
      </c>
      <c r="I19" s="19">
        <f t="shared" si="2"/>
        <v>13.5</v>
      </c>
      <c r="J19" s="19">
        <v>13761</v>
      </c>
      <c r="K19" s="19">
        <v>354787</v>
      </c>
      <c r="L19" s="16">
        <v>2</v>
      </c>
      <c r="M19" s="21">
        <f t="shared" si="3"/>
        <v>709574</v>
      </c>
      <c r="N19" s="20">
        <f t="shared" si="4"/>
        <v>51.564130513770799</v>
      </c>
      <c r="O19" s="21">
        <v>3</v>
      </c>
      <c r="P19" s="17">
        <f t="shared" si="5"/>
        <v>3.22275815711067</v>
      </c>
      <c r="Q19" s="22">
        <f t="shared" si="6"/>
        <v>46246.163375990902</v>
      </c>
      <c r="R19" s="23">
        <f t="shared" si="7"/>
        <v>1.2262499999999999E-3</v>
      </c>
      <c r="S19" s="24">
        <f t="shared" si="8"/>
        <v>108</v>
      </c>
    </row>
    <row r="20" spans="1:19">
      <c r="A20" s="15">
        <v>511965.11</v>
      </c>
      <c r="B20" s="16">
        <v>260203006</v>
      </c>
      <c r="C20" s="17" t="str">
        <f>VLOOKUP(A20,[1]Sheet1!$C$5:$D$220000,2,0)</f>
        <v>RO 3X23</v>
      </c>
      <c r="D20" s="18">
        <v>3</v>
      </c>
      <c r="E20" s="18">
        <v>23</v>
      </c>
      <c r="F20" s="19">
        <v>4000</v>
      </c>
      <c r="G20" s="19">
        <f t="shared" si="0"/>
        <v>173.91304347826099</v>
      </c>
      <c r="H20" s="19">
        <f t="shared" si="1"/>
        <v>10434.782608695699</v>
      </c>
      <c r="I20" s="19">
        <f t="shared" si="2"/>
        <v>13.5</v>
      </c>
      <c r="J20" s="19">
        <v>13043</v>
      </c>
      <c r="K20" s="19">
        <v>13402</v>
      </c>
      <c r="L20" s="16">
        <v>2</v>
      </c>
      <c r="M20" s="21">
        <f t="shared" si="3"/>
        <v>26804</v>
      </c>
      <c r="N20" s="20">
        <f t="shared" si="4"/>
        <v>2.0550486851184502</v>
      </c>
      <c r="O20" s="21">
        <v>3</v>
      </c>
      <c r="P20" s="17">
        <f t="shared" si="5"/>
        <v>0.128440542819903</v>
      </c>
      <c r="Q20" s="22">
        <f t="shared" si="6"/>
        <v>46246.291816533703</v>
      </c>
      <c r="R20" s="23">
        <f t="shared" si="7"/>
        <v>1.29375E-3</v>
      </c>
      <c r="S20" s="24">
        <f t="shared" si="8"/>
        <v>108</v>
      </c>
    </row>
    <row r="21" spans="1:19">
      <c r="A21" s="15">
        <v>511965.11</v>
      </c>
      <c r="B21" s="16" t="s">
        <v>103</v>
      </c>
      <c r="C21" s="17" t="str">
        <f>VLOOKUP(A21,[1]Sheet1!$C$5:$D$220000,2,0)</f>
        <v>RO 3X23</v>
      </c>
      <c r="D21" s="18">
        <v>3</v>
      </c>
      <c r="E21" s="18">
        <v>23</v>
      </c>
      <c r="F21" s="19">
        <v>4000</v>
      </c>
      <c r="G21" s="19">
        <f t="shared" si="0"/>
        <v>173.91304347826099</v>
      </c>
      <c r="H21" s="19">
        <f t="shared" si="1"/>
        <v>10434.782608695699</v>
      </c>
      <c r="I21" s="19">
        <f t="shared" si="2"/>
        <v>13.5</v>
      </c>
      <c r="J21" s="19">
        <v>13043</v>
      </c>
      <c r="K21" s="19">
        <v>173168</v>
      </c>
      <c r="L21" s="16">
        <v>2</v>
      </c>
      <c r="M21" s="21">
        <f t="shared" si="3"/>
        <v>346336</v>
      </c>
      <c r="N21" s="20">
        <f t="shared" si="4"/>
        <v>26.553400291344001</v>
      </c>
      <c r="O21" s="21"/>
      <c r="P21" s="17">
        <f t="shared" si="5"/>
        <v>1.6595875182090001</v>
      </c>
      <c r="Q21" s="22">
        <f>+P21+Q20+6</f>
        <v>46253.951404051899</v>
      </c>
      <c r="R21" s="23">
        <f t="shared" si="7"/>
        <v>1.29375E-3</v>
      </c>
      <c r="S21" s="24">
        <f t="shared" si="8"/>
        <v>108</v>
      </c>
    </row>
    <row r="22" spans="1:19">
      <c r="A22" s="28">
        <v>511446</v>
      </c>
      <c r="B22" s="29">
        <v>260107010</v>
      </c>
      <c r="C22" s="29" t="s">
        <v>104</v>
      </c>
      <c r="D22" s="30">
        <v>2.5</v>
      </c>
      <c r="E22" s="30">
        <v>23.8</v>
      </c>
      <c r="F22" s="31">
        <v>4000</v>
      </c>
      <c r="G22" s="31">
        <f t="shared" si="0"/>
        <v>168.06722689075599</v>
      </c>
      <c r="H22" s="31">
        <f t="shared" si="1"/>
        <v>10084.033613445399</v>
      </c>
      <c r="I22" s="31">
        <f t="shared" si="2"/>
        <v>9.375</v>
      </c>
      <c r="J22" s="31">
        <f>VLOOKUP(A22,'[3]Working WIP for CG Bottleneck'!$C$3:$S$13000,11,0)*60</f>
        <v>7563.0252100840198</v>
      </c>
      <c r="K22" s="31">
        <v>95731</v>
      </c>
      <c r="L22" s="29">
        <v>2</v>
      </c>
      <c r="M22" s="32">
        <f t="shared" si="3"/>
        <v>191462</v>
      </c>
      <c r="N22" s="33">
        <f t="shared" si="4"/>
        <v>25.315531111111198</v>
      </c>
      <c r="O22" s="32"/>
      <c r="P22" s="34">
        <f t="shared" si="5"/>
        <v>1.5822206944444499</v>
      </c>
      <c r="Q22" s="35">
        <f t="shared" ref="Q22:Q29" si="9">+P22+Q21</f>
        <v>46255.533624746298</v>
      </c>
      <c r="R22" s="23">
        <f t="shared" si="7"/>
        <v>9.2968749999999996E-4</v>
      </c>
      <c r="S22" s="24">
        <f t="shared" si="8"/>
        <v>75</v>
      </c>
    </row>
    <row r="23" spans="1:19">
      <c r="A23" s="28">
        <v>511042</v>
      </c>
      <c r="B23" s="29">
        <v>260214006</v>
      </c>
      <c r="C23" s="29" t="s">
        <v>105</v>
      </c>
      <c r="D23" s="30">
        <v>2.5</v>
      </c>
      <c r="E23" s="30">
        <v>10.8</v>
      </c>
      <c r="F23" s="31">
        <v>4000</v>
      </c>
      <c r="G23" s="31">
        <f t="shared" si="0"/>
        <v>370.37037037036998</v>
      </c>
      <c r="H23" s="31">
        <f t="shared" si="1"/>
        <v>22222.222222222201</v>
      </c>
      <c r="I23" s="31">
        <f t="shared" si="2"/>
        <v>9.375</v>
      </c>
      <c r="J23" s="31">
        <f>VLOOKUP(A23,'[3]Working WIP for CG Bottleneck'!$C$3:$S$13000,11,0)*60</f>
        <v>16666.666666666701</v>
      </c>
      <c r="K23" s="31">
        <v>206742</v>
      </c>
      <c r="L23" s="29">
        <v>2</v>
      </c>
      <c r="M23" s="32">
        <f t="shared" si="3"/>
        <v>413484</v>
      </c>
      <c r="N23" s="33">
        <f t="shared" si="4"/>
        <v>24.80904</v>
      </c>
      <c r="O23" s="32"/>
      <c r="P23" s="34">
        <f t="shared" si="5"/>
        <v>1.550565</v>
      </c>
      <c r="Q23" s="35">
        <f t="shared" si="9"/>
        <v>46257.084189746303</v>
      </c>
      <c r="R23" s="23">
        <f t="shared" si="7"/>
        <v>4.21875E-4</v>
      </c>
      <c r="S23" s="24">
        <f t="shared" si="8"/>
        <v>75</v>
      </c>
    </row>
    <row r="24" spans="1:19">
      <c r="A24" s="28">
        <v>511130</v>
      </c>
      <c r="B24" s="29" t="s">
        <v>106</v>
      </c>
      <c r="C24" s="29" t="s">
        <v>107</v>
      </c>
      <c r="D24" s="30">
        <v>2.5</v>
      </c>
      <c r="E24" s="30">
        <v>13.8</v>
      </c>
      <c r="F24" s="31">
        <v>4000</v>
      </c>
      <c r="G24" s="31">
        <f t="shared" si="0"/>
        <v>289.85507246376801</v>
      </c>
      <c r="H24" s="31">
        <f t="shared" si="1"/>
        <v>17391.304347826099</v>
      </c>
      <c r="I24" s="31">
        <f t="shared" si="2"/>
        <v>9.375</v>
      </c>
      <c r="J24" s="31">
        <f>VLOOKUP(A24,'[3]Working WIP for CG Bottleneck'!$C$3:$S$13000,11,0)*60</f>
        <v>13043.4782608696</v>
      </c>
      <c r="K24" s="31">
        <v>163449</v>
      </c>
      <c r="L24" s="29">
        <v>2</v>
      </c>
      <c r="M24" s="32">
        <f t="shared" si="3"/>
        <v>326898</v>
      </c>
      <c r="N24" s="33">
        <f t="shared" si="4"/>
        <v>25.062180000000001</v>
      </c>
      <c r="O24" s="32"/>
      <c r="P24" s="34">
        <f t="shared" si="5"/>
        <v>1.5663862500000001</v>
      </c>
      <c r="Q24" s="35">
        <f t="shared" si="9"/>
        <v>46258.650575996297</v>
      </c>
      <c r="R24" s="23">
        <f t="shared" si="7"/>
        <v>5.3906250000000005E-4</v>
      </c>
      <c r="S24" s="24">
        <f t="shared" si="8"/>
        <v>75</v>
      </c>
    </row>
    <row r="25" spans="1:19">
      <c r="A25" s="28">
        <v>511060</v>
      </c>
      <c r="B25" s="29" t="s">
        <v>108</v>
      </c>
      <c r="C25" s="29" t="s">
        <v>109</v>
      </c>
      <c r="D25" s="30">
        <v>2.5</v>
      </c>
      <c r="E25" s="30">
        <v>9.8000000000000007</v>
      </c>
      <c r="F25" s="31">
        <v>4000</v>
      </c>
      <c r="G25" s="31">
        <f t="shared" si="0"/>
        <v>408.16326530612201</v>
      </c>
      <c r="H25" s="31">
        <f t="shared" si="1"/>
        <v>24489.795918367301</v>
      </c>
      <c r="I25" s="31">
        <f t="shared" si="2"/>
        <v>9.375</v>
      </c>
      <c r="J25" s="31">
        <f>VLOOKUP(A25,'[3]Working WIP for CG Bottleneck'!$C$3:$S$13000,11,0)*60</f>
        <v>24489.795918367301</v>
      </c>
      <c r="K25" s="31">
        <v>230163.977303274</v>
      </c>
      <c r="L25" s="29">
        <v>2</v>
      </c>
      <c r="M25" s="32">
        <f t="shared" si="3"/>
        <v>460327.95460654801</v>
      </c>
      <c r="N25" s="33">
        <f t="shared" si="4"/>
        <v>18.796724813100699</v>
      </c>
      <c r="O25" s="32"/>
      <c r="P25" s="34">
        <f t="shared" si="5"/>
        <v>1.1747953008187999</v>
      </c>
      <c r="Q25" s="35">
        <f t="shared" si="9"/>
        <v>46259.8253712972</v>
      </c>
      <c r="R25" s="23">
        <f t="shared" si="7"/>
        <v>3.8281250000000001E-4</v>
      </c>
      <c r="S25" s="24">
        <f t="shared" si="8"/>
        <v>75</v>
      </c>
    </row>
    <row r="26" spans="1:19">
      <c r="A26" s="28">
        <v>511209.01</v>
      </c>
      <c r="B26" s="29">
        <v>260118016</v>
      </c>
      <c r="C26" s="29" t="s">
        <v>110</v>
      </c>
      <c r="D26" s="30">
        <v>2.5</v>
      </c>
      <c r="E26" s="30">
        <v>16.8</v>
      </c>
      <c r="F26" s="31">
        <v>4000</v>
      </c>
      <c r="G26" s="31">
        <f t="shared" si="0"/>
        <v>238.09523809523799</v>
      </c>
      <c r="H26" s="31">
        <f t="shared" si="1"/>
        <v>14285.714285714301</v>
      </c>
      <c r="I26" s="31">
        <f t="shared" si="2"/>
        <v>9.375</v>
      </c>
      <c r="J26" s="31">
        <f>VLOOKUP(A26,'[3]Working WIP for CG Bottleneck'!$C$3:$S$13000,11,0)*60</f>
        <v>10714.285714285699</v>
      </c>
      <c r="K26" s="31">
        <v>135619</v>
      </c>
      <c r="L26" s="29">
        <v>2</v>
      </c>
      <c r="M26" s="32">
        <f t="shared" si="3"/>
        <v>271238</v>
      </c>
      <c r="N26" s="33">
        <f t="shared" si="4"/>
        <v>25.315546666666599</v>
      </c>
      <c r="O26" s="32"/>
      <c r="P26" s="34">
        <f t="shared" si="5"/>
        <v>1.58222166666666</v>
      </c>
      <c r="Q26" s="35">
        <f t="shared" si="9"/>
        <v>46261.407592963798</v>
      </c>
      <c r="R26" s="23">
        <f t="shared" si="7"/>
        <v>6.5625000000000004E-4</v>
      </c>
      <c r="S26" s="24">
        <f t="shared" si="8"/>
        <v>75</v>
      </c>
    </row>
    <row r="27" spans="1:19">
      <c r="A27" s="28">
        <v>511209.01</v>
      </c>
      <c r="B27" s="29">
        <v>260301024</v>
      </c>
      <c r="C27" s="29" t="s">
        <v>110</v>
      </c>
      <c r="D27" s="30">
        <v>2.5</v>
      </c>
      <c r="E27" s="30">
        <v>16.8</v>
      </c>
      <c r="F27" s="31">
        <v>4000</v>
      </c>
      <c r="G27" s="31">
        <f t="shared" si="0"/>
        <v>238.09523809523799</v>
      </c>
      <c r="H27" s="31">
        <f t="shared" si="1"/>
        <v>14285.714285714301</v>
      </c>
      <c r="I27" s="31">
        <f t="shared" si="2"/>
        <v>9.375</v>
      </c>
      <c r="J27" s="31">
        <f>VLOOKUP(A27,'[3]Working WIP for CG Bottleneck'!$C$3:$S$13000,11,0)*60</f>
        <v>10714.285714285699</v>
      </c>
      <c r="K27" s="31">
        <v>146467</v>
      </c>
      <c r="L27" s="29">
        <v>2</v>
      </c>
      <c r="M27" s="32">
        <f t="shared" si="3"/>
        <v>292934</v>
      </c>
      <c r="N27" s="33">
        <f t="shared" si="4"/>
        <v>27.340506666666599</v>
      </c>
      <c r="O27" s="32"/>
      <c r="P27" s="34">
        <f t="shared" si="5"/>
        <v>1.70878166666666</v>
      </c>
      <c r="Q27" s="35">
        <f t="shared" si="9"/>
        <v>46263.116374630503</v>
      </c>
      <c r="R27" s="23">
        <f t="shared" si="7"/>
        <v>6.5625000000000004E-4</v>
      </c>
      <c r="S27" s="24">
        <f t="shared" si="8"/>
        <v>75</v>
      </c>
    </row>
    <row r="28" spans="1:19">
      <c r="A28" s="28">
        <v>511209.01</v>
      </c>
      <c r="B28" s="29" t="s">
        <v>111</v>
      </c>
      <c r="C28" s="29" t="s">
        <v>110</v>
      </c>
      <c r="D28" s="30">
        <v>2.5</v>
      </c>
      <c r="E28" s="30">
        <v>16.8</v>
      </c>
      <c r="F28" s="31">
        <v>4000</v>
      </c>
      <c r="G28" s="31">
        <f t="shared" si="0"/>
        <v>238.09523809523799</v>
      </c>
      <c r="H28" s="31">
        <f t="shared" si="1"/>
        <v>14285.714285714301</v>
      </c>
      <c r="I28" s="31">
        <f t="shared" si="2"/>
        <v>9.375</v>
      </c>
      <c r="J28" s="31">
        <f>VLOOKUP(A28,'[3]Working WIP for CG Bottleneck'!$C$3:$S$13000,11,0)*60</f>
        <v>10714.285714285699</v>
      </c>
      <c r="K28" s="31">
        <v>162742</v>
      </c>
      <c r="L28" s="29">
        <v>2</v>
      </c>
      <c r="M28" s="32">
        <f t="shared" si="3"/>
        <v>325484</v>
      </c>
      <c r="N28" s="33">
        <f t="shared" si="4"/>
        <v>30.378506666666599</v>
      </c>
      <c r="O28" s="32"/>
      <c r="P28" s="34">
        <f t="shared" si="5"/>
        <v>1.89865666666666</v>
      </c>
      <c r="Q28" s="35">
        <f t="shared" si="9"/>
        <v>46265.015031297196</v>
      </c>
      <c r="R28" s="23">
        <f t="shared" si="7"/>
        <v>6.5625000000000004E-4</v>
      </c>
      <c r="S28" s="24">
        <f t="shared" si="8"/>
        <v>75</v>
      </c>
    </row>
    <row r="29" spans="1:19">
      <c r="A29" s="28">
        <v>511209.01</v>
      </c>
      <c r="B29" s="29" t="s">
        <v>112</v>
      </c>
      <c r="C29" s="29" t="s">
        <v>110</v>
      </c>
      <c r="D29" s="30">
        <v>2.5</v>
      </c>
      <c r="E29" s="30">
        <v>16.8</v>
      </c>
      <c r="F29" s="31">
        <v>4000</v>
      </c>
      <c r="G29" s="31">
        <f t="shared" si="0"/>
        <v>238.09523809523799</v>
      </c>
      <c r="H29" s="31">
        <f t="shared" si="1"/>
        <v>14285.714285714301</v>
      </c>
      <c r="I29" s="31">
        <f t="shared" si="2"/>
        <v>9.375</v>
      </c>
      <c r="J29" s="31">
        <f>VLOOKUP(A29,'[3]Working WIP for CG Bottleneck'!$C$3:$S$13000,11,0)*60</f>
        <v>10714.285714285699</v>
      </c>
      <c r="K29" s="31">
        <v>508569</v>
      </c>
      <c r="L29" s="29">
        <v>2</v>
      </c>
      <c r="M29" s="32">
        <f t="shared" si="3"/>
        <v>1017138</v>
      </c>
      <c r="N29" s="33">
        <f t="shared" si="4"/>
        <v>94.932879999999798</v>
      </c>
      <c r="O29" s="32"/>
      <c r="P29" s="34">
        <f t="shared" si="5"/>
        <v>5.9333049999999901</v>
      </c>
      <c r="Q29" s="35">
        <f t="shared" si="9"/>
        <v>46270.948336297202</v>
      </c>
      <c r="R29" s="23">
        <f t="shared" si="7"/>
        <v>6.5625000000000004E-4</v>
      </c>
      <c r="S29" s="24">
        <f t="shared" si="8"/>
        <v>75</v>
      </c>
    </row>
  </sheetData>
  <conditionalFormatting sqref="A6">
    <cfRule type="expression" dxfId="8" priority="24">
      <formula>#REF!&lt;&gt;""</formula>
    </cfRule>
  </conditionalFormatting>
  <conditionalFormatting sqref="C6">
    <cfRule type="expression" dxfId="7" priority="23">
      <formula>#REF!&lt;&gt;""</formula>
    </cfRule>
  </conditionalFormatting>
  <conditionalFormatting sqref="C12:D12">
    <cfRule type="expression" dxfId="6" priority="17">
      <formula>#REF!&lt;&gt;""</formula>
    </cfRule>
  </conditionalFormatting>
  <conditionalFormatting sqref="C9:E11">
    <cfRule type="expression" dxfId="5" priority="19">
      <formula>#REF!&lt;&gt;""</formula>
    </cfRule>
  </conditionalFormatting>
  <conditionalFormatting sqref="C22:E29">
    <cfRule type="expression" dxfId="4" priority="2">
      <formula>#REF!&lt;&gt;""</formula>
    </cfRule>
  </conditionalFormatting>
  <conditionalFormatting sqref="K2:K3">
    <cfRule type="expression" dxfId="3" priority="30">
      <formula>#REF!&lt;&gt;""</formula>
    </cfRule>
  </conditionalFormatting>
  <conditionalFormatting sqref="K5:K29">
    <cfRule type="expression" dxfId="2" priority="1">
      <formula>#REF!&lt;&gt;""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ColWidth="9.109375" defaultRowHeight="14.4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O18" sqref="O18"/>
    </sheetView>
  </sheetViews>
  <sheetFormatPr defaultColWidth="9.109375" defaultRowHeight="14.4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K21"/>
  <sheetViews>
    <sheetView workbookViewId="0">
      <selection activeCell="O9" sqref="O9"/>
    </sheetView>
  </sheetViews>
  <sheetFormatPr defaultColWidth="9.109375" defaultRowHeight="14.4"/>
  <cols>
    <col min="1" max="1" width="9.109375" style="1"/>
    <col min="2" max="2" width="11.88671875" style="2" customWidth="1"/>
    <col min="3" max="7" width="9.109375" style="1"/>
    <col min="8" max="8" width="9.109375" style="1" hidden="1" customWidth="1"/>
    <col min="9" max="9" width="13.44140625" style="1" hidden="1" customWidth="1"/>
    <col min="10" max="10" width="20.5546875" style="1" hidden="1" customWidth="1"/>
    <col min="11" max="11" width="9.33203125" style="1" hidden="1" customWidth="1"/>
    <col min="12" max="16384" width="9.109375" style="1"/>
  </cols>
  <sheetData>
    <row r="1" spans="2:11" ht="21" customHeight="1">
      <c r="H1" s="114" t="s">
        <v>113</v>
      </c>
      <c r="I1" s="114"/>
      <c r="J1" s="114"/>
      <c r="K1" s="114"/>
    </row>
    <row r="2" spans="2:11" ht="27.6">
      <c r="B2" s="3"/>
      <c r="E2" s="1" t="s">
        <v>114</v>
      </c>
      <c r="H2" s="4" t="s">
        <v>3</v>
      </c>
      <c r="I2" s="5" t="s">
        <v>5</v>
      </c>
      <c r="J2" s="5" t="s">
        <v>6</v>
      </c>
      <c r="K2" s="4" t="s">
        <v>115</v>
      </c>
    </row>
    <row r="3" spans="2:11" ht="18.899999999999999" customHeight="1">
      <c r="B3" s="3"/>
      <c r="H3" s="6">
        <v>1</v>
      </c>
      <c r="I3" s="7">
        <v>200299.13</v>
      </c>
      <c r="J3" s="6" t="s">
        <v>116</v>
      </c>
      <c r="K3" s="8">
        <v>20000</v>
      </c>
    </row>
    <row r="4" spans="2:11" ht="18.899999999999999" customHeight="1">
      <c r="B4" s="3"/>
      <c r="H4" s="6">
        <v>2</v>
      </c>
      <c r="I4" s="7">
        <v>100299.14</v>
      </c>
      <c r="J4" s="6" t="s">
        <v>117</v>
      </c>
      <c r="K4" s="8">
        <v>20000</v>
      </c>
    </row>
    <row r="5" spans="2:11" ht="18.899999999999999" customHeight="1">
      <c r="B5" s="3"/>
      <c r="H5" s="6">
        <v>3</v>
      </c>
      <c r="I5" s="7">
        <v>200299.25</v>
      </c>
      <c r="J5" s="6" t="s">
        <v>118</v>
      </c>
      <c r="K5" s="8">
        <v>20000</v>
      </c>
    </row>
    <row r="6" spans="2:11" ht="18.899999999999999" customHeight="1">
      <c r="B6" s="3"/>
      <c r="H6" s="6">
        <v>4</v>
      </c>
      <c r="I6" s="7">
        <v>208249</v>
      </c>
      <c r="J6" s="6" t="s">
        <v>119</v>
      </c>
      <c r="K6" s="8">
        <v>15000</v>
      </c>
    </row>
    <row r="7" spans="2:11" ht="18.899999999999999" customHeight="1">
      <c r="B7" s="3"/>
      <c r="H7" s="6">
        <v>5</v>
      </c>
      <c r="I7" s="7">
        <v>100744</v>
      </c>
      <c r="J7" s="6" t="s">
        <v>120</v>
      </c>
      <c r="K7" s="8">
        <v>10000</v>
      </c>
    </row>
    <row r="8" spans="2:11" ht="18.899999999999999" customHeight="1">
      <c r="B8" s="3"/>
      <c r="H8" s="6">
        <v>6</v>
      </c>
      <c r="I8" s="7">
        <v>104246</v>
      </c>
      <c r="J8" s="6" t="s">
        <v>121</v>
      </c>
      <c r="K8" s="8">
        <v>1500</v>
      </c>
    </row>
    <row r="9" spans="2:11" ht="18.899999999999999" customHeight="1">
      <c r="B9" s="3"/>
      <c r="H9" s="6">
        <v>7</v>
      </c>
      <c r="I9" s="7">
        <v>104247</v>
      </c>
      <c r="J9" s="6" t="s">
        <v>122</v>
      </c>
      <c r="K9" s="8">
        <v>10000</v>
      </c>
    </row>
    <row r="10" spans="2:11" ht="18.899999999999999" customHeight="1">
      <c r="B10" s="3"/>
      <c r="H10" s="6">
        <v>8</v>
      </c>
      <c r="I10" s="7">
        <v>208247</v>
      </c>
      <c r="J10" s="6" t="s">
        <v>123</v>
      </c>
      <c r="K10" s="8">
        <v>10000</v>
      </c>
    </row>
    <row r="11" spans="2:11" ht="18.899999999999999" customHeight="1">
      <c r="B11" s="3"/>
      <c r="H11" s="6">
        <v>9</v>
      </c>
      <c r="I11" s="7">
        <v>100261</v>
      </c>
      <c r="J11" s="6" t="s">
        <v>124</v>
      </c>
      <c r="K11" s="8">
        <v>5000</v>
      </c>
    </row>
    <row r="12" spans="2:11" ht="18.899999999999999" customHeight="1">
      <c r="B12" s="3"/>
      <c r="H12" s="6">
        <v>10</v>
      </c>
      <c r="I12" s="7">
        <v>200261</v>
      </c>
      <c r="J12" s="6" t="s">
        <v>125</v>
      </c>
      <c r="K12" s="8">
        <v>5000</v>
      </c>
    </row>
    <row r="13" spans="2:11" ht="18.899999999999999" customHeight="1">
      <c r="B13" s="3"/>
      <c r="H13" s="6">
        <v>11</v>
      </c>
      <c r="I13" s="7">
        <v>104299</v>
      </c>
      <c r="J13" s="7" t="s">
        <v>126</v>
      </c>
      <c r="K13" s="8">
        <v>10000</v>
      </c>
    </row>
    <row r="14" spans="2:11" ht="18.899999999999999" customHeight="1">
      <c r="B14" s="3"/>
      <c r="H14" s="6">
        <v>12</v>
      </c>
      <c r="I14" s="7">
        <v>104737</v>
      </c>
      <c r="J14" s="7" t="s">
        <v>127</v>
      </c>
      <c r="K14" s="8">
        <v>5000</v>
      </c>
    </row>
    <row r="15" spans="2:11" ht="18.899999999999999" customHeight="1">
      <c r="B15" s="3"/>
      <c r="H15" s="6">
        <v>13</v>
      </c>
      <c r="I15" s="7">
        <v>100742</v>
      </c>
      <c r="J15" s="7" t="s">
        <v>128</v>
      </c>
      <c r="K15" s="8">
        <v>5000</v>
      </c>
    </row>
    <row r="16" spans="2:11" ht="18.899999999999999" customHeight="1">
      <c r="H16" s="6">
        <v>14</v>
      </c>
      <c r="I16" s="7">
        <v>208556</v>
      </c>
      <c r="J16" s="6" t="s">
        <v>129</v>
      </c>
      <c r="K16" s="8">
        <v>500</v>
      </c>
    </row>
    <row r="17" spans="8:11" ht="18.899999999999999" customHeight="1">
      <c r="H17" s="6">
        <v>15</v>
      </c>
      <c r="I17" s="7">
        <v>104556</v>
      </c>
      <c r="J17" s="6" t="s">
        <v>130</v>
      </c>
      <c r="K17" s="8">
        <v>500</v>
      </c>
    </row>
    <row r="18" spans="8:11" ht="18.899999999999999" customHeight="1">
      <c r="H18" s="6">
        <v>16</v>
      </c>
      <c r="I18" s="7">
        <v>100935</v>
      </c>
      <c r="J18" s="6" t="s">
        <v>131</v>
      </c>
      <c r="K18" s="8">
        <v>2000</v>
      </c>
    </row>
    <row r="19" spans="8:11" ht="18.899999999999999" customHeight="1">
      <c r="H19" s="6">
        <v>17</v>
      </c>
      <c r="I19" s="7">
        <v>200935</v>
      </c>
      <c r="J19" s="6" t="s">
        <v>132</v>
      </c>
      <c r="K19" s="8">
        <v>2000</v>
      </c>
    </row>
    <row r="21" spans="8:11">
      <c r="H21" s="9" t="s">
        <v>133</v>
      </c>
      <c r="I21" s="9"/>
      <c r="J21" s="9"/>
      <c r="K21" s="9">
        <f>SUM(K3:K19)</f>
        <v>141500</v>
      </c>
    </row>
  </sheetData>
  <mergeCells count="1">
    <mergeCell ref="H1:K1"/>
  </mergeCells>
  <conditionalFormatting sqref="I3">
    <cfRule type="duplicateValues" dxfId="1" priority="1"/>
  </conditionalFormatting>
  <conditionalFormatting sqref="I4:I5 I16:I17">
    <cfRule type="duplicateValues" dxfId="0" priority="5"/>
  </conditionalFormatting>
  <pageMargins left="0.75" right="0.75" top="1" bottom="1" header="0.51180555555555596" footer="0.511805555555555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Unit 3 (Roller)</vt:lpstr>
      <vt:lpstr>WC-01</vt:lpstr>
      <vt:lpstr>WC-02</vt:lpstr>
      <vt:lpstr>WC-03</vt:lpstr>
      <vt:lpstr>FG-05</vt:lpstr>
      <vt:lpstr>CG-05</vt:lpstr>
      <vt:lpstr>CG-06</vt:lpstr>
      <vt:lpstr>CG-07</vt:lpstr>
      <vt:lpstr>CG-08</vt:lpstr>
      <vt:lpstr>QE-132</vt:lpstr>
      <vt:lpstr>QE-133</vt:lpstr>
      <vt:lpstr>Drop down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Nikhil Rana</cp:lastModifiedBy>
  <dcterms:created xsi:type="dcterms:W3CDTF">2020-04-06T11:40:00Z</dcterms:created>
  <dcterms:modified xsi:type="dcterms:W3CDTF">2026-08-24T13:41:35Z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1033-12.1.0.27458</vt:lpwstr>
  </property>
  <property fmtid="{D5CDD505-2E9C-101B-9397-08002B2CF9AE}" pid="3" name="KSOReadingLayout">
    <vt:bool>true</vt:bool>
  </property>
  <property fmtid="{D5CDD505-2E9C-101B-9397-08002B2CF9AE}" pid="4" name="ICV">
    <vt:lpwstr>428829345A174334B1F0F71B35BFC11C</vt:lpwstr>
  </property>
  <property fmtid="{D5CDD505-2E9C-101B-9397-08002B2CF9AE}" pid="5" name="CalculationRule">
    <vt:i4>0</vt:i4>
  </property>
</Properties>
</file>