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480"/>
  </bookViews>
  <sheets>
    <sheet name="18.08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<sst xmlns="http://schemas.openxmlformats.org/spreadsheetml/2006/main" count="48" uniqueCount="41">
  <si>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M/C Production Required Summery Sheet   
(Shell Setion 1st Shift)) Date:-18.08.2026 (09:00 TO 07:30)</t>
  </si>
  <si>
    <t>M/C</t>
  </si>
  <si>
    <t>Working time</t>
  </si>
  <si>
    <t xml:space="preserve">Shift </t>
  </si>
  <si>
    <t>Item Code</t>
  </si>
  <si>
    <t>Operator
 name</t>
  </si>
  <si>
    <t>Cycle Time</t>
  </si>
  <si>
    <t>Plan
Qty</t>
  </si>
  <si>
    <t>Ach. Qty.</t>
  </si>
  <si>
    <t>Back Log</t>
  </si>
  <si>
    <t>Efficiency</t>
  </si>
  <si>
    <t>Re- Marks</t>
  </si>
  <si>
    <t>PP-01</t>
  </si>
  <si>
    <t>PP-02</t>
  </si>
  <si>
    <t>I</t>
  </si>
  <si>
    <t>GFMOR009.0</t>
  </si>
  <si>
    <t>SANNU</t>
  </si>
  <si>
    <t>4 HRS MAINTENANCE TIME + 5  HRS SURFACE GRINDING</t>
  </si>
  <si>
    <t>PP-03</t>
  </si>
  <si>
    <t>VIPUL</t>
  </si>
  <si>
    <t>AF-01</t>
  </si>
  <si>
    <t>`</t>
  </si>
  <si>
    <t>AF-02</t>
  </si>
  <si>
    <t>GFZOR529.4</t>
  </si>
  <si>
    <t>RAJENDRA</t>
  </si>
  <si>
    <t>0609 OD CHECK</t>
  </si>
  <si>
    <t>AF-03</t>
  </si>
  <si>
    <t>PARSOTTAM</t>
  </si>
  <si>
    <t>1 HRS M/C L-02 CUTTING</t>
  </si>
  <si>
    <t>AF-04</t>
  </si>
  <si>
    <t>GFZOR019.0</t>
  </si>
  <si>
    <t>JAYDEV</t>
  </si>
  <si>
    <t>HF-03</t>
  </si>
  <si>
    <t>MAHESH</t>
  </si>
  <si>
    <t>L-01</t>
  </si>
  <si>
    <t>SF-01</t>
  </si>
  <si>
    <t>SF-02</t>
  </si>
  <si>
    <t>SF-03</t>
  </si>
  <si>
    <t>SF-05</t>
  </si>
  <si>
    <t>Total Qty</t>
  </si>
  <si>
    <t>Ach.%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</si>
</sst>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</numFmts>
  <fonts count="28">
    <font>
      <sz val="11"/>
      <color theme="1"/>
      <name val="Calibri"/>
      <charset val="134"/>
      <scheme val="minor"/>
    </font>
    <font>
      <sz val="10"/>
      <color theme="1"/>
      <name val="Cambria"/>
      <charset val="134"/>
    </font>
    <font>
      <b/>
      <sz val="16"/>
      <color rgb="FF000000"/>
      <name val="Cambria"/>
      <charset val="134"/>
    </font>
    <font>
      <sz val="13"/>
      <color theme="1"/>
      <name val="Cambria"/>
      <charset val="134"/>
    </font>
    <font>
      <sz val="14"/>
      <name val="Cambria"/>
      <charset val="134"/>
    </font>
    <font>
      <sz val="12"/>
      <color theme="1"/>
      <name val="Cambria"/>
      <charset val="134"/>
    </font>
    <font>
      <sz val="12"/>
      <color theme="1"/>
      <name val="Calibri"/>
      <charset val="134"/>
      <scheme val="minor"/>
    </font>
    <font>
      <sz val="12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/>
      <protection hidden="1"/>
    </xf>
    <xf numFmtId="0" fontId="5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 applyProtection="1">
      <alignment horizontal="center" vertical="center"/>
      <protection hidden="1"/>
    </xf>
    <xf numFmtId="0" fontId="7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7" fillId="0" borderId="1" xfId="0" applyNumberFormat="1" applyFont="1" applyFill="1" applyBorder="1" applyAlignment="1" applyProtection="1">
      <alignment horizontal="center" vertical="center"/>
      <protection hidden="1"/>
    </xf>
    <xf numFmtId="0" fontId="5" fillId="0" borderId="1" xfId="0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 applyProtection="1">
      <alignment horizontal="left" vertical="center"/>
      <protection hidden="1"/>
    </xf>
    <xf numFmtId="178" fontId="8" fillId="0" borderId="1" xfId="0" applyNumberFormat="1" applyFont="1" applyFill="1" applyBorder="1" applyAlignment="1" applyProtection="1">
      <alignment horizontal="center" vertical="center"/>
      <protection hidden="1"/>
    </xf>
    <xf numFmtId="178" fontId="8" fillId="0" borderId="1" xfId="0" applyNumberFormat="1" applyFont="1" applyFill="1" applyBorder="1" applyAlignment="1" applyProtection="1">
      <alignment horizontal="right" vertical="center"/>
      <protection hidden="1"/>
    </xf>
    <xf numFmtId="178" fontId="8" fillId="4" borderId="1" xfId="0" applyNumberFormat="1" applyFont="1" applyFill="1" applyBorder="1" applyAlignment="1" applyProtection="1">
      <alignment horizontal="center" vertical="center"/>
      <protection hidden="1"/>
    </xf>
    <xf numFmtId="0" fontId="1" fillId="0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B2:O17"/>
  <sheetViews>
    <sheetView tabSelected="1" zoomScale="80" zoomScaleNormal="80" workbookViewId="0">
      <selection activeCell="H9" sqref="H9"/>
    </sheetView>
  </sheetViews>
  <sheetFormatPr defaultColWidth="9.14285714285714" defaultRowHeight="15"/>
  <cols>
    <col min="1" max="1" width="9.14285714285714" style="1"/>
    <col min="2" max="2" width="17.952380952381" style="2" customWidth="1"/>
    <col min="3" max="3" width="12.1428571428571" style="2" customWidth="1"/>
    <col min="4" max="4" width="12.1428571428571" style="3" customWidth="1"/>
    <col min="5" max="5" width="17.1428571428571" style="2" customWidth="1"/>
    <col min="6" max="6" width="21.8571428571429" style="2" customWidth="1"/>
    <col min="7" max="7" width="13.047619047619" style="2" customWidth="1"/>
    <col min="8" max="8" width="12.4285714285714" style="2" customWidth="1"/>
    <col min="9" max="9" width="12.6571428571429" style="2" customWidth="1"/>
    <col min="10" max="10" width="14.4857142857143" style="2" customWidth="1"/>
    <col min="11" max="11" width="16.9047619047619" style="2" customWidth="1"/>
    <col min="12" max="12" width="66.0285714285714" style="2" customWidth="1"/>
    <col min="13" max="13" width="24.8857142857143" style="1" customWidth="1"/>
    <col min="14" max="35" width="9.14285714285714" style="1" customWidth="1"/>
    <col min="36" max="16282" width="9.14285714285714" style="2" customWidth="1"/>
    <col min="16283" max="16356" width="9.14285714285714" style="1" customWidth="1"/>
    <col min="16357" max="16384" width="9.14285714285714" style="1"/>
  </cols>
  <sheetData>
    <row r="2" ht="47" customHeight="1" spans="2:15">
      <c r="B2" s="4" t="s">
        <v>0</v>
      </c>
      <c r="C2" s="4"/>
      <c r="D2" s="4"/>
      <c r="E2" s="4"/>
      <c r="F2" s="5"/>
      <c r="G2" s="5"/>
      <c r="H2" s="5"/>
      <c r="I2" s="5"/>
      <c r="J2" s="5"/>
      <c r="K2" s="5"/>
      <c r="L2" s="5"/>
    </row>
    <row r="3" ht="33" spans="2:15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7" t="s">
        <v>6</v>
      </c>
      <c r="H3" s="6" t="s">
        <v>7</v>
      </c>
      <c r="I3" s="6" t="s">
        <v>8</v>
      </c>
      <c r="J3" s="6" t="s">
        <v>9</v>
      </c>
      <c r="K3" s="8" t="s">
        <v>10</v>
      </c>
      <c r="L3" s="7" t="s">
        <v>11</v>
      </c>
    </row>
    <row r="4" ht="18" spans="2:15">
      <c r="B4" s="9" t="s">
        <v>12</v>
      </c>
      <c r="C4" s="10"/>
      <c r="D4" s="9"/>
      <c r="E4" s="11"/>
      <c r="F4" s="11"/>
      <c r="G4" s="11"/>
      <c r="H4" s="12">
        <f t="shared" ref="H4:H16" si="0">G4*C4</f>
        <v>0</v>
      </c>
      <c r="I4" s="11"/>
      <c r="J4" s="12">
        <f t="shared" ref="J4:J16" si="1">H4-I4</f>
        <v>0</v>
      </c>
      <c r="K4" s="12" t="str">
        <f t="shared" ref="K4:K16" si="2">IFERROR(I4*100/H4," ")</f>
        <v> </v>
      </c>
      <c r="L4" s="13"/>
    </row>
    <row r="5" ht="18" spans="2:15">
      <c r="B5" s="9" t="s">
        <v>13</v>
      </c>
      <c r="C5" s="14">
        <v>1</v>
      </c>
      <c r="D5" s="9" t="s">
        <v>14</v>
      </c>
      <c r="E5" s="11" t="s">
        <v>15</v>
      </c>
      <c r="F5" s="11" t="s">
        <v>16</v>
      </c>
      <c r="G5" s="11">
        <v>2000</v>
      </c>
      <c r="H5" s="12">
        <f t="shared" si="0"/>
        <v>2000</v>
      </c>
      <c r="I5" s="11">
        <v>1500</v>
      </c>
      <c r="J5" s="12">
        <f t="shared" si="1"/>
        <v>500</v>
      </c>
      <c r="K5" s="12">
        <f t="shared" si="2"/>
        <v>75</v>
      </c>
      <c r="L5" s="13" t="s">
        <v>17</v>
      </c>
    </row>
    <row r="6" ht="18" spans="2:15">
      <c r="B6" s="9" t="s">
        <v>18</v>
      </c>
      <c r="C6" s="14">
        <v>10</v>
      </c>
      <c r="D6" s="9" t="s">
        <v>14</v>
      </c>
      <c r="E6" s="11" t="s">
        <v>15</v>
      </c>
      <c r="F6" s="11" t="s">
        <v>19</v>
      </c>
      <c r="G6" s="11">
        <v>800</v>
      </c>
      <c r="H6" s="12">
        <f t="shared" si="0"/>
        <v>8000</v>
      </c>
      <c r="I6" s="11">
        <v>7200</v>
      </c>
      <c r="J6" s="12">
        <f t="shared" si="1"/>
        <v>800</v>
      </c>
      <c r="K6" s="12">
        <f t="shared" si="2"/>
        <v>90</v>
      </c>
      <c r="L6" s="13"/>
    </row>
    <row r="7" ht="18" spans="2:15">
      <c r="B7" s="9" t="s">
        <v>20</v>
      </c>
      <c r="C7" s="14"/>
      <c r="D7" s="9"/>
      <c r="E7" s="11"/>
      <c r="F7" s="11"/>
      <c r="G7" s="11"/>
      <c r="H7" s="12">
        <f t="shared" si="0"/>
        <v>0</v>
      </c>
      <c r="I7" s="11"/>
      <c r="J7" s="12">
        <f t="shared" si="1"/>
        <v>0</v>
      </c>
      <c r="K7" s="12" t="str">
        <f t="shared" si="2"/>
        <v> </v>
      </c>
      <c r="L7" s="13"/>
      <c r="O7" s="1" t="s">
        <v>21</v>
      </c>
    </row>
    <row r="8" ht="18" spans="2:15">
      <c r="B8" s="9" t="s">
        <v>22</v>
      </c>
      <c r="C8" s="14">
        <v>4</v>
      </c>
      <c r="D8" s="9" t="s">
        <v>14</v>
      </c>
      <c r="E8" s="11" t="s">
        <v>23</v>
      </c>
      <c r="F8" s="11" t="s">
        <v>24</v>
      </c>
      <c r="G8" s="11">
        <v>480</v>
      </c>
      <c r="H8" s="12">
        <f t="shared" si="0"/>
        <v>1920</v>
      </c>
      <c r="I8" s="11">
        <v>1710</v>
      </c>
      <c r="J8" s="12">
        <f t="shared" si="1"/>
        <v>210</v>
      </c>
      <c r="K8" s="12">
        <f t="shared" si="2"/>
        <v>89.0625</v>
      </c>
      <c r="L8" s="13" t="s">
        <v>25</v>
      </c>
    </row>
    <row r="9" ht="18" customHeight="1" spans="2:15">
      <c r="B9" s="9" t="s">
        <v>26</v>
      </c>
      <c r="C9" s="14">
        <v>10</v>
      </c>
      <c r="D9" s="9" t="s">
        <v>14</v>
      </c>
      <c r="E9" s="11" t="s">
        <v>15</v>
      </c>
      <c r="F9" s="11" t="s">
        <v>27</v>
      </c>
      <c r="G9" s="11">
        <v>240</v>
      </c>
      <c r="H9" s="12">
        <f t="shared" si="0"/>
        <v>2400</v>
      </c>
      <c r="I9" s="11">
        <v>2160</v>
      </c>
      <c r="J9" s="12">
        <f t="shared" si="1"/>
        <v>240</v>
      </c>
      <c r="K9" s="12">
        <f t="shared" si="2"/>
        <v>90</v>
      </c>
      <c r="L9" s="13" t="s">
        <v>28</v>
      </c>
    </row>
    <row r="10" ht="18" customHeight="1" spans="2:15">
      <c r="B10" s="9" t="s">
        <v>29</v>
      </c>
      <c r="C10" s="14">
        <v>11</v>
      </c>
      <c r="D10" s="9" t="s">
        <v>14</v>
      </c>
      <c r="E10" s="11" t="s">
        <v>30</v>
      </c>
      <c r="F10" s="11" t="s">
        <v>31</v>
      </c>
      <c r="G10" s="11">
        <v>200</v>
      </c>
      <c r="H10" s="12">
        <f t="shared" si="0"/>
        <v>2200</v>
      </c>
      <c r="I10" s="11">
        <v>2200</v>
      </c>
      <c r="J10" s="12">
        <f t="shared" si="1"/>
        <v>0</v>
      </c>
      <c r="K10" s="12">
        <f t="shared" si="2"/>
        <v>100</v>
      </c>
      <c r="L10" s="13"/>
    </row>
    <row r="11" ht="18" spans="2:15">
      <c r="B11" s="9" t="s">
        <v>32</v>
      </c>
      <c r="C11" s="14">
        <v>10</v>
      </c>
      <c r="D11" s="9" t="s">
        <v>14</v>
      </c>
      <c r="E11" s="11">
        <v>3112.1</v>
      </c>
      <c r="F11" s="14" t="s">
        <v>33</v>
      </c>
      <c r="G11" s="11">
        <v>300</v>
      </c>
      <c r="H11" s="12">
        <f t="shared" si="0"/>
        <v>3000</v>
      </c>
      <c r="I11" s="11">
        <v>3000</v>
      </c>
      <c r="J11" s="12">
        <f t="shared" si="1"/>
        <v>0</v>
      </c>
      <c r="K11" s="12">
        <f t="shared" si="2"/>
        <v>100</v>
      </c>
      <c r="L11" s="15"/>
    </row>
    <row r="12" ht="18" spans="2:15">
      <c r="B12" s="9" t="s">
        <v>34</v>
      </c>
      <c r="C12" s="14"/>
      <c r="D12" s="9"/>
      <c r="E12" s="11"/>
      <c r="F12" s="14"/>
      <c r="G12" s="11"/>
      <c r="H12" s="12">
        <f t="shared" si="0"/>
        <v>0</v>
      </c>
      <c r="I12" s="11"/>
      <c r="J12" s="12">
        <f t="shared" si="1"/>
        <v>0</v>
      </c>
      <c r="K12" s="12" t="str">
        <f t="shared" si="2"/>
        <v> </v>
      </c>
      <c r="L12" s="15"/>
    </row>
    <row r="13" ht="18" spans="2:15">
      <c r="B13" s="9" t="s">
        <v>35</v>
      </c>
      <c r="C13" s="14"/>
      <c r="D13" s="9"/>
      <c r="E13" s="11"/>
      <c r="F13" s="11"/>
      <c r="G13" s="11"/>
      <c r="H13" s="12">
        <f t="shared" si="0"/>
        <v>0</v>
      </c>
      <c r="I13" s="11"/>
      <c r="J13" s="12">
        <f t="shared" si="1"/>
        <v>0</v>
      </c>
      <c r="K13" s="12" t="str">
        <f t="shared" si="2"/>
        <v> </v>
      </c>
      <c r="L13" s="13"/>
    </row>
    <row r="14" ht="18" spans="2:15">
      <c r="B14" s="9" t="s">
        <v>36</v>
      </c>
      <c r="C14" s="14"/>
      <c r="D14" s="9"/>
      <c r="E14" s="11"/>
      <c r="F14" s="11"/>
      <c r="G14" s="11"/>
      <c r="H14" s="12">
        <f t="shared" si="0"/>
        <v>0</v>
      </c>
      <c r="I14" s="11"/>
      <c r="J14" s="12">
        <f t="shared" si="1"/>
        <v>0</v>
      </c>
      <c r="K14" s="12" t="str">
        <f t="shared" si="2"/>
        <v> </v>
      </c>
      <c r="L14" s="13"/>
    </row>
    <row r="15" ht="18" spans="2:15">
      <c r="B15" s="9" t="s">
        <v>37</v>
      </c>
      <c r="C15" s="14"/>
      <c r="D15" s="9"/>
      <c r="E15" s="11"/>
      <c r="F15" s="11"/>
      <c r="G15" s="11"/>
      <c r="H15" s="12">
        <f t="shared" si="0"/>
        <v>0</v>
      </c>
      <c r="I15" s="11"/>
      <c r="J15" s="12">
        <f t="shared" si="1"/>
        <v>0</v>
      </c>
      <c r="K15" s="12" t="str">
        <f t="shared" si="2"/>
        <v> </v>
      </c>
      <c r="L15" s="13"/>
    </row>
    <row r="16" ht="18" spans="2:15">
      <c r="B16" s="9" t="s">
        <v>38</v>
      </c>
      <c r="C16" s="14"/>
      <c r="D16" s="9"/>
      <c r="E16" s="11"/>
      <c r="F16" s="11"/>
      <c r="G16" s="11"/>
      <c r="H16" s="12">
        <f t="shared" si="0"/>
        <v>0</v>
      </c>
      <c r="I16" s="11"/>
      <c r="J16" s="12">
        <f t="shared" si="1"/>
        <v>0</v>
      </c>
      <c r="K16" s="12" t="str">
        <f t="shared" si="2"/>
        <v> </v>
      </c>
      <c r="L16" s="13"/>
    </row>
    <row r="17" ht="18" spans="2:12">
      <c r="B17" s="16" t="s">
        <v>39</v>
      </c>
      <c r="C17" s="16"/>
      <c r="D17" s="9"/>
      <c r="E17" s="16"/>
      <c r="F17" s="17" t="s">
        <v>40</v>
      </c>
      <c r="G17" s="18"/>
      <c r="H17" s="19">
        <f t="shared" ref="H17:J17" si="3">SUM(H4:H16)</f>
        <v>19520</v>
      </c>
      <c r="I17" s="19">
        <f t="shared" si="3"/>
        <v>17770</v>
      </c>
      <c r="J17" s="19">
        <f t="shared" si="3"/>
        <v>1750</v>
      </c>
      <c r="K17" s="19">
        <f>AVERAGE(K4:K16)</f>
        <v>90.6770833333333</v>
      </c>
      <c r="L17" s="20"/>
    </row>
  </sheetData>
  <mergeCells count="1">
    <mergeCell ref="B2:L2"/>
  </mergeCells>
  <pageMargins left="0.75" right="0.75" top="1" bottom="1" header="0.511805555555556" footer="0.511805555555556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18.08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ProductionTeam</dc:creator>
  <cp:lastModifiedBy>Nikhil Rana</cp:lastModifiedBy>
  <dcterms:created xsi:type="dcterms:W3CDTF">2026-08-19T10:45:42Z</dcterms:created>
  <dcterms:modified xsi:type="dcterms:W3CDTF">2026-08-19T10:47:39Z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EC66E1490F8145C091078F0C5B0B139D_11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